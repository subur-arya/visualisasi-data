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 E\UB\DISERTASI\simulasi aplikasi\"/>
    </mc:Choice>
  </mc:AlternateContent>
  <xr:revisionPtr revIDLastSave="0" documentId="13_ncr:1_{665C894A-3B63-4565-9B02-B4AF3CA94D5F}" xr6:coauthVersionLast="47" xr6:coauthVersionMax="47" xr10:uidLastSave="{00000000-0000-0000-0000-000000000000}"/>
  <bookViews>
    <workbookView xWindow="-120" yWindow="-120" windowWidth="20730" windowHeight="11040" activeTab="1" xr2:uid="{7D132BD4-BBFA-4352-9E93-6F64417BFC70}"/>
  </bookViews>
  <sheets>
    <sheet name="M1Bj_MjB1" sheetId="27" r:id="rId1"/>
    <sheet name="mjb1" sheetId="25" r:id="rId2"/>
    <sheet name="m1bj" sheetId="24" r:id="rId3"/>
    <sheet name="rekap MG" sheetId="23" r:id="rId4"/>
    <sheet name="rekap B" sheetId="22" r:id="rId5"/>
    <sheet name="rekap M" sheetId="21" r:id="rId6"/>
    <sheet name="rekap" sheetId="7" r:id="rId7"/>
    <sheet name="linguis" sheetId="20" r:id="rId8"/>
    <sheet name="MG6" sheetId="19" r:id="rId9"/>
    <sheet name="MG5" sheetId="18" r:id="rId10"/>
    <sheet name="MG4" sheetId="17" r:id="rId11"/>
    <sheet name="MG3" sheetId="16" r:id="rId12"/>
    <sheet name="MG2" sheetId="15" r:id="rId13"/>
    <sheet name="MG1" sheetId="14" r:id="rId14"/>
    <sheet name="B6" sheetId="13" r:id="rId15"/>
    <sheet name="B5" sheetId="12" r:id="rId16"/>
    <sheet name="B4" sheetId="11" r:id="rId17"/>
    <sheet name="B3" sheetId="10" r:id="rId18"/>
    <sheet name="B2" sheetId="9" r:id="rId19"/>
    <sheet name="B1" sheetId="8" r:id="rId20"/>
    <sheet name="M6" sheetId="6" r:id="rId21"/>
    <sheet name="M5" sheetId="5" r:id="rId22"/>
    <sheet name="M4" sheetId="4" r:id="rId23"/>
    <sheet name="M3" sheetId="3" r:id="rId24"/>
    <sheet name="M2" sheetId="2" r:id="rId25"/>
    <sheet name="M1" sheetId="1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</externalReferences>
  <definedNames>
    <definedName name="________1736LAMA_Kota_Kabupaten" localSheetId="19">#REF!</definedName>
    <definedName name="________1736LAMA_Kota_Kabupaten" localSheetId="18">#REF!</definedName>
    <definedName name="________1736LAMA_Kota_Kabupaten" localSheetId="17">#REF!</definedName>
    <definedName name="________1736LAMA_Kota_Kabupaten" localSheetId="16">#REF!</definedName>
    <definedName name="________1736LAMA_Kota_Kabupaten" localSheetId="15">#REF!</definedName>
    <definedName name="________1736LAMA_Kota_Kabupaten" localSheetId="14">#REF!</definedName>
    <definedName name="________1736LAMA_Kota_Kabupaten" localSheetId="25">#REF!</definedName>
    <definedName name="________1736LAMA_Kota_Kabupaten" localSheetId="24">#REF!</definedName>
    <definedName name="________1736LAMA_Kota_Kabupaten" localSheetId="23">#REF!</definedName>
    <definedName name="________1736LAMA_Kota_Kabupaten" localSheetId="22">#REF!</definedName>
    <definedName name="________1736LAMA_Kota_Kabupaten" localSheetId="21">#REF!</definedName>
    <definedName name="________1736LAMA_Kota_Kabupaten" localSheetId="20">#REF!</definedName>
    <definedName name="________1736LAMA_Kota_Kabupaten" localSheetId="13">#REF!</definedName>
    <definedName name="________1736LAMA_Kota_Kabupaten" localSheetId="12">#REF!</definedName>
    <definedName name="________1736LAMA_Kota_Kabupaten" localSheetId="11">#REF!</definedName>
    <definedName name="________1736LAMA_Kota_Kabupaten" localSheetId="10">#REF!</definedName>
    <definedName name="________1736LAMA_Kota_Kabupaten" localSheetId="9">#REF!</definedName>
    <definedName name="________1736LAMA_Kota_Kabupaten" localSheetId="8">#REF!</definedName>
    <definedName name="_______1736LAMA_Kota_Kabupaten" localSheetId="19">#REF!</definedName>
    <definedName name="_______1736LAMA_Kota_Kabupaten" localSheetId="18">#REF!</definedName>
    <definedName name="_______1736LAMA_Kota_Kabupaten" localSheetId="17">#REF!</definedName>
    <definedName name="_______1736LAMA_Kota_Kabupaten" localSheetId="16">#REF!</definedName>
    <definedName name="_______1736LAMA_Kota_Kabupaten" localSheetId="15">#REF!</definedName>
    <definedName name="_______1736LAMA_Kota_Kabupaten" localSheetId="14">#REF!</definedName>
    <definedName name="_______1736LAMA_Kota_Kabupaten" localSheetId="25">#REF!</definedName>
    <definedName name="_______1736LAMA_Kota_Kabupaten" localSheetId="24">#REF!</definedName>
    <definedName name="_______1736LAMA_Kota_Kabupaten" localSheetId="23">#REF!</definedName>
    <definedName name="_______1736LAMA_Kota_Kabupaten" localSheetId="22">#REF!</definedName>
    <definedName name="_______1736LAMA_Kota_Kabupaten" localSheetId="21">#REF!</definedName>
    <definedName name="_______1736LAMA_Kota_Kabupaten" localSheetId="20">#REF!</definedName>
    <definedName name="_______1736LAMA_Kota_Kabupaten" localSheetId="13">#REF!</definedName>
    <definedName name="_______1736LAMA_Kota_Kabupaten" localSheetId="12">#REF!</definedName>
    <definedName name="_______1736LAMA_Kota_Kabupaten" localSheetId="11">#REF!</definedName>
    <definedName name="_______1736LAMA_Kota_Kabupaten" localSheetId="10">#REF!</definedName>
    <definedName name="_______1736LAMA_Kota_Kabupaten" localSheetId="9">#REF!</definedName>
    <definedName name="_______1736LAMA_Kota_Kabupaten" localSheetId="8">#REF!</definedName>
    <definedName name="______1736LAMA_Kota_Kabupaten" localSheetId="19">#REF!</definedName>
    <definedName name="______1736LAMA_Kota_Kabupaten" localSheetId="18">#REF!</definedName>
    <definedName name="______1736LAMA_Kota_Kabupaten" localSheetId="17">#REF!</definedName>
    <definedName name="______1736LAMA_Kota_Kabupaten" localSheetId="16">#REF!</definedName>
    <definedName name="______1736LAMA_Kota_Kabupaten" localSheetId="15">#REF!</definedName>
    <definedName name="______1736LAMA_Kota_Kabupaten" localSheetId="14">#REF!</definedName>
    <definedName name="______1736LAMA_Kota_Kabupaten" localSheetId="25">#REF!</definedName>
    <definedName name="______1736LAMA_Kota_Kabupaten" localSheetId="24">#REF!</definedName>
    <definedName name="______1736LAMA_Kota_Kabupaten" localSheetId="23">#REF!</definedName>
    <definedName name="______1736LAMA_Kota_Kabupaten" localSheetId="22">#REF!</definedName>
    <definedName name="______1736LAMA_Kota_Kabupaten" localSheetId="21">#REF!</definedName>
    <definedName name="______1736LAMA_Kota_Kabupaten" localSheetId="20">#REF!</definedName>
    <definedName name="______1736LAMA_Kota_Kabupaten" localSheetId="13">#REF!</definedName>
    <definedName name="______1736LAMA_Kota_Kabupaten" localSheetId="12">#REF!</definedName>
    <definedName name="______1736LAMA_Kota_Kabupaten" localSheetId="11">#REF!</definedName>
    <definedName name="______1736LAMA_Kota_Kabupaten" localSheetId="10">#REF!</definedName>
    <definedName name="______1736LAMA_Kota_Kabupaten" localSheetId="9">#REF!</definedName>
    <definedName name="______1736LAMA_Kota_Kabupaten" localSheetId="8">#REF!</definedName>
    <definedName name="_____1736LAMA_Kota_Kabupaten" localSheetId="19">#REF!</definedName>
    <definedName name="_____1736LAMA_Kota_Kabupaten" localSheetId="18">#REF!</definedName>
    <definedName name="_____1736LAMA_Kota_Kabupaten" localSheetId="17">#REF!</definedName>
    <definedName name="_____1736LAMA_Kota_Kabupaten" localSheetId="16">#REF!</definedName>
    <definedName name="_____1736LAMA_Kota_Kabupaten" localSheetId="15">#REF!</definedName>
    <definedName name="_____1736LAMA_Kota_Kabupaten" localSheetId="14">#REF!</definedName>
    <definedName name="_____1736LAMA_Kota_Kabupaten" localSheetId="25">#REF!</definedName>
    <definedName name="_____1736LAMA_Kota_Kabupaten" localSheetId="24">#REF!</definedName>
    <definedName name="_____1736LAMA_Kota_Kabupaten" localSheetId="23">#REF!</definedName>
    <definedName name="_____1736LAMA_Kota_Kabupaten" localSheetId="22">#REF!</definedName>
    <definedName name="_____1736LAMA_Kota_Kabupaten" localSheetId="21">#REF!</definedName>
    <definedName name="_____1736LAMA_Kota_Kabupaten" localSheetId="20">#REF!</definedName>
    <definedName name="_____1736LAMA_Kota_Kabupaten" localSheetId="13">#REF!</definedName>
    <definedName name="_____1736LAMA_Kota_Kabupaten" localSheetId="12">#REF!</definedName>
    <definedName name="_____1736LAMA_Kota_Kabupaten" localSheetId="11">#REF!</definedName>
    <definedName name="_____1736LAMA_Kota_Kabupaten" localSheetId="10">#REF!</definedName>
    <definedName name="_____1736LAMA_Kota_Kabupaten" localSheetId="9">#REF!</definedName>
    <definedName name="_____1736LAMA_Kota_Kabupaten" localSheetId="8">#REF!</definedName>
    <definedName name="_____pvc100" localSheetId="19">#REF!</definedName>
    <definedName name="_____pvc100" localSheetId="18">#REF!</definedName>
    <definedName name="_____pvc100" localSheetId="17">#REF!</definedName>
    <definedName name="_____pvc100" localSheetId="16">#REF!</definedName>
    <definedName name="_____pvc100" localSheetId="15">#REF!</definedName>
    <definedName name="_____pvc100" localSheetId="14">#REF!</definedName>
    <definedName name="_____pvc100" localSheetId="25">#REF!</definedName>
    <definedName name="_____pvc100" localSheetId="24">#REF!</definedName>
    <definedName name="_____pvc100" localSheetId="23">#REF!</definedName>
    <definedName name="_____pvc100" localSheetId="22">#REF!</definedName>
    <definedName name="_____pvc100" localSheetId="21">#REF!</definedName>
    <definedName name="_____pvc100" localSheetId="20">#REF!</definedName>
    <definedName name="_____pvc100" localSheetId="13">#REF!</definedName>
    <definedName name="_____pvc100" localSheetId="12">#REF!</definedName>
    <definedName name="_____pvc100" localSheetId="11">#REF!</definedName>
    <definedName name="_____pvc100" localSheetId="10">#REF!</definedName>
    <definedName name="_____pvc100" localSheetId="9">#REF!</definedName>
    <definedName name="_____pvc100" localSheetId="8">#REF!</definedName>
    <definedName name="_____pvc13" localSheetId="19">#REF!</definedName>
    <definedName name="_____pvc13" localSheetId="18">#REF!</definedName>
    <definedName name="_____pvc13" localSheetId="17">#REF!</definedName>
    <definedName name="_____pvc13" localSheetId="16">#REF!</definedName>
    <definedName name="_____pvc13" localSheetId="15">#REF!</definedName>
    <definedName name="_____pvc13" localSheetId="14">#REF!</definedName>
    <definedName name="_____pvc13" localSheetId="25">#REF!</definedName>
    <definedName name="_____pvc13" localSheetId="24">#REF!</definedName>
    <definedName name="_____pvc13" localSheetId="23">#REF!</definedName>
    <definedName name="_____pvc13" localSheetId="22">#REF!</definedName>
    <definedName name="_____pvc13" localSheetId="21">#REF!</definedName>
    <definedName name="_____pvc13" localSheetId="20">#REF!</definedName>
    <definedName name="_____pvc13" localSheetId="13">#REF!</definedName>
    <definedName name="_____pvc13" localSheetId="12">#REF!</definedName>
    <definedName name="_____pvc13" localSheetId="11">#REF!</definedName>
    <definedName name="_____pvc13" localSheetId="10">#REF!</definedName>
    <definedName name="_____pvc13" localSheetId="9">#REF!</definedName>
    <definedName name="_____pvc13" localSheetId="8">#REF!</definedName>
    <definedName name="_____pvc150" localSheetId="19">#REF!</definedName>
    <definedName name="_____pvc150" localSheetId="18">#REF!</definedName>
    <definedName name="_____pvc150" localSheetId="17">#REF!</definedName>
    <definedName name="_____pvc150" localSheetId="16">#REF!</definedName>
    <definedName name="_____pvc150" localSheetId="15">#REF!</definedName>
    <definedName name="_____pvc150" localSheetId="14">#REF!</definedName>
    <definedName name="_____pvc150" localSheetId="25">#REF!</definedName>
    <definedName name="_____pvc150" localSheetId="24">#REF!</definedName>
    <definedName name="_____pvc150" localSheetId="23">#REF!</definedName>
    <definedName name="_____pvc150" localSheetId="22">#REF!</definedName>
    <definedName name="_____pvc150" localSheetId="21">#REF!</definedName>
    <definedName name="_____pvc150" localSheetId="20">#REF!</definedName>
    <definedName name="_____pvc150" localSheetId="13">#REF!</definedName>
    <definedName name="_____pvc150" localSheetId="12">#REF!</definedName>
    <definedName name="_____pvc150" localSheetId="11">#REF!</definedName>
    <definedName name="_____pvc150" localSheetId="10">#REF!</definedName>
    <definedName name="_____pvc150" localSheetId="9">#REF!</definedName>
    <definedName name="_____pvc150" localSheetId="8">#REF!</definedName>
    <definedName name="_____pvc20" localSheetId="19">#REF!</definedName>
    <definedName name="_____pvc20" localSheetId="18">#REF!</definedName>
    <definedName name="_____pvc20" localSheetId="17">#REF!</definedName>
    <definedName name="_____pvc20" localSheetId="16">#REF!</definedName>
    <definedName name="_____pvc20" localSheetId="15">#REF!</definedName>
    <definedName name="_____pvc20" localSheetId="14">#REF!</definedName>
    <definedName name="_____pvc20" localSheetId="25">#REF!</definedName>
    <definedName name="_____pvc20" localSheetId="24">#REF!</definedName>
    <definedName name="_____pvc20" localSheetId="23">#REF!</definedName>
    <definedName name="_____pvc20" localSheetId="22">#REF!</definedName>
    <definedName name="_____pvc20" localSheetId="21">#REF!</definedName>
    <definedName name="_____pvc20" localSheetId="20">#REF!</definedName>
    <definedName name="_____pvc20" localSheetId="13">#REF!</definedName>
    <definedName name="_____pvc20" localSheetId="12">#REF!</definedName>
    <definedName name="_____pvc20" localSheetId="11">#REF!</definedName>
    <definedName name="_____pvc20" localSheetId="10">#REF!</definedName>
    <definedName name="_____pvc20" localSheetId="9">#REF!</definedName>
    <definedName name="_____pvc20" localSheetId="8">#REF!</definedName>
    <definedName name="_____pvc200" localSheetId="19">#REF!</definedName>
    <definedName name="_____pvc200" localSheetId="18">#REF!</definedName>
    <definedName name="_____pvc200" localSheetId="17">#REF!</definedName>
    <definedName name="_____pvc200" localSheetId="16">#REF!</definedName>
    <definedName name="_____pvc200" localSheetId="15">#REF!</definedName>
    <definedName name="_____pvc200" localSheetId="14">#REF!</definedName>
    <definedName name="_____pvc200" localSheetId="25">#REF!</definedName>
    <definedName name="_____pvc200" localSheetId="24">#REF!</definedName>
    <definedName name="_____pvc200" localSheetId="23">#REF!</definedName>
    <definedName name="_____pvc200" localSheetId="22">#REF!</definedName>
    <definedName name="_____pvc200" localSheetId="21">#REF!</definedName>
    <definedName name="_____pvc200" localSheetId="20">#REF!</definedName>
    <definedName name="_____pvc200" localSheetId="13">#REF!</definedName>
    <definedName name="_____pvc200" localSheetId="12">#REF!</definedName>
    <definedName name="_____pvc200" localSheetId="11">#REF!</definedName>
    <definedName name="_____pvc200" localSheetId="10">#REF!</definedName>
    <definedName name="_____pvc200" localSheetId="9">#REF!</definedName>
    <definedName name="_____pvc200" localSheetId="8">#REF!</definedName>
    <definedName name="_____pvc25" localSheetId="19">#REF!</definedName>
    <definedName name="_____pvc25" localSheetId="18">#REF!</definedName>
    <definedName name="_____pvc25" localSheetId="17">#REF!</definedName>
    <definedName name="_____pvc25" localSheetId="16">#REF!</definedName>
    <definedName name="_____pvc25" localSheetId="15">#REF!</definedName>
    <definedName name="_____pvc25" localSheetId="14">#REF!</definedName>
    <definedName name="_____pvc25" localSheetId="25">#REF!</definedName>
    <definedName name="_____pvc25" localSheetId="24">#REF!</definedName>
    <definedName name="_____pvc25" localSheetId="23">#REF!</definedName>
    <definedName name="_____pvc25" localSheetId="22">#REF!</definedName>
    <definedName name="_____pvc25" localSheetId="21">#REF!</definedName>
    <definedName name="_____pvc25" localSheetId="20">#REF!</definedName>
    <definedName name="_____pvc25" localSheetId="13">#REF!</definedName>
    <definedName name="_____pvc25" localSheetId="12">#REF!</definedName>
    <definedName name="_____pvc25" localSheetId="11">#REF!</definedName>
    <definedName name="_____pvc25" localSheetId="10">#REF!</definedName>
    <definedName name="_____pvc25" localSheetId="9">#REF!</definedName>
    <definedName name="_____pvc25" localSheetId="8">#REF!</definedName>
    <definedName name="_____pvc250" localSheetId="19">#REF!</definedName>
    <definedName name="_____pvc250" localSheetId="18">#REF!</definedName>
    <definedName name="_____pvc250" localSheetId="17">#REF!</definedName>
    <definedName name="_____pvc250" localSheetId="16">#REF!</definedName>
    <definedName name="_____pvc250" localSheetId="15">#REF!</definedName>
    <definedName name="_____pvc250" localSheetId="14">#REF!</definedName>
    <definedName name="_____pvc250" localSheetId="25">#REF!</definedName>
    <definedName name="_____pvc250" localSheetId="24">#REF!</definedName>
    <definedName name="_____pvc250" localSheetId="23">#REF!</definedName>
    <definedName name="_____pvc250" localSheetId="22">#REF!</definedName>
    <definedName name="_____pvc250" localSheetId="21">#REF!</definedName>
    <definedName name="_____pvc250" localSheetId="20">#REF!</definedName>
    <definedName name="_____pvc250" localSheetId="13">#REF!</definedName>
    <definedName name="_____pvc250" localSheetId="12">#REF!</definedName>
    <definedName name="_____pvc250" localSheetId="11">#REF!</definedName>
    <definedName name="_____pvc250" localSheetId="10">#REF!</definedName>
    <definedName name="_____pvc250" localSheetId="9">#REF!</definedName>
    <definedName name="_____pvc250" localSheetId="8">#REF!</definedName>
    <definedName name="_____pvc300" localSheetId="19">#REF!</definedName>
    <definedName name="_____pvc300" localSheetId="18">#REF!</definedName>
    <definedName name="_____pvc300" localSheetId="17">#REF!</definedName>
    <definedName name="_____pvc300" localSheetId="16">#REF!</definedName>
    <definedName name="_____pvc300" localSheetId="15">#REF!</definedName>
    <definedName name="_____pvc300" localSheetId="14">#REF!</definedName>
    <definedName name="_____pvc300" localSheetId="25">#REF!</definedName>
    <definedName name="_____pvc300" localSheetId="24">#REF!</definedName>
    <definedName name="_____pvc300" localSheetId="23">#REF!</definedName>
    <definedName name="_____pvc300" localSheetId="22">#REF!</definedName>
    <definedName name="_____pvc300" localSheetId="21">#REF!</definedName>
    <definedName name="_____pvc300" localSheetId="20">#REF!</definedName>
    <definedName name="_____pvc300" localSheetId="13">#REF!</definedName>
    <definedName name="_____pvc300" localSheetId="12">#REF!</definedName>
    <definedName name="_____pvc300" localSheetId="11">#REF!</definedName>
    <definedName name="_____pvc300" localSheetId="10">#REF!</definedName>
    <definedName name="_____pvc300" localSheetId="9">#REF!</definedName>
    <definedName name="_____pvc300" localSheetId="8">#REF!</definedName>
    <definedName name="_____pvc350" localSheetId="19">#REF!</definedName>
    <definedName name="_____pvc350" localSheetId="18">#REF!</definedName>
    <definedName name="_____pvc350" localSheetId="17">#REF!</definedName>
    <definedName name="_____pvc350" localSheetId="16">#REF!</definedName>
    <definedName name="_____pvc350" localSheetId="15">#REF!</definedName>
    <definedName name="_____pvc350" localSheetId="14">#REF!</definedName>
    <definedName name="_____pvc350" localSheetId="25">#REF!</definedName>
    <definedName name="_____pvc350" localSheetId="24">#REF!</definedName>
    <definedName name="_____pvc350" localSheetId="23">#REF!</definedName>
    <definedName name="_____pvc350" localSheetId="22">#REF!</definedName>
    <definedName name="_____pvc350" localSheetId="21">#REF!</definedName>
    <definedName name="_____pvc350" localSheetId="20">#REF!</definedName>
    <definedName name="_____pvc350" localSheetId="13">#REF!</definedName>
    <definedName name="_____pvc350" localSheetId="12">#REF!</definedName>
    <definedName name="_____pvc350" localSheetId="11">#REF!</definedName>
    <definedName name="_____pvc350" localSheetId="10">#REF!</definedName>
    <definedName name="_____pvc350" localSheetId="9">#REF!</definedName>
    <definedName name="_____pvc350" localSheetId="8">#REF!</definedName>
    <definedName name="_____pvc40" localSheetId="19">#REF!</definedName>
    <definedName name="_____pvc40" localSheetId="18">#REF!</definedName>
    <definedName name="_____pvc40" localSheetId="17">#REF!</definedName>
    <definedName name="_____pvc40" localSheetId="16">#REF!</definedName>
    <definedName name="_____pvc40" localSheetId="15">#REF!</definedName>
    <definedName name="_____pvc40" localSheetId="14">#REF!</definedName>
    <definedName name="_____pvc40" localSheetId="25">#REF!</definedName>
    <definedName name="_____pvc40" localSheetId="24">#REF!</definedName>
    <definedName name="_____pvc40" localSheetId="23">#REF!</definedName>
    <definedName name="_____pvc40" localSheetId="22">#REF!</definedName>
    <definedName name="_____pvc40" localSheetId="21">#REF!</definedName>
    <definedName name="_____pvc40" localSheetId="20">#REF!</definedName>
    <definedName name="_____pvc40" localSheetId="13">#REF!</definedName>
    <definedName name="_____pvc40" localSheetId="12">#REF!</definedName>
    <definedName name="_____pvc40" localSheetId="11">#REF!</definedName>
    <definedName name="_____pvc40" localSheetId="10">#REF!</definedName>
    <definedName name="_____pvc40" localSheetId="9">#REF!</definedName>
    <definedName name="_____pvc40" localSheetId="8">#REF!</definedName>
    <definedName name="_____pvc400" localSheetId="19">#REF!</definedName>
    <definedName name="_____pvc400" localSheetId="18">#REF!</definedName>
    <definedName name="_____pvc400" localSheetId="17">#REF!</definedName>
    <definedName name="_____pvc400" localSheetId="16">#REF!</definedName>
    <definedName name="_____pvc400" localSheetId="15">#REF!</definedName>
    <definedName name="_____pvc400" localSheetId="14">#REF!</definedName>
    <definedName name="_____pvc400" localSheetId="25">#REF!</definedName>
    <definedName name="_____pvc400" localSheetId="24">#REF!</definedName>
    <definedName name="_____pvc400" localSheetId="23">#REF!</definedName>
    <definedName name="_____pvc400" localSheetId="22">#REF!</definedName>
    <definedName name="_____pvc400" localSheetId="21">#REF!</definedName>
    <definedName name="_____pvc400" localSheetId="20">#REF!</definedName>
    <definedName name="_____pvc400" localSheetId="13">#REF!</definedName>
    <definedName name="_____pvc400" localSheetId="12">#REF!</definedName>
    <definedName name="_____pvc400" localSheetId="11">#REF!</definedName>
    <definedName name="_____pvc400" localSheetId="10">#REF!</definedName>
    <definedName name="_____pvc400" localSheetId="9">#REF!</definedName>
    <definedName name="_____pvc400" localSheetId="8">#REF!</definedName>
    <definedName name="_____pvc50" localSheetId="19">#REF!</definedName>
    <definedName name="_____pvc50" localSheetId="18">#REF!</definedName>
    <definedName name="_____pvc50" localSheetId="17">#REF!</definedName>
    <definedName name="_____pvc50" localSheetId="16">#REF!</definedName>
    <definedName name="_____pvc50" localSheetId="15">#REF!</definedName>
    <definedName name="_____pvc50" localSheetId="14">#REF!</definedName>
    <definedName name="_____pvc50" localSheetId="25">#REF!</definedName>
    <definedName name="_____pvc50" localSheetId="24">#REF!</definedName>
    <definedName name="_____pvc50" localSheetId="23">#REF!</definedName>
    <definedName name="_____pvc50" localSheetId="22">#REF!</definedName>
    <definedName name="_____pvc50" localSheetId="21">#REF!</definedName>
    <definedName name="_____pvc50" localSheetId="20">#REF!</definedName>
    <definedName name="_____pvc50" localSheetId="13">#REF!</definedName>
    <definedName name="_____pvc50" localSheetId="12">#REF!</definedName>
    <definedName name="_____pvc50" localSheetId="11">#REF!</definedName>
    <definedName name="_____pvc50" localSheetId="10">#REF!</definedName>
    <definedName name="_____pvc50" localSheetId="9">#REF!</definedName>
    <definedName name="_____pvc50" localSheetId="8">#REF!</definedName>
    <definedName name="_____pvc75" localSheetId="19">#REF!</definedName>
    <definedName name="_____pvc75" localSheetId="18">#REF!</definedName>
    <definedName name="_____pvc75" localSheetId="17">#REF!</definedName>
    <definedName name="_____pvc75" localSheetId="16">#REF!</definedName>
    <definedName name="_____pvc75" localSheetId="15">#REF!</definedName>
    <definedName name="_____pvc75" localSheetId="14">#REF!</definedName>
    <definedName name="_____pvc75" localSheetId="25">#REF!</definedName>
    <definedName name="_____pvc75" localSheetId="24">#REF!</definedName>
    <definedName name="_____pvc75" localSheetId="23">#REF!</definedName>
    <definedName name="_____pvc75" localSheetId="22">#REF!</definedName>
    <definedName name="_____pvc75" localSheetId="21">#REF!</definedName>
    <definedName name="_____pvc75" localSheetId="20">#REF!</definedName>
    <definedName name="_____pvc75" localSheetId="13">#REF!</definedName>
    <definedName name="_____pvc75" localSheetId="12">#REF!</definedName>
    <definedName name="_____pvc75" localSheetId="11">#REF!</definedName>
    <definedName name="_____pvc75" localSheetId="10">#REF!</definedName>
    <definedName name="_____pvc75" localSheetId="9">#REF!</definedName>
    <definedName name="_____pvc75" localSheetId="8">#REF!</definedName>
    <definedName name="____1736LAMA_Kota_Kabupaten" localSheetId="19">#REF!</definedName>
    <definedName name="____1736LAMA_Kota_Kabupaten" localSheetId="18">#REF!</definedName>
    <definedName name="____1736LAMA_Kota_Kabupaten" localSheetId="17">#REF!</definedName>
    <definedName name="____1736LAMA_Kota_Kabupaten" localSheetId="16">#REF!</definedName>
    <definedName name="____1736LAMA_Kota_Kabupaten" localSheetId="15">#REF!</definedName>
    <definedName name="____1736LAMA_Kota_Kabupaten" localSheetId="14">#REF!</definedName>
    <definedName name="____1736LAMA_Kota_Kabupaten" localSheetId="25">#REF!</definedName>
    <definedName name="____1736LAMA_Kota_Kabupaten" localSheetId="24">#REF!</definedName>
    <definedName name="____1736LAMA_Kota_Kabupaten" localSheetId="23">#REF!</definedName>
    <definedName name="____1736LAMA_Kota_Kabupaten" localSheetId="22">#REF!</definedName>
    <definedName name="____1736LAMA_Kota_Kabupaten" localSheetId="21">#REF!</definedName>
    <definedName name="____1736LAMA_Kota_Kabupaten" localSheetId="20">#REF!</definedName>
    <definedName name="____1736LAMA_Kota_Kabupaten" localSheetId="13">#REF!</definedName>
    <definedName name="____1736LAMA_Kota_Kabupaten" localSheetId="12">#REF!</definedName>
    <definedName name="____1736LAMA_Kota_Kabupaten" localSheetId="11">#REF!</definedName>
    <definedName name="____1736LAMA_Kota_Kabupaten" localSheetId="10">#REF!</definedName>
    <definedName name="____1736LAMA_Kota_Kabupaten" localSheetId="9">#REF!</definedName>
    <definedName name="____1736LAMA_Kota_Kabupaten" localSheetId="8">#REF!</definedName>
    <definedName name="____pvc100" localSheetId="19">#REF!</definedName>
    <definedName name="____pvc100" localSheetId="18">#REF!</definedName>
    <definedName name="____pvc100" localSheetId="17">#REF!</definedName>
    <definedName name="____pvc100" localSheetId="16">#REF!</definedName>
    <definedName name="____pvc100" localSheetId="15">#REF!</definedName>
    <definedName name="____pvc100" localSheetId="14">#REF!</definedName>
    <definedName name="____pvc100" localSheetId="25">#REF!</definedName>
    <definedName name="____pvc100" localSheetId="24">#REF!</definedName>
    <definedName name="____pvc100" localSheetId="23">#REF!</definedName>
    <definedName name="____pvc100" localSheetId="22">#REF!</definedName>
    <definedName name="____pvc100" localSheetId="21">#REF!</definedName>
    <definedName name="____pvc100" localSheetId="20">#REF!</definedName>
    <definedName name="____pvc100" localSheetId="13">#REF!</definedName>
    <definedName name="____pvc100" localSheetId="12">#REF!</definedName>
    <definedName name="____pvc100" localSheetId="11">#REF!</definedName>
    <definedName name="____pvc100" localSheetId="10">#REF!</definedName>
    <definedName name="____pvc100" localSheetId="9">#REF!</definedName>
    <definedName name="____pvc100" localSheetId="8">#REF!</definedName>
    <definedName name="____pvc13" localSheetId="19">#REF!</definedName>
    <definedName name="____pvc13" localSheetId="18">#REF!</definedName>
    <definedName name="____pvc13" localSheetId="17">#REF!</definedName>
    <definedName name="____pvc13" localSheetId="16">#REF!</definedName>
    <definedName name="____pvc13" localSheetId="15">#REF!</definedName>
    <definedName name="____pvc13" localSheetId="14">#REF!</definedName>
    <definedName name="____pvc13" localSheetId="25">#REF!</definedName>
    <definedName name="____pvc13" localSheetId="24">#REF!</definedName>
    <definedName name="____pvc13" localSheetId="23">#REF!</definedName>
    <definedName name="____pvc13" localSheetId="22">#REF!</definedName>
    <definedName name="____pvc13" localSheetId="21">#REF!</definedName>
    <definedName name="____pvc13" localSheetId="20">#REF!</definedName>
    <definedName name="____pvc13" localSheetId="13">#REF!</definedName>
    <definedName name="____pvc13" localSheetId="12">#REF!</definedName>
    <definedName name="____pvc13" localSheetId="11">#REF!</definedName>
    <definedName name="____pvc13" localSheetId="10">#REF!</definedName>
    <definedName name="____pvc13" localSheetId="9">#REF!</definedName>
    <definedName name="____pvc13" localSheetId="8">#REF!</definedName>
    <definedName name="____pvc150" localSheetId="19">#REF!</definedName>
    <definedName name="____pvc150" localSheetId="18">#REF!</definedName>
    <definedName name="____pvc150" localSheetId="17">#REF!</definedName>
    <definedName name="____pvc150" localSheetId="16">#REF!</definedName>
    <definedName name="____pvc150" localSheetId="15">#REF!</definedName>
    <definedName name="____pvc150" localSheetId="14">#REF!</definedName>
    <definedName name="____pvc150" localSheetId="25">#REF!</definedName>
    <definedName name="____pvc150" localSheetId="24">#REF!</definedName>
    <definedName name="____pvc150" localSheetId="23">#REF!</definedName>
    <definedName name="____pvc150" localSheetId="22">#REF!</definedName>
    <definedName name="____pvc150" localSheetId="21">#REF!</definedName>
    <definedName name="____pvc150" localSheetId="20">#REF!</definedName>
    <definedName name="____pvc150" localSheetId="13">#REF!</definedName>
    <definedName name="____pvc150" localSheetId="12">#REF!</definedName>
    <definedName name="____pvc150" localSheetId="11">#REF!</definedName>
    <definedName name="____pvc150" localSheetId="10">#REF!</definedName>
    <definedName name="____pvc150" localSheetId="9">#REF!</definedName>
    <definedName name="____pvc150" localSheetId="8">#REF!</definedName>
    <definedName name="____pvc20" localSheetId="19">#REF!</definedName>
    <definedName name="____pvc20" localSheetId="18">#REF!</definedName>
    <definedName name="____pvc20" localSheetId="17">#REF!</definedName>
    <definedName name="____pvc20" localSheetId="16">#REF!</definedName>
    <definedName name="____pvc20" localSheetId="15">#REF!</definedName>
    <definedName name="____pvc20" localSheetId="14">#REF!</definedName>
    <definedName name="____pvc20" localSheetId="25">#REF!</definedName>
    <definedName name="____pvc20" localSheetId="24">#REF!</definedName>
    <definedName name="____pvc20" localSheetId="23">#REF!</definedName>
    <definedName name="____pvc20" localSheetId="22">#REF!</definedName>
    <definedName name="____pvc20" localSheetId="21">#REF!</definedName>
    <definedName name="____pvc20" localSheetId="20">#REF!</definedName>
    <definedName name="____pvc20" localSheetId="13">#REF!</definedName>
    <definedName name="____pvc20" localSheetId="12">#REF!</definedName>
    <definedName name="____pvc20" localSheetId="11">#REF!</definedName>
    <definedName name="____pvc20" localSheetId="10">#REF!</definedName>
    <definedName name="____pvc20" localSheetId="9">#REF!</definedName>
    <definedName name="____pvc20" localSheetId="8">#REF!</definedName>
    <definedName name="____pvc200" localSheetId="19">#REF!</definedName>
    <definedName name="____pvc200" localSheetId="18">#REF!</definedName>
    <definedName name="____pvc200" localSheetId="17">#REF!</definedName>
    <definedName name="____pvc200" localSheetId="16">#REF!</definedName>
    <definedName name="____pvc200" localSheetId="15">#REF!</definedName>
    <definedName name="____pvc200" localSheetId="14">#REF!</definedName>
    <definedName name="____pvc200" localSheetId="25">#REF!</definedName>
    <definedName name="____pvc200" localSheetId="24">#REF!</definedName>
    <definedName name="____pvc200" localSheetId="23">#REF!</definedName>
    <definedName name="____pvc200" localSheetId="22">#REF!</definedName>
    <definedName name="____pvc200" localSheetId="21">#REF!</definedName>
    <definedName name="____pvc200" localSheetId="20">#REF!</definedName>
    <definedName name="____pvc200" localSheetId="13">#REF!</definedName>
    <definedName name="____pvc200" localSheetId="12">#REF!</definedName>
    <definedName name="____pvc200" localSheetId="11">#REF!</definedName>
    <definedName name="____pvc200" localSheetId="10">#REF!</definedName>
    <definedName name="____pvc200" localSheetId="9">#REF!</definedName>
    <definedName name="____pvc200" localSheetId="8">#REF!</definedName>
    <definedName name="____pvc25" localSheetId="19">#REF!</definedName>
    <definedName name="____pvc25" localSheetId="18">#REF!</definedName>
    <definedName name="____pvc25" localSheetId="17">#REF!</definedName>
    <definedName name="____pvc25" localSheetId="16">#REF!</definedName>
    <definedName name="____pvc25" localSheetId="15">#REF!</definedName>
    <definedName name="____pvc25" localSheetId="14">#REF!</definedName>
    <definedName name="____pvc25" localSheetId="25">#REF!</definedName>
    <definedName name="____pvc25" localSheetId="24">#REF!</definedName>
    <definedName name="____pvc25" localSheetId="23">#REF!</definedName>
    <definedName name="____pvc25" localSheetId="22">#REF!</definedName>
    <definedName name="____pvc25" localSheetId="21">#REF!</definedName>
    <definedName name="____pvc25" localSheetId="20">#REF!</definedName>
    <definedName name="____pvc25" localSheetId="13">#REF!</definedName>
    <definedName name="____pvc25" localSheetId="12">#REF!</definedName>
    <definedName name="____pvc25" localSheetId="11">#REF!</definedName>
    <definedName name="____pvc25" localSheetId="10">#REF!</definedName>
    <definedName name="____pvc25" localSheetId="9">#REF!</definedName>
    <definedName name="____pvc25" localSheetId="8">#REF!</definedName>
    <definedName name="____pvc250" localSheetId="19">#REF!</definedName>
    <definedName name="____pvc250" localSheetId="18">#REF!</definedName>
    <definedName name="____pvc250" localSheetId="17">#REF!</definedName>
    <definedName name="____pvc250" localSheetId="16">#REF!</definedName>
    <definedName name="____pvc250" localSheetId="15">#REF!</definedName>
    <definedName name="____pvc250" localSheetId="14">#REF!</definedName>
    <definedName name="____pvc250" localSheetId="25">#REF!</definedName>
    <definedName name="____pvc250" localSheetId="24">#REF!</definedName>
    <definedName name="____pvc250" localSheetId="23">#REF!</definedName>
    <definedName name="____pvc250" localSheetId="22">#REF!</definedName>
    <definedName name="____pvc250" localSheetId="21">#REF!</definedName>
    <definedName name="____pvc250" localSheetId="20">#REF!</definedName>
    <definedName name="____pvc250" localSheetId="13">#REF!</definedName>
    <definedName name="____pvc250" localSheetId="12">#REF!</definedName>
    <definedName name="____pvc250" localSheetId="11">#REF!</definedName>
    <definedName name="____pvc250" localSheetId="10">#REF!</definedName>
    <definedName name="____pvc250" localSheetId="9">#REF!</definedName>
    <definedName name="____pvc250" localSheetId="8">#REF!</definedName>
    <definedName name="____pvc300" localSheetId="19">#REF!</definedName>
    <definedName name="____pvc300" localSheetId="18">#REF!</definedName>
    <definedName name="____pvc300" localSheetId="17">#REF!</definedName>
    <definedName name="____pvc300" localSheetId="16">#REF!</definedName>
    <definedName name="____pvc300" localSheetId="15">#REF!</definedName>
    <definedName name="____pvc300" localSheetId="14">#REF!</definedName>
    <definedName name="____pvc300" localSheetId="25">#REF!</definedName>
    <definedName name="____pvc300" localSheetId="24">#REF!</definedName>
    <definedName name="____pvc300" localSheetId="23">#REF!</definedName>
    <definedName name="____pvc300" localSheetId="22">#REF!</definedName>
    <definedName name="____pvc300" localSheetId="21">#REF!</definedName>
    <definedName name="____pvc300" localSheetId="20">#REF!</definedName>
    <definedName name="____pvc300" localSheetId="13">#REF!</definedName>
    <definedName name="____pvc300" localSheetId="12">#REF!</definedName>
    <definedName name="____pvc300" localSheetId="11">#REF!</definedName>
    <definedName name="____pvc300" localSheetId="10">#REF!</definedName>
    <definedName name="____pvc300" localSheetId="9">#REF!</definedName>
    <definedName name="____pvc300" localSheetId="8">#REF!</definedName>
    <definedName name="____pvc350" localSheetId="19">#REF!</definedName>
    <definedName name="____pvc350" localSheetId="18">#REF!</definedName>
    <definedName name="____pvc350" localSheetId="17">#REF!</definedName>
    <definedName name="____pvc350" localSheetId="16">#REF!</definedName>
    <definedName name="____pvc350" localSheetId="15">#REF!</definedName>
    <definedName name="____pvc350" localSheetId="14">#REF!</definedName>
    <definedName name="____pvc350" localSheetId="25">#REF!</definedName>
    <definedName name="____pvc350" localSheetId="24">#REF!</definedName>
    <definedName name="____pvc350" localSheetId="23">#REF!</definedName>
    <definedName name="____pvc350" localSheetId="22">#REF!</definedName>
    <definedName name="____pvc350" localSheetId="21">#REF!</definedName>
    <definedName name="____pvc350" localSheetId="20">#REF!</definedName>
    <definedName name="____pvc350" localSheetId="13">#REF!</definedName>
    <definedName name="____pvc350" localSheetId="12">#REF!</definedName>
    <definedName name="____pvc350" localSheetId="11">#REF!</definedName>
    <definedName name="____pvc350" localSheetId="10">#REF!</definedName>
    <definedName name="____pvc350" localSheetId="9">#REF!</definedName>
    <definedName name="____pvc350" localSheetId="8">#REF!</definedName>
    <definedName name="____pvc40" localSheetId="19">#REF!</definedName>
    <definedName name="____pvc40" localSheetId="18">#REF!</definedName>
    <definedName name="____pvc40" localSheetId="17">#REF!</definedName>
    <definedName name="____pvc40" localSheetId="16">#REF!</definedName>
    <definedName name="____pvc40" localSheetId="15">#REF!</definedName>
    <definedName name="____pvc40" localSheetId="14">#REF!</definedName>
    <definedName name="____pvc40" localSheetId="25">#REF!</definedName>
    <definedName name="____pvc40" localSheetId="24">#REF!</definedName>
    <definedName name="____pvc40" localSheetId="23">#REF!</definedName>
    <definedName name="____pvc40" localSheetId="22">#REF!</definedName>
    <definedName name="____pvc40" localSheetId="21">#REF!</definedName>
    <definedName name="____pvc40" localSheetId="20">#REF!</definedName>
    <definedName name="____pvc40" localSheetId="13">#REF!</definedName>
    <definedName name="____pvc40" localSheetId="12">#REF!</definedName>
    <definedName name="____pvc40" localSheetId="11">#REF!</definedName>
    <definedName name="____pvc40" localSheetId="10">#REF!</definedName>
    <definedName name="____pvc40" localSheetId="9">#REF!</definedName>
    <definedName name="____pvc40" localSheetId="8">#REF!</definedName>
    <definedName name="____pvc400" localSheetId="19">#REF!</definedName>
    <definedName name="____pvc400" localSheetId="18">#REF!</definedName>
    <definedName name="____pvc400" localSheetId="17">#REF!</definedName>
    <definedName name="____pvc400" localSheetId="16">#REF!</definedName>
    <definedName name="____pvc400" localSheetId="15">#REF!</definedName>
    <definedName name="____pvc400" localSheetId="14">#REF!</definedName>
    <definedName name="____pvc400" localSheetId="25">#REF!</definedName>
    <definedName name="____pvc400" localSheetId="24">#REF!</definedName>
    <definedName name="____pvc400" localSheetId="23">#REF!</definedName>
    <definedName name="____pvc400" localSheetId="22">#REF!</definedName>
    <definedName name="____pvc400" localSheetId="21">#REF!</definedName>
    <definedName name="____pvc400" localSheetId="20">#REF!</definedName>
    <definedName name="____pvc400" localSheetId="13">#REF!</definedName>
    <definedName name="____pvc400" localSheetId="12">#REF!</definedName>
    <definedName name="____pvc400" localSheetId="11">#REF!</definedName>
    <definedName name="____pvc400" localSheetId="10">#REF!</definedName>
    <definedName name="____pvc400" localSheetId="9">#REF!</definedName>
    <definedName name="____pvc400" localSheetId="8">#REF!</definedName>
    <definedName name="____pvc50" localSheetId="19">#REF!</definedName>
    <definedName name="____pvc50" localSheetId="18">#REF!</definedName>
    <definedName name="____pvc50" localSheetId="17">#REF!</definedName>
    <definedName name="____pvc50" localSheetId="16">#REF!</definedName>
    <definedName name="____pvc50" localSheetId="15">#REF!</definedName>
    <definedName name="____pvc50" localSheetId="14">#REF!</definedName>
    <definedName name="____pvc50" localSheetId="25">#REF!</definedName>
    <definedName name="____pvc50" localSheetId="24">#REF!</definedName>
    <definedName name="____pvc50" localSheetId="23">#REF!</definedName>
    <definedName name="____pvc50" localSheetId="22">#REF!</definedName>
    <definedName name="____pvc50" localSheetId="21">#REF!</definedName>
    <definedName name="____pvc50" localSheetId="20">#REF!</definedName>
    <definedName name="____pvc50" localSheetId="13">#REF!</definedName>
    <definedName name="____pvc50" localSheetId="12">#REF!</definedName>
    <definedName name="____pvc50" localSheetId="11">#REF!</definedName>
    <definedName name="____pvc50" localSheetId="10">#REF!</definedName>
    <definedName name="____pvc50" localSheetId="9">#REF!</definedName>
    <definedName name="____pvc50" localSheetId="8">#REF!</definedName>
    <definedName name="____pvc75" localSheetId="19">#REF!</definedName>
    <definedName name="____pvc75" localSheetId="18">#REF!</definedName>
    <definedName name="____pvc75" localSheetId="17">#REF!</definedName>
    <definedName name="____pvc75" localSheetId="16">#REF!</definedName>
    <definedName name="____pvc75" localSheetId="15">#REF!</definedName>
    <definedName name="____pvc75" localSheetId="14">#REF!</definedName>
    <definedName name="____pvc75" localSheetId="25">#REF!</definedName>
    <definedName name="____pvc75" localSheetId="24">#REF!</definedName>
    <definedName name="____pvc75" localSheetId="23">#REF!</definedName>
    <definedName name="____pvc75" localSheetId="22">#REF!</definedName>
    <definedName name="____pvc75" localSheetId="21">#REF!</definedName>
    <definedName name="____pvc75" localSheetId="20">#REF!</definedName>
    <definedName name="____pvc75" localSheetId="13">#REF!</definedName>
    <definedName name="____pvc75" localSheetId="12">#REF!</definedName>
    <definedName name="____pvc75" localSheetId="11">#REF!</definedName>
    <definedName name="____pvc75" localSheetId="10">#REF!</definedName>
    <definedName name="____pvc75" localSheetId="9">#REF!</definedName>
    <definedName name="____pvc75" localSheetId="8">#REF!</definedName>
    <definedName name="___1736LAMA_Kota_Kabupaten" localSheetId="19">#REF!</definedName>
    <definedName name="___1736LAMA_Kota_Kabupaten" localSheetId="18">#REF!</definedName>
    <definedName name="___1736LAMA_Kota_Kabupaten" localSheetId="17">#REF!</definedName>
    <definedName name="___1736LAMA_Kota_Kabupaten" localSheetId="16">#REF!</definedName>
    <definedName name="___1736LAMA_Kota_Kabupaten" localSheetId="15">#REF!</definedName>
    <definedName name="___1736LAMA_Kota_Kabupaten" localSheetId="14">#REF!</definedName>
    <definedName name="___1736LAMA_Kota_Kabupaten" localSheetId="25">#REF!</definedName>
    <definedName name="___1736LAMA_Kota_Kabupaten" localSheetId="24">#REF!</definedName>
    <definedName name="___1736LAMA_Kota_Kabupaten" localSheetId="23">#REF!</definedName>
    <definedName name="___1736LAMA_Kota_Kabupaten" localSheetId="22">#REF!</definedName>
    <definedName name="___1736LAMA_Kota_Kabupaten" localSheetId="21">#REF!</definedName>
    <definedName name="___1736LAMA_Kota_Kabupaten" localSheetId="20">#REF!</definedName>
    <definedName name="___1736LAMA_Kota_Kabupaten" localSheetId="13">#REF!</definedName>
    <definedName name="___1736LAMA_Kota_Kabupaten" localSheetId="12">#REF!</definedName>
    <definedName name="___1736LAMA_Kota_Kabupaten" localSheetId="11">#REF!</definedName>
    <definedName name="___1736LAMA_Kota_Kabupaten" localSheetId="10">#REF!</definedName>
    <definedName name="___1736LAMA_Kota_Kabupaten" localSheetId="9">#REF!</definedName>
    <definedName name="___1736LAMA_Kota_Kabupaten" localSheetId="8">#REF!</definedName>
    <definedName name="___pvc100" localSheetId="19">#REF!</definedName>
    <definedName name="___pvc100" localSheetId="18">#REF!</definedName>
    <definedName name="___pvc100" localSheetId="17">#REF!</definedName>
    <definedName name="___pvc100" localSheetId="16">#REF!</definedName>
    <definedName name="___pvc100" localSheetId="15">#REF!</definedName>
    <definedName name="___pvc100" localSheetId="14">#REF!</definedName>
    <definedName name="___pvc100" localSheetId="25">#REF!</definedName>
    <definedName name="___pvc100" localSheetId="24">#REF!</definedName>
    <definedName name="___pvc100" localSheetId="23">#REF!</definedName>
    <definedName name="___pvc100" localSheetId="22">#REF!</definedName>
    <definedName name="___pvc100" localSheetId="21">#REF!</definedName>
    <definedName name="___pvc100" localSheetId="20">#REF!</definedName>
    <definedName name="___pvc100" localSheetId="13">#REF!</definedName>
    <definedName name="___pvc100" localSheetId="12">#REF!</definedName>
    <definedName name="___pvc100" localSheetId="11">#REF!</definedName>
    <definedName name="___pvc100" localSheetId="10">#REF!</definedName>
    <definedName name="___pvc100" localSheetId="9">#REF!</definedName>
    <definedName name="___pvc100" localSheetId="8">#REF!</definedName>
    <definedName name="___pvc13" localSheetId="19">#REF!</definedName>
    <definedName name="___pvc13" localSheetId="18">#REF!</definedName>
    <definedName name="___pvc13" localSheetId="17">#REF!</definedName>
    <definedName name="___pvc13" localSheetId="16">#REF!</definedName>
    <definedName name="___pvc13" localSheetId="15">#REF!</definedName>
    <definedName name="___pvc13" localSheetId="14">#REF!</definedName>
    <definedName name="___pvc13" localSheetId="25">#REF!</definedName>
    <definedName name="___pvc13" localSheetId="24">#REF!</definedName>
    <definedName name="___pvc13" localSheetId="23">#REF!</definedName>
    <definedName name="___pvc13" localSheetId="22">#REF!</definedName>
    <definedName name="___pvc13" localSheetId="21">#REF!</definedName>
    <definedName name="___pvc13" localSheetId="20">#REF!</definedName>
    <definedName name="___pvc13" localSheetId="13">#REF!</definedName>
    <definedName name="___pvc13" localSheetId="12">#REF!</definedName>
    <definedName name="___pvc13" localSheetId="11">#REF!</definedName>
    <definedName name="___pvc13" localSheetId="10">#REF!</definedName>
    <definedName name="___pvc13" localSheetId="9">#REF!</definedName>
    <definedName name="___pvc13" localSheetId="8">#REF!</definedName>
    <definedName name="___pvc150" localSheetId="19">#REF!</definedName>
    <definedName name="___pvc150" localSheetId="18">#REF!</definedName>
    <definedName name="___pvc150" localSheetId="17">#REF!</definedName>
    <definedName name="___pvc150" localSheetId="16">#REF!</definedName>
    <definedName name="___pvc150" localSheetId="15">#REF!</definedName>
    <definedName name="___pvc150" localSheetId="14">#REF!</definedName>
    <definedName name="___pvc150" localSheetId="25">#REF!</definedName>
    <definedName name="___pvc150" localSheetId="24">#REF!</definedName>
    <definedName name="___pvc150" localSheetId="23">#REF!</definedName>
    <definedName name="___pvc150" localSheetId="22">#REF!</definedName>
    <definedName name="___pvc150" localSheetId="21">#REF!</definedName>
    <definedName name="___pvc150" localSheetId="20">#REF!</definedName>
    <definedName name="___pvc150" localSheetId="13">#REF!</definedName>
    <definedName name="___pvc150" localSheetId="12">#REF!</definedName>
    <definedName name="___pvc150" localSheetId="11">#REF!</definedName>
    <definedName name="___pvc150" localSheetId="10">#REF!</definedName>
    <definedName name="___pvc150" localSheetId="9">#REF!</definedName>
    <definedName name="___pvc150" localSheetId="8">#REF!</definedName>
    <definedName name="___pvc20" localSheetId="19">#REF!</definedName>
    <definedName name="___pvc20" localSheetId="18">#REF!</definedName>
    <definedName name="___pvc20" localSheetId="17">#REF!</definedName>
    <definedName name="___pvc20" localSheetId="16">#REF!</definedName>
    <definedName name="___pvc20" localSheetId="15">#REF!</definedName>
    <definedName name="___pvc20" localSheetId="14">#REF!</definedName>
    <definedName name="___pvc20" localSheetId="25">#REF!</definedName>
    <definedName name="___pvc20" localSheetId="24">#REF!</definedName>
    <definedName name="___pvc20" localSheetId="23">#REF!</definedName>
    <definedName name="___pvc20" localSheetId="22">#REF!</definedName>
    <definedName name="___pvc20" localSheetId="21">#REF!</definedName>
    <definedName name="___pvc20" localSheetId="20">#REF!</definedName>
    <definedName name="___pvc20" localSheetId="13">#REF!</definedName>
    <definedName name="___pvc20" localSheetId="12">#REF!</definedName>
    <definedName name="___pvc20" localSheetId="11">#REF!</definedName>
    <definedName name="___pvc20" localSheetId="10">#REF!</definedName>
    <definedName name="___pvc20" localSheetId="9">#REF!</definedName>
    <definedName name="___pvc20" localSheetId="8">#REF!</definedName>
    <definedName name="___pvc200" localSheetId="19">#REF!</definedName>
    <definedName name="___pvc200" localSheetId="18">#REF!</definedName>
    <definedName name="___pvc200" localSheetId="17">#REF!</definedName>
    <definedName name="___pvc200" localSheetId="16">#REF!</definedName>
    <definedName name="___pvc200" localSheetId="15">#REF!</definedName>
    <definedName name="___pvc200" localSheetId="14">#REF!</definedName>
    <definedName name="___pvc200" localSheetId="25">#REF!</definedName>
    <definedName name="___pvc200" localSheetId="24">#REF!</definedName>
    <definedName name="___pvc200" localSheetId="23">#REF!</definedName>
    <definedName name="___pvc200" localSheetId="22">#REF!</definedName>
    <definedName name="___pvc200" localSheetId="21">#REF!</definedName>
    <definedName name="___pvc200" localSheetId="20">#REF!</definedName>
    <definedName name="___pvc200" localSheetId="13">#REF!</definedName>
    <definedName name="___pvc200" localSheetId="12">#REF!</definedName>
    <definedName name="___pvc200" localSheetId="11">#REF!</definedName>
    <definedName name="___pvc200" localSheetId="10">#REF!</definedName>
    <definedName name="___pvc200" localSheetId="9">#REF!</definedName>
    <definedName name="___pvc200" localSheetId="8">#REF!</definedName>
    <definedName name="___pvc25" localSheetId="19">#REF!</definedName>
    <definedName name="___pvc25" localSheetId="18">#REF!</definedName>
    <definedName name="___pvc25" localSheetId="17">#REF!</definedName>
    <definedName name="___pvc25" localSheetId="16">#REF!</definedName>
    <definedName name="___pvc25" localSheetId="15">#REF!</definedName>
    <definedName name="___pvc25" localSheetId="14">#REF!</definedName>
    <definedName name="___pvc25" localSheetId="25">#REF!</definedName>
    <definedName name="___pvc25" localSheetId="24">#REF!</definedName>
    <definedName name="___pvc25" localSheetId="23">#REF!</definedName>
    <definedName name="___pvc25" localSheetId="22">#REF!</definedName>
    <definedName name="___pvc25" localSheetId="21">#REF!</definedName>
    <definedName name="___pvc25" localSheetId="20">#REF!</definedName>
    <definedName name="___pvc25" localSheetId="13">#REF!</definedName>
    <definedName name="___pvc25" localSheetId="12">#REF!</definedName>
    <definedName name="___pvc25" localSheetId="11">#REF!</definedName>
    <definedName name="___pvc25" localSheetId="10">#REF!</definedName>
    <definedName name="___pvc25" localSheetId="9">#REF!</definedName>
    <definedName name="___pvc25" localSheetId="8">#REF!</definedName>
    <definedName name="___pvc250" localSheetId="19">#REF!</definedName>
    <definedName name="___pvc250" localSheetId="18">#REF!</definedName>
    <definedName name="___pvc250" localSheetId="17">#REF!</definedName>
    <definedName name="___pvc250" localSheetId="16">#REF!</definedName>
    <definedName name="___pvc250" localSheetId="15">#REF!</definedName>
    <definedName name="___pvc250" localSheetId="14">#REF!</definedName>
    <definedName name="___pvc250" localSheetId="25">#REF!</definedName>
    <definedName name="___pvc250" localSheetId="24">#REF!</definedName>
    <definedName name="___pvc250" localSheetId="23">#REF!</definedName>
    <definedName name="___pvc250" localSheetId="22">#REF!</definedName>
    <definedName name="___pvc250" localSheetId="21">#REF!</definedName>
    <definedName name="___pvc250" localSheetId="20">#REF!</definedName>
    <definedName name="___pvc250" localSheetId="13">#REF!</definedName>
    <definedName name="___pvc250" localSheetId="12">#REF!</definedName>
    <definedName name="___pvc250" localSheetId="11">#REF!</definedName>
    <definedName name="___pvc250" localSheetId="10">#REF!</definedName>
    <definedName name="___pvc250" localSheetId="9">#REF!</definedName>
    <definedName name="___pvc250" localSheetId="8">#REF!</definedName>
    <definedName name="___pvc300" localSheetId="19">#REF!</definedName>
    <definedName name="___pvc300" localSheetId="18">#REF!</definedName>
    <definedName name="___pvc300" localSheetId="17">#REF!</definedName>
    <definedName name="___pvc300" localSheetId="16">#REF!</definedName>
    <definedName name="___pvc300" localSheetId="15">#REF!</definedName>
    <definedName name="___pvc300" localSheetId="14">#REF!</definedName>
    <definedName name="___pvc300" localSheetId="25">#REF!</definedName>
    <definedName name="___pvc300" localSheetId="24">#REF!</definedName>
    <definedName name="___pvc300" localSheetId="23">#REF!</definedName>
    <definedName name="___pvc300" localSheetId="22">#REF!</definedName>
    <definedName name="___pvc300" localSheetId="21">#REF!</definedName>
    <definedName name="___pvc300" localSheetId="20">#REF!</definedName>
    <definedName name="___pvc300" localSheetId="13">#REF!</definedName>
    <definedName name="___pvc300" localSheetId="12">#REF!</definedName>
    <definedName name="___pvc300" localSheetId="11">#REF!</definedName>
    <definedName name="___pvc300" localSheetId="10">#REF!</definedName>
    <definedName name="___pvc300" localSheetId="9">#REF!</definedName>
    <definedName name="___pvc300" localSheetId="8">#REF!</definedName>
    <definedName name="___pvc350" localSheetId="19">#REF!</definedName>
    <definedName name="___pvc350" localSheetId="18">#REF!</definedName>
    <definedName name="___pvc350" localSheetId="17">#REF!</definedName>
    <definedName name="___pvc350" localSheetId="16">#REF!</definedName>
    <definedName name="___pvc350" localSheetId="15">#REF!</definedName>
    <definedName name="___pvc350" localSheetId="14">#REF!</definedName>
    <definedName name="___pvc350" localSheetId="25">#REF!</definedName>
    <definedName name="___pvc350" localSheetId="24">#REF!</definedName>
    <definedName name="___pvc350" localSheetId="23">#REF!</definedName>
    <definedName name="___pvc350" localSheetId="22">#REF!</definedName>
    <definedName name="___pvc350" localSheetId="21">#REF!</definedName>
    <definedName name="___pvc350" localSheetId="20">#REF!</definedName>
    <definedName name="___pvc350" localSheetId="13">#REF!</definedName>
    <definedName name="___pvc350" localSheetId="12">#REF!</definedName>
    <definedName name="___pvc350" localSheetId="11">#REF!</definedName>
    <definedName name="___pvc350" localSheetId="10">#REF!</definedName>
    <definedName name="___pvc350" localSheetId="9">#REF!</definedName>
    <definedName name="___pvc350" localSheetId="8">#REF!</definedName>
    <definedName name="___pvc40" localSheetId="19">#REF!</definedName>
    <definedName name="___pvc40" localSheetId="18">#REF!</definedName>
    <definedName name="___pvc40" localSheetId="17">#REF!</definedName>
    <definedName name="___pvc40" localSheetId="16">#REF!</definedName>
    <definedName name="___pvc40" localSheetId="15">#REF!</definedName>
    <definedName name="___pvc40" localSheetId="14">#REF!</definedName>
    <definedName name="___pvc40" localSheetId="25">#REF!</definedName>
    <definedName name="___pvc40" localSheetId="24">#REF!</definedName>
    <definedName name="___pvc40" localSheetId="23">#REF!</definedName>
    <definedName name="___pvc40" localSheetId="22">#REF!</definedName>
    <definedName name="___pvc40" localSheetId="21">#REF!</definedName>
    <definedName name="___pvc40" localSheetId="20">#REF!</definedName>
    <definedName name="___pvc40" localSheetId="13">#REF!</definedName>
    <definedName name="___pvc40" localSheetId="12">#REF!</definedName>
    <definedName name="___pvc40" localSheetId="11">#REF!</definedName>
    <definedName name="___pvc40" localSheetId="10">#REF!</definedName>
    <definedName name="___pvc40" localSheetId="9">#REF!</definedName>
    <definedName name="___pvc40" localSheetId="8">#REF!</definedName>
    <definedName name="___pvc400" localSheetId="19">#REF!</definedName>
    <definedName name="___pvc400" localSheetId="18">#REF!</definedName>
    <definedName name="___pvc400" localSheetId="17">#REF!</definedName>
    <definedName name="___pvc400" localSheetId="16">#REF!</definedName>
    <definedName name="___pvc400" localSheetId="15">#REF!</definedName>
    <definedName name="___pvc400" localSheetId="14">#REF!</definedName>
    <definedName name="___pvc400" localSheetId="25">#REF!</definedName>
    <definedName name="___pvc400" localSheetId="24">#REF!</definedName>
    <definedName name="___pvc400" localSheetId="23">#REF!</definedName>
    <definedName name="___pvc400" localSheetId="22">#REF!</definedName>
    <definedName name="___pvc400" localSheetId="21">#REF!</definedName>
    <definedName name="___pvc400" localSheetId="20">#REF!</definedName>
    <definedName name="___pvc400" localSheetId="13">#REF!</definedName>
    <definedName name="___pvc400" localSheetId="12">#REF!</definedName>
    <definedName name="___pvc400" localSheetId="11">#REF!</definedName>
    <definedName name="___pvc400" localSheetId="10">#REF!</definedName>
    <definedName name="___pvc400" localSheetId="9">#REF!</definedName>
    <definedName name="___pvc400" localSheetId="8">#REF!</definedName>
    <definedName name="___pvc50" localSheetId="19">#REF!</definedName>
    <definedName name="___pvc50" localSheetId="18">#REF!</definedName>
    <definedName name="___pvc50" localSheetId="17">#REF!</definedName>
    <definedName name="___pvc50" localSheetId="16">#REF!</definedName>
    <definedName name="___pvc50" localSheetId="15">#REF!</definedName>
    <definedName name="___pvc50" localSheetId="14">#REF!</definedName>
    <definedName name="___pvc50" localSheetId="25">#REF!</definedName>
    <definedName name="___pvc50" localSheetId="24">#REF!</definedName>
    <definedName name="___pvc50" localSheetId="23">#REF!</definedName>
    <definedName name="___pvc50" localSheetId="22">#REF!</definedName>
    <definedName name="___pvc50" localSheetId="21">#REF!</definedName>
    <definedName name="___pvc50" localSheetId="20">#REF!</definedName>
    <definedName name="___pvc50" localSheetId="13">#REF!</definedName>
    <definedName name="___pvc50" localSheetId="12">#REF!</definedName>
    <definedName name="___pvc50" localSheetId="11">#REF!</definedName>
    <definedName name="___pvc50" localSheetId="10">#REF!</definedName>
    <definedName name="___pvc50" localSheetId="9">#REF!</definedName>
    <definedName name="___pvc50" localSheetId="8">#REF!</definedName>
    <definedName name="___pvc75" localSheetId="19">#REF!</definedName>
    <definedName name="___pvc75" localSheetId="18">#REF!</definedName>
    <definedName name="___pvc75" localSheetId="17">#REF!</definedName>
    <definedName name="___pvc75" localSheetId="16">#REF!</definedName>
    <definedName name="___pvc75" localSheetId="15">#REF!</definedName>
    <definedName name="___pvc75" localSheetId="14">#REF!</definedName>
    <definedName name="___pvc75" localSheetId="25">#REF!</definedName>
    <definedName name="___pvc75" localSheetId="24">#REF!</definedName>
    <definedName name="___pvc75" localSheetId="23">#REF!</definedName>
    <definedName name="___pvc75" localSheetId="22">#REF!</definedName>
    <definedName name="___pvc75" localSheetId="21">#REF!</definedName>
    <definedName name="___pvc75" localSheetId="20">#REF!</definedName>
    <definedName name="___pvc75" localSheetId="13">#REF!</definedName>
    <definedName name="___pvc75" localSheetId="12">#REF!</definedName>
    <definedName name="___pvc75" localSheetId="11">#REF!</definedName>
    <definedName name="___pvc75" localSheetId="10">#REF!</definedName>
    <definedName name="___pvc75" localSheetId="9">#REF!</definedName>
    <definedName name="___pvc75" localSheetId="8">#REF!</definedName>
    <definedName name="__pvc100" localSheetId="19">#REF!</definedName>
    <definedName name="__pvc100" localSheetId="18">#REF!</definedName>
    <definedName name="__pvc100" localSheetId="17">#REF!</definedName>
    <definedName name="__pvc100" localSheetId="16">#REF!</definedName>
    <definedName name="__pvc100" localSheetId="15">#REF!</definedName>
    <definedName name="__pvc100" localSheetId="14">#REF!</definedName>
    <definedName name="__pvc100" localSheetId="25">#REF!</definedName>
    <definedName name="__pvc100" localSheetId="24">#REF!</definedName>
    <definedName name="__pvc100" localSheetId="23">#REF!</definedName>
    <definedName name="__pvc100" localSheetId="22">#REF!</definedName>
    <definedName name="__pvc100" localSheetId="21">#REF!</definedName>
    <definedName name="__pvc100" localSheetId="20">#REF!</definedName>
    <definedName name="__pvc100" localSheetId="13">#REF!</definedName>
    <definedName name="__pvc100" localSheetId="12">#REF!</definedName>
    <definedName name="__pvc100" localSheetId="11">#REF!</definedName>
    <definedName name="__pvc100" localSheetId="10">#REF!</definedName>
    <definedName name="__pvc100" localSheetId="9">#REF!</definedName>
    <definedName name="__pvc100" localSheetId="8">#REF!</definedName>
    <definedName name="__pvc13" localSheetId="19">#REF!</definedName>
    <definedName name="__pvc13" localSheetId="18">#REF!</definedName>
    <definedName name="__pvc13" localSheetId="17">#REF!</definedName>
    <definedName name="__pvc13" localSheetId="16">#REF!</definedName>
    <definedName name="__pvc13" localSheetId="15">#REF!</definedName>
    <definedName name="__pvc13" localSheetId="14">#REF!</definedName>
    <definedName name="__pvc13" localSheetId="25">#REF!</definedName>
    <definedName name="__pvc13" localSheetId="24">#REF!</definedName>
    <definedName name="__pvc13" localSheetId="23">#REF!</definedName>
    <definedName name="__pvc13" localSheetId="22">#REF!</definedName>
    <definedName name="__pvc13" localSheetId="21">#REF!</definedName>
    <definedName name="__pvc13" localSheetId="20">#REF!</definedName>
    <definedName name="__pvc13" localSheetId="13">#REF!</definedName>
    <definedName name="__pvc13" localSheetId="12">#REF!</definedName>
    <definedName name="__pvc13" localSheetId="11">#REF!</definedName>
    <definedName name="__pvc13" localSheetId="10">#REF!</definedName>
    <definedName name="__pvc13" localSheetId="9">#REF!</definedName>
    <definedName name="__pvc13" localSheetId="8">#REF!</definedName>
    <definedName name="__pvc150" localSheetId="19">#REF!</definedName>
    <definedName name="__pvc150" localSheetId="18">#REF!</definedName>
    <definedName name="__pvc150" localSheetId="17">#REF!</definedName>
    <definedName name="__pvc150" localSheetId="16">#REF!</definedName>
    <definedName name="__pvc150" localSheetId="15">#REF!</definedName>
    <definedName name="__pvc150" localSheetId="14">#REF!</definedName>
    <definedName name="__pvc150" localSheetId="25">#REF!</definedName>
    <definedName name="__pvc150" localSheetId="24">#REF!</definedName>
    <definedName name="__pvc150" localSheetId="23">#REF!</definedName>
    <definedName name="__pvc150" localSheetId="22">#REF!</definedName>
    <definedName name="__pvc150" localSheetId="21">#REF!</definedName>
    <definedName name="__pvc150" localSheetId="20">#REF!</definedName>
    <definedName name="__pvc150" localSheetId="13">#REF!</definedName>
    <definedName name="__pvc150" localSheetId="12">#REF!</definedName>
    <definedName name="__pvc150" localSheetId="11">#REF!</definedName>
    <definedName name="__pvc150" localSheetId="10">#REF!</definedName>
    <definedName name="__pvc150" localSheetId="9">#REF!</definedName>
    <definedName name="__pvc150" localSheetId="8">#REF!</definedName>
    <definedName name="__pvc20" localSheetId="19">#REF!</definedName>
    <definedName name="__pvc20" localSheetId="18">#REF!</definedName>
    <definedName name="__pvc20" localSheetId="17">#REF!</definedName>
    <definedName name="__pvc20" localSheetId="16">#REF!</definedName>
    <definedName name="__pvc20" localSheetId="15">#REF!</definedName>
    <definedName name="__pvc20" localSheetId="14">#REF!</definedName>
    <definedName name="__pvc20" localSheetId="25">#REF!</definedName>
    <definedName name="__pvc20" localSheetId="24">#REF!</definedName>
    <definedName name="__pvc20" localSheetId="23">#REF!</definedName>
    <definedName name="__pvc20" localSheetId="22">#REF!</definedName>
    <definedName name="__pvc20" localSheetId="21">#REF!</definedName>
    <definedName name="__pvc20" localSheetId="20">#REF!</definedName>
    <definedName name="__pvc20" localSheetId="13">#REF!</definedName>
    <definedName name="__pvc20" localSheetId="12">#REF!</definedName>
    <definedName name="__pvc20" localSheetId="11">#REF!</definedName>
    <definedName name="__pvc20" localSheetId="10">#REF!</definedName>
    <definedName name="__pvc20" localSheetId="9">#REF!</definedName>
    <definedName name="__pvc20" localSheetId="8">#REF!</definedName>
    <definedName name="__pvc200" localSheetId="19">#REF!</definedName>
    <definedName name="__pvc200" localSheetId="18">#REF!</definedName>
    <definedName name="__pvc200" localSheetId="17">#REF!</definedName>
    <definedName name="__pvc200" localSheetId="16">#REF!</definedName>
    <definedName name="__pvc200" localSheetId="15">#REF!</definedName>
    <definedName name="__pvc200" localSheetId="14">#REF!</definedName>
    <definedName name="__pvc200" localSheetId="25">#REF!</definedName>
    <definedName name="__pvc200" localSheetId="24">#REF!</definedName>
    <definedName name="__pvc200" localSheetId="23">#REF!</definedName>
    <definedName name="__pvc200" localSheetId="22">#REF!</definedName>
    <definedName name="__pvc200" localSheetId="21">#REF!</definedName>
    <definedName name="__pvc200" localSheetId="20">#REF!</definedName>
    <definedName name="__pvc200" localSheetId="13">#REF!</definedName>
    <definedName name="__pvc200" localSheetId="12">#REF!</definedName>
    <definedName name="__pvc200" localSheetId="11">#REF!</definedName>
    <definedName name="__pvc200" localSheetId="10">#REF!</definedName>
    <definedName name="__pvc200" localSheetId="9">#REF!</definedName>
    <definedName name="__pvc200" localSheetId="8">#REF!</definedName>
    <definedName name="__pvc25" localSheetId="19">#REF!</definedName>
    <definedName name="__pvc25" localSheetId="18">#REF!</definedName>
    <definedName name="__pvc25" localSheetId="17">#REF!</definedName>
    <definedName name="__pvc25" localSheetId="16">#REF!</definedName>
    <definedName name="__pvc25" localSheetId="15">#REF!</definedName>
    <definedName name="__pvc25" localSheetId="14">#REF!</definedName>
    <definedName name="__pvc25" localSheetId="25">#REF!</definedName>
    <definedName name="__pvc25" localSheetId="24">#REF!</definedName>
    <definedName name="__pvc25" localSheetId="23">#REF!</definedName>
    <definedName name="__pvc25" localSheetId="22">#REF!</definedName>
    <definedName name="__pvc25" localSheetId="21">#REF!</definedName>
    <definedName name="__pvc25" localSheetId="20">#REF!</definedName>
    <definedName name="__pvc25" localSheetId="13">#REF!</definedName>
    <definedName name="__pvc25" localSheetId="12">#REF!</definedName>
    <definedName name="__pvc25" localSheetId="11">#REF!</definedName>
    <definedName name="__pvc25" localSheetId="10">#REF!</definedName>
    <definedName name="__pvc25" localSheetId="9">#REF!</definedName>
    <definedName name="__pvc25" localSheetId="8">#REF!</definedName>
    <definedName name="__pvc250" localSheetId="19">#REF!</definedName>
    <definedName name="__pvc250" localSheetId="18">#REF!</definedName>
    <definedName name="__pvc250" localSheetId="17">#REF!</definedName>
    <definedName name="__pvc250" localSheetId="16">#REF!</definedName>
    <definedName name="__pvc250" localSheetId="15">#REF!</definedName>
    <definedName name="__pvc250" localSheetId="14">#REF!</definedName>
    <definedName name="__pvc250" localSheetId="25">#REF!</definedName>
    <definedName name="__pvc250" localSheetId="24">#REF!</definedName>
    <definedName name="__pvc250" localSheetId="23">#REF!</definedName>
    <definedName name="__pvc250" localSheetId="22">#REF!</definedName>
    <definedName name="__pvc250" localSheetId="21">#REF!</definedName>
    <definedName name="__pvc250" localSheetId="20">#REF!</definedName>
    <definedName name="__pvc250" localSheetId="13">#REF!</definedName>
    <definedName name="__pvc250" localSheetId="12">#REF!</definedName>
    <definedName name="__pvc250" localSheetId="11">#REF!</definedName>
    <definedName name="__pvc250" localSheetId="10">#REF!</definedName>
    <definedName name="__pvc250" localSheetId="9">#REF!</definedName>
    <definedName name="__pvc250" localSheetId="8">#REF!</definedName>
    <definedName name="__pvc300" localSheetId="19">#REF!</definedName>
    <definedName name="__pvc300" localSheetId="18">#REF!</definedName>
    <definedName name="__pvc300" localSheetId="17">#REF!</definedName>
    <definedName name="__pvc300" localSheetId="16">#REF!</definedName>
    <definedName name="__pvc300" localSheetId="15">#REF!</definedName>
    <definedName name="__pvc300" localSheetId="14">#REF!</definedName>
    <definedName name="__pvc300" localSheetId="25">#REF!</definedName>
    <definedName name="__pvc300" localSheetId="24">#REF!</definedName>
    <definedName name="__pvc300" localSheetId="23">#REF!</definedName>
    <definedName name="__pvc300" localSheetId="22">#REF!</definedName>
    <definedName name="__pvc300" localSheetId="21">#REF!</definedName>
    <definedName name="__pvc300" localSheetId="20">#REF!</definedName>
    <definedName name="__pvc300" localSheetId="13">#REF!</definedName>
    <definedName name="__pvc300" localSheetId="12">#REF!</definedName>
    <definedName name="__pvc300" localSheetId="11">#REF!</definedName>
    <definedName name="__pvc300" localSheetId="10">#REF!</definedName>
    <definedName name="__pvc300" localSheetId="9">#REF!</definedName>
    <definedName name="__pvc300" localSheetId="8">#REF!</definedName>
    <definedName name="__pvc350" localSheetId="19">#REF!</definedName>
    <definedName name="__pvc350" localSheetId="18">#REF!</definedName>
    <definedName name="__pvc350" localSheetId="17">#REF!</definedName>
    <definedName name="__pvc350" localSheetId="16">#REF!</definedName>
    <definedName name="__pvc350" localSheetId="15">#REF!</definedName>
    <definedName name="__pvc350" localSheetId="14">#REF!</definedName>
    <definedName name="__pvc350" localSheetId="25">#REF!</definedName>
    <definedName name="__pvc350" localSheetId="24">#REF!</definedName>
    <definedName name="__pvc350" localSheetId="23">#REF!</definedName>
    <definedName name="__pvc350" localSheetId="22">#REF!</definedName>
    <definedName name="__pvc350" localSheetId="21">#REF!</definedName>
    <definedName name="__pvc350" localSheetId="20">#REF!</definedName>
    <definedName name="__pvc350" localSheetId="13">#REF!</definedName>
    <definedName name="__pvc350" localSheetId="12">#REF!</definedName>
    <definedName name="__pvc350" localSheetId="11">#REF!</definedName>
    <definedName name="__pvc350" localSheetId="10">#REF!</definedName>
    <definedName name="__pvc350" localSheetId="9">#REF!</definedName>
    <definedName name="__pvc350" localSheetId="8">#REF!</definedName>
    <definedName name="__pvc40" localSheetId="19">#REF!</definedName>
    <definedName name="__pvc40" localSheetId="18">#REF!</definedName>
    <definedName name="__pvc40" localSheetId="17">#REF!</definedName>
    <definedName name="__pvc40" localSheetId="16">#REF!</definedName>
    <definedName name="__pvc40" localSheetId="15">#REF!</definedName>
    <definedName name="__pvc40" localSheetId="14">#REF!</definedName>
    <definedName name="__pvc40" localSheetId="25">#REF!</definedName>
    <definedName name="__pvc40" localSheetId="24">#REF!</definedName>
    <definedName name="__pvc40" localSheetId="23">#REF!</definedName>
    <definedName name="__pvc40" localSheetId="22">#REF!</definedName>
    <definedName name="__pvc40" localSheetId="21">#REF!</definedName>
    <definedName name="__pvc40" localSheetId="20">#REF!</definedName>
    <definedName name="__pvc40" localSheetId="13">#REF!</definedName>
    <definedName name="__pvc40" localSheetId="12">#REF!</definedName>
    <definedName name="__pvc40" localSheetId="11">#REF!</definedName>
    <definedName name="__pvc40" localSheetId="10">#REF!</definedName>
    <definedName name="__pvc40" localSheetId="9">#REF!</definedName>
    <definedName name="__pvc40" localSheetId="8">#REF!</definedName>
    <definedName name="__pvc400" localSheetId="19">#REF!</definedName>
    <definedName name="__pvc400" localSheetId="18">#REF!</definedName>
    <definedName name="__pvc400" localSheetId="17">#REF!</definedName>
    <definedName name="__pvc400" localSheetId="16">#REF!</definedName>
    <definedName name="__pvc400" localSheetId="15">#REF!</definedName>
    <definedName name="__pvc400" localSheetId="14">#REF!</definedName>
    <definedName name="__pvc400" localSheetId="25">#REF!</definedName>
    <definedName name="__pvc400" localSheetId="24">#REF!</definedName>
    <definedName name="__pvc400" localSheetId="23">#REF!</definedName>
    <definedName name="__pvc400" localSheetId="22">#REF!</definedName>
    <definedName name="__pvc400" localSheetId="21">#REF!</definedName>
    <definedName name="__pvc400" localSheetId="20">#REF!</definedName>
    <definedName name="__pvc400" localSheetId="13">#REF!</definedName>
    <definedName name="__pvc400" localSheetId="12">#REF!</definedName>
    <definedName name="__pvc400" localSheetId="11">#REF!</definedName>
    <definedName name="__pvc400" localSheetId="10">#REF!</definedName>
    <definedName name="__pvc400" localSheetId="9">#REF!</definedName>
    <definedName name="__pvc400" localSheetId="8">#REF!</definedName>
    <definedName name="__pvc50" localSheetId="19">#REF!</definedName>
    <definedName name="__pvc50" localSheetId="18">#REF!</definedName>
    <definedName name="__pvc50" localSheetId="17">#REF!</definedName>
    <definedName name="__pvc50" localSheetId="16">#REF!</definedName>
    <definedName name="__pvc50" localSheetId="15">#REF!</definedName>
    <definedName name="__pvc50" localSheetId="14">#REF!</definedName>
    <definedName name="__pvc50" localSheetId="25">#REF!</definedName>
    <definedName name="__pvc50" localSheetId="24">#REF!</definedName>
    <definedName name="__pvc50" localSheetId="23">#REF!</definedName>
    <definedName name="__pvc50" localSheetId="22">#REF!</definedName>
    <definedName name="__pvc50" localSheetId="21">#REF!</definedName>
    <definedName name="__pvc50" localSheetId="20">#REF!</definedName>
    <definedName name="__pvc50" localSheetId="13">#REF!</definedName>
    <definedName name="__pvc50" localSheetId="12">#REF!</definedName>
    <definedName name="__pvc50" localSheetId="11">#REF!</definedName>
    <definedName name="__pvc50" localSheetId="10">#REF!</definedName>
    <definedName name="__pvc50" localSheetId="9">#REF!</definedName>
    <definedName name="__pvc50" localSheetId="8">#REF!</definedName>
    <definedName name="__pvc75" localSheetId="19">#REF!</definedName>
    <definedName name="__pvc75" localSheetId="18">#REF!</definedName>
    <definedName name="__pvc75" localSheetId="17">#REF!</definedName>
    <definedName name="__pvc75" localSheetId="16">#REF!</definedName>
    <definedName name="__pvc75" localSheetId="15">#REF!</definedName>
    <definedName name="__pvc75" localSheetId="14">#REF!</definedName>
    <definedName name="__pvc75" localSheetId="25">#REF!</definedName>
    <definedName name="__pvc75" localSheetId="24">#REF!</definedName>
    <definedName name="__pvc75" localSheetId="23">#REF!</definedName>
    <definedName name="__pvc75" localSheetId="22">#REF!</definedName>
    <definedName name="__pvc75" localSheetId="21">#REF!</definedName>
    <definedName name="__pvc75" localSheetId="20">#REF!</definedName>
    <definedName name="__pvc75" localSheetId="13">#REF!</definedName>
    <definedName name="__pvc75" localSheetId="12">#REF!</definedName>
    <definedName name="__pvc75" localSheetId="11">#REF!</definedName>
    <definedName name="__pvc75" localSheetId="10">#REF!</definedName>
    <definedName name="__pvc75" localSheetId="9">#REF!</definedName>
    <definedName name="__pvc75" localSheetId="8">#REF!</definedName>
    <definedName name="_1\A" localSheetId="19">[1]Rekap!#REF!</definedName>
    <definedName name="_1\A" localSheetId="18">[1]Rekap!#REF!</definedName>
    <definedName name="_1\A" localSheetId="17">[1]Rekap!#REF!</definedName>
    <definedName name="_1\A" localSheetId="16">[1]Rekap!#REF!</definedName>
    <definedName name="_1\A" localSheetId="15">[1]Rekap!#REF!</definedName>
    <definedName name="_1\A" localSheetId="14">[1]Rekap!#REF!</definedName>
    <definedName name="_1\A" localSheetId="25">[1]Rekap!#REF!</definedName>
    <definedName name="_1\A" localSheetId="24">[1]Rekap!#REF!</definedName>
    <definedName name="_1\A" localSheetId="23">[1]Rekap!#REF!</definedName>
    <definedName name="_1\A" localSheetId="22">[1]Rekap!#REF!</definedName>
    <definedName name="_1\A" localSheetId="21">[1]Rekap!#REF!</definedName>
    <definedName name="_1\A" localSheetId="20">[1]Rekap!#REF!</definedName>
    <definedName name="_1\A" localSheetId="13">[2]Rekap!#REF!</definedName>
    <definedName name="_1\A" localSheetId="12">[2]Rekap!#REF!</definedName>
    <definedName name="_1\A" localSheetId="11">[2]Rekap!#REF!</definedName>
    <definedName name="_1\A" localSheetId="10">[2]Rekap!#REF!</definedName>
    <definedName name="_1\A" localSheetId="9">[2]Rekap!#REF!</definedName>
    <definedName name="_1\A" localSheetId="8">[2]Rekap!#REF!</definedName>
    <definedName name="_1736LAMA_Kota_Kabupaten" localSheetId="19">#REF!</definedName>
    <definedName name="_1736LAMA_Kota_Kabupaten" localSheetId="18">#REF!</definedName>
    <definedName name="_1736LAMA_Kota_Kabupaten" localSheetId="17">#REF!</definedName>
    <definedName name="_1736LAMA_Kota_Kabupaten" localSheetId="16">#REF!</definedName>
    <definedName name="_1736LAMA_Kota_Kabupaten" localSheetId="15">#REF!</definedName>
    <definedName name="_1736LAMA_Kota_Kabupaten" localSheetId="14">#REF!</definedName>
    <definedName name="_1736LAMA_Kota_Kabupaten" localSheetId="25">#REF!</definedName>
    <definedName name="_1736LAMA_Kota_Kabupaten" localSheetId="24">#REF!</definedName>
    <definedName name="_1736LAMA_Kota_Kabupaten" localSheetId="23">#REF!</definedName>
    <definedName name="_1736LAMA_Kota_Kabupaten" localSheetId="22">#REF!</definedName>
    <definedName name="_1736LAMA_Kota_Kabupaten" localSheetId="21">#REF!</definedName>
    <definedName name="_1736LAMA_Kota_Kabupaten" localSheetId="20">#REF!</definedName>
    <definedName name="_1736LAMA_Kota_Kabupaten" localSheetId="13">#REF!</definedName>
    <definedName name="_1736LAMA_Kota_Kabupaten" localSheetId="12">#REF!</definedName>
    <definedName name="_1736LAMA_Kota_Kabupaten" localSheetId="11">#REF!</definedName>
    <definedName name="_1736LAMA_Kota_Kabupaten" localSheetId="10">#REF!</definedName>
    <definedName name="_1736LAMA_Kota_Kabupaten" localSheetId="9">#REF!</definedName>
    <definedName name="_1736LAMA_Kota_Kabupaten" localSheetId="8">#REF!</definedName>
    <definedName name="_2\A" localSheetId="19">[1]Rekap!#REF!</definedName>
    <definedName name="_2\A" localSheetId="18">[1]Rekap!#REF!</definedName>
    <definedName name="_2\A" localSheetId="17">[1]Rekap!#REF!</definedName>
    <definedName name="_2\A" localSheetId="16">[1]Rekap!#REF!</definedName>
    <definedName name="_2\A" localSheetId="15">[1]Rekap!#REF!</definedName>
    <definedName name="_2\A" localSheetId="14">[1]Rekap!#REF!</definedName>
    <definedName name="_2\A" localSheetId="25">[1]Rekap!#REF!</definedName>
    <definedName name="_2\A" localSheetId="24">[1]Rekap!#REF!</definedName>
    <definedName name="_2\A" localSheetId="23">[1]Rekap!#REF!</definedName>
    <definedName name="_2\A" localSheetId="22">[1]Rekap!#REF!</definedName>
    <definedName name="_2\A" localSheetId="21">[1]Rekap!#REF!</definedName>
    <definedName name="_2\A" localSheetId="20">[1]Rekap!#REF!</definedName>
    <definedName name="_2\A" localSheetId="13">[2]Rekap!#REF!</definedName>
    <definedName name="_2\A" localSheetId="12">[2]Rekap!#REF!</definedName>
    <definedName name="_2\A" localSheetId="11">[2]Rekap!#REF!</definedName>
    <definedName name="_2\A" localSheetId="10">[2]Rekap!#REF!</definedName>
    <definedName name="_2\A" localSheetId="9">[2]Rekap!#REF!</definedName>
    <definedName name="_2\A" localSheetId="8">[2]Rekap!#REF!</definedName>
    <definedName name="_2_1736LAMA_Kota_Kabupaten" localSheetId="19">#REF!</definedName>
    <definedName name="_2_1736LAMA_Kota_Kabupaten" localSheetId="18">#REF!</definedName>
    <definedName name="_2_1736LAMA_Kota_Kabupaten" localSheetId="17">#REF!</definedName>
    <definedName name="_2_1736LAMA_Kota_Kabupaten" localSheetId="16">#REF!</definedName>
    <definedName name="_2_1736LAMA_Kota_Kabupaten" localSheetId="15">#REF!</definedName>
    <definedName name="_2_1736LAMA_Kota_Kabupaten" localSheetId="14">#REF!</definedName>
    <definedName name="_2_1736LAMA_Kota_Kabupaten" localSheetId="25">#REF!</definedName>
    <definedName name="_2_1736LAMA_Kota_Kabupaten" localSheetId="24">#REF!</definedName>
    <definedName name="_2_1736LAMA_Kota_Kabupaten" localSheetId="23">#REF!</definedName>
    <definedName name="_2_1736LAMA_Kota_Kabupaten" localSheetId="22">#REF!</definedName>
    <definedName name="_2_1736LAMA_Kota_Kabupaten" localSheetId="21">#REF!</definedName>
    <definedName name="_2_1736LAMA_Kota_Kabupaten" localSheetId="20">#REF!</definedName>
    <definedName name="_2_1736LAMA_Kota_Kabupaten" localSheetId="13">#REF!</definedName>
    <definedName name="_2_1736LAMA_Kota_Kabupaten" localSheetId="12">#REF!</definedName>
    <definedName name="_2_1736LAMA_Kota_Kabupaten" localSheetId="11">#REF!</definedName>
    <definedName name="_2_1736LAMA_Kota_Kabupaten" localSheetId="10">#REF!</definedName>
    <definedName name="_2_1736LAMA_Kota_Kabupaten" localSheetId="9">#REF!</definedName>
    <definedName name="_2_1736LAMA_Kota_Kabupaten" localSheetId="8">#REF!</definedName>
    <definedName name="_4_1736LAMA_Kota_Kabupaten" localSheetId="19">#REF!</definedName>
    <definedName name="_4_1736LAMA_Kota_Kabupaten" localSheetId="18">#REF!</definedName>
    <definedName name="_4_1736LAMA_Kota_Kabupaten" localSheetId="17">#REF!</definedName>
    <definedName name="_4_1736LAMA_Kota_Kabupaten" localSheetId="16">#REF!</definedName>
    <definedName name="_4_1736LAMA_Kota_Kabupaten" localSheetId="15">#REF!</definedName>
    <definedName name="_4_1736LAMA_Kota_Kabupaten" localSheetId="14">#REF!</definedName>
    <definedName name="_4_1736LAMA_Kota_Kabupaten" localSheetId="25">#REF!</definedName>
    <definedName name="_4_1736LAMA_Kota_Kabupaten" localSheetId="24">#REF!</definedName>
    <definedName name="_4_1736LAMA_Kota_Kabupaten" localSheetId="23">#REF!</definedName>
    <definedName name="_4_1736LAMA_Kota_Kabupaten" localSheetId="22">#REF!</definedName>
    <definedName name="_4_1736LAMA_Kota_Kabupaten" localSheetId="21">#REF!</definedName>
    <definedName name="_4_1736LAMA_Kota_Kabupaten" localSheetId="20">#REF!</definedName>
    <definedName name="_4_1736LAMA_Kota_Kabupaten" localSheetId="13">#REF!</definedName>
    <definedName name="_4_1736LAMA_Kota_Kabupaten" localSheetId="12">#REF!</definedName>
    <definedName name="_4_1736LAMA_Kota_Kabupaten" localSheetId="11">#REF!</definedName>
    <definedName name="_4_1736LAMA_Kota_Kabupaten" localSheetId="10">#REF!</definedName>
    <definedName name="_4_1736LAMA_Kota_Kabupaten" localSheetId="9">#REF!</definedName>
    <definedName name="_4_1736LAMA_Kota_Kabupaten" localSheetId="8">#REF!</definedName>
    <definedName name="_Key1" localSheetId="19" hidden="1">#REF!</definedName>
    <definedName name="_Key1" localSheetId="18" hidden="1">#REF!</definedName>
    <definedName name="_Key1" localSheetId="17" hidden="1">#REF!</definedName>
    <definedName name="_Key1" localSheetId="16" hidden="1">#REF!</definedName>
    <definedName name="_Key1" localSheetId="15" hidden="1">#REF!</definedName>
    <definedName name="_Key1" localSheetId="14" hidden="1">#REF!</definedName>
    <definedName name="_Key1" localSheetId="25" hidden="1">#REF!</definedName>
    <definedName name="_Key1" localSheetId="24" hidden="1">#REF!</definedName>
    <definedName name="_Key1" localSheetId="23" hidden="1">#REF!</definedName>
    <definedName name="_Key1" localSheetId="22" hidden="1">#REF!</definedName>
    <definedName name="_Key1" localSheetId="21" hidden="1">#REF!</definedName>
    <definedName name="_Key1" localSheetId="20" hidden="1">#REF!</definedName>
    <definedName name="_Key1" localSheetId="13" hidden="1">#REF!</definedName>
    <definedName name="_Key1" localSheetId="12" hidden="1">#REF!</definedName>
    <definedName name="_Key1" localSheetId="11" hidden="1">#REF!</definedName>
    <definedName name="_Key1" localSheetId="10" hidden="1">#REF!</definedName>
    <definedName name="_Key1" localSheetId="9" hidden="1">#REF!</definedName>
    <definedName name="_Key1" localSheetId="8" hidden="1">#REF!</definedName>
    <definedName name="_Order1" hidden="1">255</definedName>
    <definedName name="_Order2" hidden="1">0</definedName>
    <definedName name="_pvc100" localSheetId="19">#REF!</definedName>
    <definedName name="_pvc100" localSheetId="18">#REF!</definedName>
    <definedName name="_pvc100" localSheetId="17">#REF!</definedName>
    <definedName name="_pvc100" localSheetId="16">#REF!</definedName>
    <definedName name="_pvc100" localSheetId="15">#REF!</definedName>
    <definedName name="_pvc100" localSheetId="14">#REF!</definedName>
    <definedName name="_pvc100" localSheetId="25">#REF!</definedName>
    <definedName name="_pvc100" localSheetId="24">#REF!</definedName>
    <definedName name="_pvc100" localSheetId="23">#REF!</definedName>
    <definedName name="_pvc100" localSheetId="22">#REF!</definedName>
    <definedName name="_pvc100" localSheetId="21">#REF!</definedName>
    <definedName name="_pvc100" localSheetId="20">#REF!</definedName>
    <definedName name="_pvc100" localSheetId="13">#REF!</definedName>
    <definedName name="_pvc100" localSheetId="12">#REF!</definedName>
    <definedName name="_pvc100" localSheetId="11">#REF!</definedName>
    <definedName name="_pvc100" localSheetId="10">#REF!</definedName>
    <definedName name="_pvc100" localSheetId="9">#REF!</definedName>
    <definedName name="_pvc100" localSheetId="8">#REF!</definedName>
    <definedName name="_pvc13" localSheetId="19">#REF!</definedName>
    <definedName name="_pvc13" localSheetId="18">#REF!</definedName>
    <definedName name="_pvc13" localSheetId="17">#REF!</definedName>
    <definedName name="_pvc13" localSheetId="16">#REF!</definedName>
    <definedName name="_pvc13" localSheetId="15">#REF!</definedName>
    <definedName name="_pvc13" localSheetId="14">#REF!</definedName>
    <definedName name="_pvc13" localSheetId="25">#REF!</definedName>
    <definedName name="_pvc13" localSheetId="24">#REF!</definedName>
    <definedName name="_pvc13" localSheetId="23">#REF!</definedName>
    <definedName name="_pvc13" localSheetId="22">#REF!</definedName>
    <definedName name="_pvc13" localSheetId="21">#REF!</definedName>
    <definedName name="_pvc13" localSheetId="20">#REF!</definedName>
    <definedName name="_pvc13" localSheetId="13">#REF!</definedName>
    <definedName name="_pvc13" localSheetId="12">#REF!</definedName>
    <definedName name="_pvc13" localSheetId="11">#REF!</definedName>
    <definedName name="_pvc13" localSheetId="10">#REF!</definedName>
    <definedName name="_pvc13" localSheetId="9">#REF!</definedName>
    <definedName name="_pvc13" localSheetId="8">#REF!</definedName>
    <definedName name="_pvc150" localSheetId="19">#REF!</definedName>
    <definedName name="_pvc150" localSheetId="18">#REF!</definedName>
    <definedName name="_pvc150" localSheetId="17">#REF!</definedName>
    <definedName name="_pvc150" localSheetId="16">#REF!</definedName>
    <definedName name="_pvc150" localSheetId="15">#REF!</definedName>
    <definedName name="_pvc150" localSheetId="14">#REF!</definedName>
    <definedName name="_pvc150" localSheetId="25">#REF!</definedName>
    <definedName name="_pvc150" localSheetId="24">#REF!</definedName>
    <definedName name="_pvc150" localSheetId="23">#REF!</definedName>
    <definedName name="_pvc150" localSheetId="22">#REF!</definedName>
    <definedName name="_pvc150" localSheetId="21">#REF!</definedName>
    <definedName name="_pvc150" localSheetId="20">#REF!</definedName>
    <definedName name="_pvc150" localSheetId="13">#REF!</definedName>
    <definedName name="_pvc150" localSheetId="12">#REF!</definedName>
    <definedName name="_pvc150" localSheetId="11">#REF!</definedName>
    <definedName name="_pvc150" localSheetId="10">#REF!</definedName>
    <definedName name="_pvc150" localSheetId="9">#REF!</definedName>
    <definedName name="_pvc150" localSheetId="8">#REF!</definedName>
    <definedName name="_pvc20" localSheetId="19">#REF!</definedName>
    <definedName name="_pvc20" localSheetId="18">#REF!</definedName>
    <definedName name="_pvc20" localSheetId="17">#REF!</definedName>
    <definedName name="_pvc20" localSheetId="16">#REF!</definedName>
    <definedName name="_pvc20" localSheetId="15">#REF!</definedName>
    <definedName name="_pvc20" localSheetId="14">#REF!</definedName>
    <definedName name="_pvc20" localSheetId="25">#REF!</definedName>
    <definedName name="_pvc20" localSheetId="24">#REF!</definedName>
    <definedName name="_pvc20" localSheetId="23">#REF!</definedName>
    <definedName name="_pvc20" localSheetId="22">#REF!</definedName>
    <definedName name="_pvc20" localSheetId="21">#REF!</definedName>
    <definedName name="_pvc20" localSheetId="20">#REF!</definedName>
    <definedName name="_pvc20" localSheetId="13">#REF!</definedName>
    <definedName name="_pvc20" localSheetId="12">#REF!</definedName>
    <definedName name="_pvc20" localSheetId="11">#REF!</definedName>
    <definedName name="_pvc20" localSheetId="10">#REF!</definedName>
    <definedName name="_pvc20" localSheetId="9">#REF!</definedName>
    <definedName name="_pvc20" localSheetId="8">#REF!</definedName>
    <definedName name="_pvc200" localSheetId="19">#REF!</definedName>
    <definedName name="_pvc200" localSheetId="18">#REF!</definedName>
    <definedName name="_pvc200" localSheetId="17">#REF!</definedName>
    <definedName name="_pvc200" localSheetId="16">#REF!</definedName>
    <definedName name="_pvc200" localSheetId="15">#REF!</definedName>
    <definedName name="_pvc200" localSheetId="14">#REF!</definedName>
    <definedName name="_pvc200" localSheetId="25">#REF!</definedName>
    <definedName name="_pvc200" localSheetId="24">#REF!</definedName>
    <definedName name="_pvc200" localSheetId="23">#REF!</definedName>
    <definedName name="_pvc200" localSheetId="22">#REF!</definedName>
    <definedName name="_pvc200" localSheetId="21">#REF!</definedName>
    <definedName name="_pvc200" localSheetId="20">#REF!</definedName>
    <definedName name="_pvc200" localSheetId="13">#REF!</definedName>
    <definedName name="_pvc200" localSheetId="12">#REF!</definedName>
    <definedName name="_pvc200" localSheetId="11">#REF!</definedName>
    <definedName name="_pvc200" localSheetId="10">#REF!</definedName>
    <definedName name="_pvc200" localSheetId="9">#REF!</definedName>
    <definedName name="_pvc200" localSheetId="8">#REF!</definedName>
    <definedName name="_pvc25" localSheetId="19">#REF!</definedName>
    <definedName name="_pvc25" localSheetId="18">#REF!</definedName>
    <definedName name="_pvc25" localSheetId="17">#REF!</definedName>
    <definedName name="_pvc25" localSheetId="16">#REF!</definedName>
    <definedName name="_pvc25" localSheetId="15">#REF!</definedName>
    <definedName name="_pvc25" localSheetId="14">#REF!</definedName>
    <definedName name="_pvc25" localSheetId="25">#REF!</definedName>
    <definedName name="_pvc25" localSheetId="24">#REF!</definedName>
    <definedName name="_pvc25" localSheetId="23">#REF!</definedName>
    <definedName name="_pvc25" localSheetId="22">#REF!</definedName>
    <definedName name="_pvc25" localSheetId="21">#REF!</definedName>
    <definedName name="_pvc25" localSheetId="20">#REF!</definedName>
    <definedName name="_pvc25" localSheetId="13">#REF!</definedName>
    <definedName name="_pvc25" localSheetId="12">#REF!</definedName>
    <definedName name="_pvc25" localSheetId="11">#REF!</definedName>
    <definedName name="_pvc25" localSheetId="10">#REF!</definedName>
    <definedName name="_pvc25" localSheetId="9">#REF!</definedName>
    <definedName name="_pvc25" localSheetId="8">#REF!</definedName>
    <definedName name="_pvc250" localSheetId="19">#REF!</definedName>
    <definedName name="_pvc250" localSheetId="18">#REF!</definedName>
    <definedName name="_pvc250" localSheetId="17">#REF!</definedName>
    <definedName name="_pvc250" localSheetId="16">#REF!</definedName>
    <definedName name="_pvc250" localSheetId="15">#REF!</definedName>
    <definedName name="_pvc250" localSheetId="14">#REF!</definedName>
    <definedName name="_pvc250" localSheetId="25">#REF!</definedName>
    <definedName name="_pvc250" localSheetId="24">#REF!</definedName>
    <definedName name="_pvc250" localSheetId="23">#REF!</definedName>
    <definedName name="_pvc250" localSheetId="22">#REF!</definedName>
    <definedName name="_pvc250" localSheetId="21">#REF!</definedName>
    <definedName name="_pvc250" localSheetId="20">#REF!</definedName>
    <definedName name="_pvc250" localSheetId="13">#REF!</definedName>
    <definedName name="_pvc250" localSheetId="12">#REF!</definedName>
    <definedName name="_pvc250" localSheetId="11">#REF!</definedName>
    <definedName name="_pvc250" localSheetId="10">#REF!</definedName>
    <definedName name="_pvc250" localSheetId="9">#REF!</definedName>
    <definedName name="_pvc250" localSheetId="8">#REF!</definedName>
    <definedName name="_pvc300" localSheetId="19">#REF!</definedName>
    <definedName name="_pvc300" localSheetId="18">#REF!</definedName>
    <definedName name="_pvc300" localSheetId="17">#REF!</definedName>
    <definedName name="_pvc300" localSheetId="16">#REF!</definedName>
    <definedName name="_pvc300" localSheetId="15">#REF!</definedName>
    <definedName name="_pvc300" localSheetId="14">#REF!</definedName>
    <definedName name="_pvc300" localSheetId="25">#REF!</definedName>
    <definedName name="_pvc300" localSheetId="24">#REF!</definedName>
    <definedName name="_pvc300" localSheetId="23">#REF!</definedName>
    <definedName name="_pvc300" localSheetId="22">#REF!</definedName>
    <definedName name="_pvc300" localSheetId="21">#REF!</definedName>
    <definedName name="_pvc300" localSheetId="20">#REF!</definedName>
    <definedName name="_pvc300" localSheetId="13">#REF!</definedName>
    <definedName name="_pvc300" localSheetId="12">#REF!</definedName>
    <definedName name="_pvc300" localSheetId="11">#REF!</definedName>
    <definedName name="_pvc300" localSheetId="10">#REF!</definedName>
    <definedName name="_pvc300" localSheetId="9">#REF!</definedName>
    <definedName name="_pvc300" localSheetId="8">#REF!</definedName>
    <definedName name="_pvc350" localSheetId="19">#REF!</definedName>
    <definedName name="_pvc350" localSheetId="18">#REF!</definedName>
    <definedName name="_pvc350" localSheetId="17">#REF!</definedName>
    <definedName name="_pvc350" localSheetId="16">#REF!</definedName>
    <definedName name="_pvc350" localSheetId="15">#REF!</definedName>
    <definedName name="_pvc350" localSheetId="14">#REF!</definedName>
    <definedName name="_pvc350" localSheetId="25">#REF!</definedName>
    <definedName name="_pvc350" localSheetId="24">#REF!</definedName>
    <definedName name="_pvc350" localSheetId="23">#REF!</definedName>
    <definedName name="_pvc350" localSheetId="22">#REF!</definedName>
    <definedName name="_pvc350" localSheetId="21">#REF!</definedName>
    <definedName name="_pvc350" localSheetId="20">#REF!</definedName>
    <definedName name="_pvc350" localSheetId="13">#REF!</definedName>
    <definedName name="_pvc350" localSheetId="12">#REF!</definedName>
    <definedName name="_pvc350" localSheetId="11">#REF!</definedName>
    <definedName name="_pvc350" localSheetId="10">#REF!</definedName>
    <definedName name="_pvc350" localSheetId="9">#REF!</definedName>
    <definedName name="_pvc350" localSheetId="8">#REF!</definedName>
    <definedName name="_pvc40" localSheetId="19">#REF!</definedName>
    <definedName name="_pvc40" localSheetId="18">#REF!</definedName>
    <definedName name="_pvc40" localSheetId="17">#REF!</definedName>
    <definedName name="_pvc40" localSheetId="16">#REF!</definedName>
    <definedName name="_pvc40" localSheetId="15">#REF!</definedName>
    <definedName name="_pvc40" localSheetId="14">#REF!</definedName>
    <definedName name="_pvc40" localSheetId="25">#REF!</definedName>
    <definedName name="_pvc40" localSheetId="24">#REF!</definedName>
    <definedName name="_pvc40" localSheetId="23">#REF!</definedName>
    <definedName name="_pvc40" localSheetId="22">#REF!</definedName>
    <definedName name="_pvc40" localSheetId="21">#REF!</definedName>
    <definedName name="_pvc40" localSheetId="20">#REF!</definedName>
    <definedName name="_pvc40" localSheetId="13">#REF!</definedName>
    <definedName name="_pvc40" localSheetId="12">#REF!</definedName>
    <definedName name="_pvc40" localSheetId="11">#REF!</definedName>
    <definedName name="_pvc40" localSheetId="10">#REF!</definedName>
    <definedName name="_pvc40" localSheetId="9">#REF!</definedName>
    <definedName name="_pvc40" localSheetId="8">#REF!</definedName>
    <definedName name="_pvc400" localSheetId="19">#REF!</definedName>
    <definedName name="_pvc400" localSheetId="18">#REF!</definedName>
    <definedName name="_pvc400" localSheetId="17">#REF!</definedName>
    <definedName name="_pvc400" localSheetId="16">#REF!</definedName>
    <definedName name="_pvc400" localSheetId="15">#REF!</definedName>
    <definedName name="_pvc400" localSheetId="14">#REF!</definedName>
    <definedName name="_pvc400" localSheetId="25">#REF!</definedName>
    <definedName name="_pvc400" localSheetId="24">#REF!</definedName>
    <definedName name="_pvc400" localSheetId="23">#REF!</definedName>
    <definedName name="_pvc400" localSheetId="22">#REF!</definedName>
    <definedName name="_pvc400" localSheetId="21">#REF!</definedName>
    <definedName name="_pvc400" localSheetId="20">#REF!</definedName>
    <definedName name="_pvc400" localSheetId="13">#REF!</definedName>
    <definedName name="_pvc400" localSheetId="12">#REF!</definedName>
    <definedName name="_pvc400" localSheetId="11">#REF!</definedName>
    <definedName name="_pvc400" localSheetId="10">#REF!</definedName>
    <definedName name="_pvc400" localSheetId="9">#REF!</definedName>
    <definedName name="_pvc400" localSheetId="8">#REF!</definedName>
    <definedName name="_pvc50" localSheetId="19">#REF!</definedName>
    <definedName name="_pvc50" localSheetId="18">#REF!</definedName>
    <definedName name="_pvc50" localSheetId="17">#REF!</definedName>
    <definedName name="_pvc50" localSheetId="16">#REF!</definedName>
    <definedName name="_pvc50" localSheetId="15">#REF!</definedName>
    <definedName name="_pvc50" localSheetId="14">#REF!</definedName>
    <definedName name="_pvc50" localSheetId="25">#REF!</definedName>
    <definedName name="_pvc50" localSheetId="24">#REF!</definedName>
    <definedName name="_pvc50" localSheetId="23">#REF!</definedName>
    <definedName name="_pvc50" localSheetId="22">#REF!</definedName>
    <definedName name="_pvc50" localSheetId="21">#REF!</definedName>
    <definedName name="_pvc50" localSheetId="20">#REF!</definedName>
    <definedName name="_pvc50" localSheetId="13">#REF!</definedName>
    <definedName name="_pvc50" localSheetId="12">#REF!</definedName>
    <definedName name="_pvc50" localSheetId="11">#REF!</definedName>
    <definedName name="_pvc50" localSheetId="10">#REF!</definedName>
    <definedName name="_pvc50" localSheetId="9">#REF!</definedName>
    <definedName name="_pvc50" localSheetId="8">#REF!</definedName>
    <definedName name="_pvc75" localSheetId="19">#REF!</definedName>
    <definedName name="_pvc75" localSheetId="18">#REF!</definedName>
    <definedName name="_pvc75" localSheetId="17">#REF!</definedName>
    <definedName name="_pvc75" localSheetId="16">#REF!</definedName>
    <definedName name="_pvc75" localSheetId="15">#REF!</definedName>
    <definedName name="_pvc75" localSheetId="14">#REF!</definedName>
    <definedName name="_pvc75" localSheetId="25">#REF!</definedName>
    <definedName name="_pvc75" localSheetId="24">#REF!</definedName>
    <definedName name="_pvc75" localSheetId="23">#REF!</definedName>
    <definedName name="_pvc75" localSheetId="22">#REF!</definedName>
    <definedName name="_pvc75" localSheetId="21">#REF!</definedName>
    <definedName name="_pvc75" localSheetId="20">#REF!</definedName>
    <definedName name="_pvc75" localSheetId="13">#REF!</definedName>
    <definedName name="_pvc75" localSheetId="12">#REF!</definedName>
    <definedName name="_pvc75" localSheetId="11">#REF!</definedName>
    <definedName name="_pvc75" localSheetId="10">#REF!</definedName>
    <definedName name="_pvc75" localSheetId="9">#REF!</definedName>
    <definedName name="_pvc75" localSheetId="8">#REF!</definedName>
    <definedName name="_Sort" localSheetId="19" hidden="1">#REF!</definedName>
    <definedName name="_Sort" localSheetId="18" hidden="1">#REF!</definedName>
    <definedName name="_Sort" localSheetId="17" hidden="1">#REF!</definedName>
    <definedName name="_Sort" localSheetId="16" hidden="1">#REF!</definedName>
    <definedName name="_Sort" localSheetId="15" hidden="1">#REF!</definedName>
    <definedName name="_Sort" localSheetId="14" hidden="1">#REF!</definedName>
    <definedName name="_Sort" localSheetId="25" hidden="1">#REF!</definedName>
    <definedName name="_Sort" localSheetId="24" hidden="1">#REF!</definedName>
    <definedName name="_Sort" localSheetId="23" hidden="1">#REF!</definedName>
    <definedName name="_Sort" localSheetId="22" hidden="1">#REF!</definedName>
    <definedName name="_Sort" localSheetId="21" hidden="1">#REF!</definedName>
    <definedName name="_Sort" localSheetId="20" hidden="1">#REF!</definedName>
    <definedName name="_Sort" localSheetId="13" hidden="1">#REF!</definedName>
    <definedName name="_Sort" localSheetId="12" hidden="1">#REF!</definedName>
    <definedName name="_Sort" localSheetId="11" hidden="1">#REF!</definedName>
    <definedName name="_Sort" localSheetId="10" hidden="1">#REF!</definedName>
    <definedName name="_Sort" localSheetId="9" hidden="1">#REF!</definedName>
    <definedName name="_Sort" localSheetId="8" hidden="1">#REF!</definedName>
    <definedName name="A" localSheetId="19">#REF!</definedName>
    <definedName name="A" localSheetId="18">#REF!</definedName>
    <definedName name="A" localSheetId="17">#REF!</definedName>
    <definedName name="A" localSheetId="16">#REF!</definedName>
    <definedName name="A" localSheetId="15">#REF!</definedName>
    <definedName name="A" localSheetId="14">#REF!</definedName>
    <definedName name="A" localSheetId="25">#REF!</definedName>
    <definedName name="A" localSheetId="24">#REF!</definedName>
    <definedName name="A" localSheetId="23">#REF!</definedName>
    <definedName name="A" localSheetId="22">#REF!</definedName>
    <definedName name="A" localSheetId="21">#REF!</definedName>
    <definedName name="A" localSheetId="20">#REF!</definedName>
    <definedName name="A" localSheetId="13">#REF!</definedName>
    <definedName name="A" localSheetId="12">#REF!</definedName>
    <definedName name="A" localSheetId="11">#REF!</definedName>
    <definedName name="A" localSheetId="10">#REF!</definedName>
    <definedName name="A" localSheetId="9">#REF!</definedName>
    <definedName name="A" localSheetId="8">#REF!</definedName>
    <definedName name="a.1" localSheetId="19">#REF!</definedName>
    <definedName name="a.1" localSheetId="18">#REF!</definedName>
    <definedName name="a.1" localSheetId="17">#REF!</definedName>
    <definedName name="a.1" localSheetId="16">#REF!</definedName>
    <definedName name="a.1" localSheetId="15">#REF!</definedName>
    <definedName name="a.1" localSheetId="14">#REF!</definedName>
    <definedName name="a.1" localSheetId="25">#REF!</definedName>
    <definedName name="a.1" localSheetId="24">#REF!</definedName>
    <definedName name="a.1" localSheetId="23">#REF!</definedName>
    <definedName name="a.1" localSheetId="22">#REF!</definedName>
    <definedName name="a.1" localSheetId="21">#REF!</definedName>
    <definedName name="a.1" localSheetId="20">#REF!</definedName>
    <definedName name="a.1" localSheetId="13">#REF!</definedName>
    <definedName name="a.1" localSheetId="12">#REF!</definedName>
    <definedName name="a.1" localSheetId="11">#REF!</definedName>
    <definedName name="a.1" localSheetId="10">#REF!</definedName>
    <definedName name="a.1" localSheetId="9">#REF!</definedName>
    <definedName name="a.1" localSheetId="8">#REF!</definedName>
    <definedName name="a.11" localSheetId="19">#REF!</definedName>
    <definedName name="a.11" localSheetId="18">#REF!</definedName>
    <definedName name="a.11" localSheetId="17">#REF!</definedName>
    <definedName name="a.11" localSheetId="16">#REF!</definedName>
    <definedName name="a.11" localSheetId="15">#REF!</definedName>
    <definedName name="a.11" localSheetId="14">#REF!</definedName>
    <definedName name="a.11" localSheetId="25">#REF!</definedName>
    <definedName name="a.11" localSheetId="24">#REF!</definedName>
    <definedName name="a.11" localSheetId="23">#REF!</definedName>
    <definedName name="a.11" localSheetId="22">#REF!</definedName>
    <definedName name="a.11" localSheetId="21">#REF!</definedName>
    <definedName name="a.11" localSheetId="20">#REF!</definedName>
    <definedName name="a.11" localSheetId="13">#REF!</definedName>
    <definedName name="a.11" localSheetId="12">#REF!</definedName>
    <definedName name="a.11" localSheetId="11">#REF!</definedName>
    <definedName name="a.11" localSheetId="10">#REF!</definedName>
    <definedName name="a.11" localSheetId="9">#REF!</definedName>
    <definedName name="a.11" localSheetId="8">#REF!</definedName>
    <definedName name="a.11.a" localSheetId="19">#REF!</definedName>
    <definedName name="a.11.a" localSheetId="18">#REF!</definedName>
    <definedName name="a.11.a" localSheetId="17">#REF!</definedName>
    <definedName name="a.11.a" localSheetId="16">#REF!</definedName>
    <definedName name="a.11.a" localSheetId="15">#REF!</definedName>
    <definedName name="a.11.a" localSheetId="14">#REF!</definedName>
    <definedName name="a.11.a" localSheetId="25">#REF!</definedName>
    <definedName name="a.11.a" localSheetId="24">#REF!</definedName>
    <definedName name="a.11.a" localSheetId="23">#REF!</definedName>
    <definedName name="a.11.a" localSheetId="22">#REF!</definedName>
    <definedName name="a.11.a" localSheetId="21">#REF!</definedName>
    <definedName name="a.11.a" localSheetId="20">#REF!</definedName>
    <definedName name="a.11.a" localSheetId="13">#REF!</definedName>
    <definedName name="a.11.a" localSheetId="12">#REF!</definedName>
    <definedName name="a.11.a" localSheetId="11">#REF!</definedName>
    <definedName name="a.11.a" localSheetId="10">#REF!</definedName>
    <definedName name="a.11.a" localSheetId="9">#REF!</definedName>
    <definedName name="a.11.a" localSheetId="8">#REF!</definedName>
    <definedName name="a.16" localSheetId="19">#REF!</definedName>
    <definedName name="a.16" localSheetId="18">#REF!</definedName>
    <definedName name="a.16" localSheetId="17">#REF!</definedName>
    <definedName name="a.16" localSheetId="16">#REF!</definedName>
    <definedName name="a.16" localSheetId="15">#REF!</definedName>
    <definedName name="a.16" localSheetId="14">#REF!</definedName>
    <definedName name="a.16" localSheetId="25">#REF!</definedName>
    <definedName name="a.16" localSheetId="24">#REF!</definedName>
    <definedName name="a.16" localSheetId="23">#REF!</definedName>
    <definedName name="a.16" localSheetId="22">#REF!</definedName>
    <definedName name="a.16" localSheetId="21">#REF!</definedName>
    <definedName name="a.16" localSheetId="20">#REF!</definedName>
    <definedName name="a.16" localSheetId="13">#REF!</definedName>
    <definedName name="a.16" localSheetId="12">#REF!</definedName>
    <definedName name="a.16" localSheetId="11">#REF!</definedName>
    <definedName name="a.16" localSheetId="10">#REF!</definedName>
    <definedName name="a.16" localSheetId="9">#REF!</definedName>
    <definedName name="a.16" localSheetId="8">#REF!</definedName>
    <definedName name="a.16.a" localSheetId="19">#REF!</definedName>
    <definedName name="a.16.a" localSheetId="18">#REF!</definedName>
    <definedName name="a.16.a" localSheetId="17">#REF!</definedName>
    <definedName name="a.16.a" localSheetId="16">#REF!</definedName>
    <definedName name="a.16.a" localSheetId="15">#REF!</definedName>
    <definedName name="a.16.a" localSheetId="14">#REF!</definedName>
    <definedName name="a.16.a" localSheetId="25">#REF!</definedName>
    <definedName name="a.16.a" localSheetId="24">#REF!</definedName>
    <definedName name="a.16.a" localSheetId="23">#REF!</definedName>
    <definedName name="a.16.a" localSheetId="22">#REF!</definedName>
    <definedName name="a.16.a" localSheetId="21">#REF!</definedName>
    <definedName name="a.16.a" localSheetId="20">#REF!</definedName>
    <definedName name="a.16.a" localSheetId="13">#REF!</definedName>
    <definedName name="a.16.a" localSheetId="12">#REF!</definedName>
    <definedName name="a.16.a" localSheetId="11">#REF!</definedName>
    <definedName name="a.16.a" localSheetId="10">#REF!</definedName>
    <definedName name="a.16.a" localSheetId="9">#REF!</definedName>
    <definedName name="a.16.a" localSheetId="8">#REF!</definedName>
    <definedName name="a.16.b" localSheetId="19">#REF!</definedName>
    <definedName name="a.16.b" localSheetId="18">#REF!</definedName>
    <definedName name="a.16.b" localSheetId="17">#REF!</definedName>
    <definedName name="a.16.b" localSheetId="16">#REF!</definedName>
    <definedName name="a.16.b" localSheetId="15">#REF!</definedName>
    <definedName name="a.16.b" localSheetId="14">#REF!</definedName>
    <definedName name="a.16.b" localSheetId="25">#REF!</definedName>
    <definedName name="a.16.b" localSheetId="24">#REF!</definedName>
    <definedName name="a.16.b" localSheetId="23">#REF!</definedName>
    <definedName name="a.16.b" localSheetId="22">#REF!</definedName>
    <definedName name="a.16.b" localSheetId="21">#REF!</definedName>
    <definedName name="a.16.b" localSheetId="20">#REF!</definedName>
    <definedName name="a.16.b" localSheetId="13">#REF!</definedName>
    <definedName name="a.16.b" localSheetId="12">#REF!</definedName>
    <definedName name="a.16.b" localSheetId="11">#REF!</definedName>
    <definedName name="a.16.b" localSheetId="10">#REF!</definedName>
    <definedName name="a.16.b" localSheetId="9">#REF!</definedName>
    <definedName name="a.16.b" localSheetId="8">#REF!</definedName>
    <definedName name="a.18" localSheetId="19">#REF!</definedName>
    <definedName name="a.18" localSheetId="18">#REF!</definedName>
    <definedName name="a.18" localSheetId="17">#REF!</definedName>
    <definedName name="a.18" localSheetId="16">#REF!</definedName>
    <definedName name="a.18" localSheetId="15">#REF!</definedName>
    <definedName name="a.18" localSheetId="14">#REF!</definedName>
    <definedName name="a.18" localSheetId="25">#REF!</definedName>
    <definedName name="a.18" localSheetId="24">#REF!</definedName>
    <definedName name="a.18" localSheetId="23">#REF!</definedName>
    <definedName name="a.18" localSheetId="22">#REF!</definedName>
    <definedName name="a.18" localSheetId="21">#REF!</definedName>
    <definedName name="a.18" localSheetId="20">#REF!</definedName>
    <definedName name="a.18" localSheetId="13">#REF!</definedName>
    <definedName name="a.18" localSheetId="12">#REF!</definedName>
    <definedName name="a.18" localSheetId="11">#REF!</definedName>
    <definedName name="a.18" localSheetId="10">#REF!</definedName>
    <definedName name="a.18" localSheetId="9">#REF!</definedName>
    <definedName name="a.18" localSheetId="8">#REF!</definedName>
    <definedName name="a.18.a" localSheetId="19">#REF!</definedName>
    <definedName name="a.18.a" localSheetId="18">#REF!</definedName>
    <definedName name="a.18.a" localSheetId="17">#REF!</definedName>
    <definedName name="a.18.a" localSheetId="16">#REF!</definedName>
    <definedName name="a.18.a" localSheetId="15">#REF!</definedName>
    <definedName name="a.18.a" localSheetId="14">#REF!</definedName>
    <definedName name="a.18.a" localSheetId="25">#REF!</definedName>
    <definedName name="a.18.a" localSheetId="24">#REF!</definedName>
    <definedName name="a.18.a" localSheetId="23">#REF!</definedName>
    <definedName name="a.18.a" localSheetId="22">#REF!</definedName>
    <definedName name="a.18.a" localSheetId="21">#REF!</definedName>
    <definedName name="a.18.a" localSheetId="20">#REF!</definedName>
    <definedName name="a.18.a" localSheetId="13">#REF!</definedName>
    <definedName name="a.18.a" localSheetId="12">#REF!</definedName>
    <definedName name="a.18.a" localSheetId="11">#REF!</definedName>
    <definedName name="a.18.a" localSheetId="10">#REF!</definedName>
    <definedName name="a.18.a" localSheetId="9">#REF!</definedName>
    <definedName name="a.18.a" localSheetId="8">#REF!</definedName>
    <definedName name="a.2" localSheetId="19">#REF!</definedName>
    <definedName name="a.2" localSheetId="18">#REF!</definedName>
    <definedName name="a.2" localSheetId="17">#REF!</definedName>
    <definedName name="a.2" localSheetId="16">#REF!</definedName>
    <definedName name="a.2" localSheetId="15">#REF!</definedName>
    <definedName name="a.2" localSheetId="14">#REF!</definedName>
    <definedName name="a.2" localSheetId="25">#REF!</definedName>
    <definedName name="a.2" localSheetId="24">#REF!</definedName>
    <definedName name="a.2" localSheetId="23">#REF!</definedName>
    <definedName name="a.2" localSheetId="22">#REF!</definedName>
    <definedName name="a.2" localSheetId="21">#REF!</definedName>
    <definedName name="a.2" localSheetId="20">#REF!</definedName>
    <definedName name="a.2" localSheetId="13">#REF!</definedName>
    <definedName name="a.2" localSheetId="12">#REF!</definedName>
    <definedName name="a.2" localSheetId="11">#REF!</definedName>
    <definedName name="a.2" localSheetId="10">#REF!</definedName>
    <definedName name="a.2" localSheetId="9">#REF!</definedName>
    <definedName name="a.2" localSheetId="8">#REF!</definedName>
    <definedName name="a.21" localSheetId="19">#REF!</definedName>
    <definedName name="a.21" localSheetId="18">#REF!</definedName>
    <definedName name="a.21" localSheetId="17">#REF!</definedName>
    <definedName name="a.21" localSheetId="16">#REF!</definedName>
    <definedName name="a.21" localSheetId="15">#REF!</definedName>
    <definedName name="a.21" localSheetId="14">#REF!</definedName>
    <definedName name="a.21" localSheetId="25">#REF!</definedName>
    <definedName name="a.21" localSheetId="24">#REF!</definedName>
    <definedName name="a.21" localSheetId="23">#REF!</definedName>
    <definedName name="a.21" localSheetId="22">#REF!</definedName>
    <definedName name="a.21" localSheetId="21">#REF!</definedName>
    <definedName name="a.21" localSheetId="20">#REF!</definedName>
    <definedName name="a.21" localSheetId="13">#REF!</definedName>
    <definedName name="a.21" localSheetId="12">#REF!</definedName>
    <definedName name="a.21" localSheetId="11">#REF!</definedName>
    <definedName name="a.21" localSheetId="10">#REF!</definedName>
    <definedName name="a.21" localSheetId="9">#REF!</definedName>
    <definedName name="a.21" localSheetId="8">#REF!</definedName>
    <definedName name="a.3" localSheetId="19">#REF!</definedName>
    <definedName name="a.3" localSheetId="18">#REF!</definedName>
    <definedName name="a.3" localSheetId="17">#REF!</definedName>
    <definedName name="a.3" localSheetId="16">#REF!</definedName>
    <definedName name="a.3" localSheetId="15">#REF!</definedName>
    <definedName name="a.3" localSheetId="14">#REF!</definedName>
    <definedName name="a.3" localSheetId="25">#REF!</definedName>
    <definedName name="a.3" localSheetId="24">#REF!</definedName>
    <definedName name="a.3" localSheetId="23">#REF!</definedName>
    <definedName name="a.3" localSheetId="22">#REF!</definedName>
    <definedName name="a.3" localSheetId="21">#REF!</definedName>
    <definedName name="a.3" localSheetId="20">#REF!</definedName>
    <definedName name="a.3" localSheetId="13">#REF!</definedName>
    <definedName name="a.3" localSheetId="12">#REF!</definedName>
    <definedName name="a.3" localSheetId="11">#REF!</definedName>
    <definedName name="a.3" localSheetId="10">#REF!</definedName>
    <definedName name="a.3" localSheetId="9">#REF!</definedName>
    <definedName name="a.3" localSheetId="8">#REF!</definedName>
    <definedName name="a.4" localSheetId="19">#REF!</definedName>
    <definedName name="a.4" localSheetId="18">#REF!</definedName>
    <definedName name="a.4" localSheetId="17">#REF!</definedName>
    <definedName name="a.4" localSheetId="16">#REF!</definedName>
    <definedName name="a.4" localSheetId="15">#REF!</definedName>
    <definedName name="a.4" localSheetId="14">#REF!</definedName>
    <definedName name="a.4" localSheetId="25">#REF!</definedName>
    <definedName name="a.4" localSheetId="24">#REF!</definedName>
    <definedName name="a.4" localSheetId="23">#REF!</definedName>
    <definedName name="a.4" localSheetId="22">#REF!</definedName>
    <definedName name="a.4" localSheetId="21">#REF!</definedName>
    <definedName name="a.4" localSheetId="20">#REF!</definedName>
    <definedName name="a.4" localSheetId="13">#REF!</definedName>
    <definedName name="a.4" localSheetId="12">#REF!</definedName>
    <definedName name="a.4" localSheetId="11">#REF!</definedName>
    <definedName name="a.4" localSheetId="10">#REF!</definedName>
    <definedName name="a.4" localSheetId="9">#REF!</definedName>
    <definedName name="a.4" localSheetId="8">#REF!</definedName>
    <definedName name="a.5" localSheetId="19">#REF!</definedName>
    <definedName name="a.5" localSheetId="18">#REF!</definedName>
    <definedName name="a.5" localSheetId="17">#REF!</definedName>
    <definedName name="a.5" localSheetId="16">#REF!</definedName>
    <definedName name="a.5" localSheetId="15">#REF!</definedName>
    <definedName name="a.5" localSheetId="14">#REF!</definedName>
    <definedName name="a.5" localSheetId="25">#REF!</definedName>
    <definedName name="a.5" localSheetId="24">#REF!</definedName>
    <definedName name="a.5" localSheetId="23">#REF!</definedName>
    <definedName name="a.5" localSheetId="22">#REF!</definedName>
    <definedName name="a.5" localSheetId="21">#REF!</definedName>
    <definedName name="a.5" localSheetId="20">#REF!</definedName>
    <definedName name="a.5" localSheetId="13">#REF!</definedName>
    <definedName name="a.5" localSheetId="12">#REF!</definedName>
    <definedName name="a.5" localSheetId="11">#REF!</definedName>
    <definedName name="a.5" localSheetId="10">#REF!</definedName>
    <definedName name="a.5" localSheetId="9">#REF!</definedName>
    <definedName name="a.5" localSheetId="8">#REF!</definedName>
    <definedName name="A.8" localSheetId="19">#REF!</definedName>
    <definedName name="A.8" localSheetId="18">#REF!</definedName>
    <definedName name="A.8" localSheetId="17">#REF!</definedName>
    <definedName name="A.8" localSheetId="16">#REF!</definedName>
    <definedName name="A.8" localSheetId="15">#REF!</definedName>
    <definedName name="A.8" localSheetId="14">#REF!</definedName>
    <definedName name="A.8" localSheetId="25">#REF!</definedName>
    <definedName name="A.8" localSheetId="24">#REF!</definedName>
    <definedName name="A.8" localSheetId="23">#REF!</definedName>
    <definedName name="A.8" localSheetId="22">#REF!</definedName>
    <definedName name="A.8" localSheetId="21">#REF!</definedName>
    <definedName name="A.8" localSheetId="20">#REF!</definedName>
    <definedName name="A.8" localSheetId="13">#REF!</definedName>
    <definedName name="A.8" localSheetId="12">#REF!</definedName>
    <definedName name="A.8" localSheetId="11">#REF!</definedName>
    <definedName name="A.8" localSheetId="10">#REF!</definedName>
    <definedName name="A.8" localSheetId="9">#REF!</definedName>
    <definedName name="A.8" localSheetId="8">#REF!</definedName>
    <definedName name="a.9" localSheetId="19">#REF!</definedName>
    <definedName name="a.9" localSheetId="18">#REF!</definedName>
    <definedName name="a.9" localSheetId="17">#REF!</definedName>
    <definedName name="a.9" localSheetId="16">#REF!</definedName>
    <definedName name="a.9" localSheetId="15">#REF!</definedName>
    <definedName name="a.9" localSheetId="14">#REF!</definedName>
    <definedName name="a.9" localSheetId="25">#REF!</definedName>
    <definedName name="a.9" localSheetId="24">#REF!</definedName>
    <definedName name="a.9" localSheetId="23">#REF!</definedName>
    <definedName name="a.9" localSheetId="22">#REF!</definedName>
    <definedName name="a.9" localSheetId="21">#REF!</definedName>
    <definedName name="a.9" localSheetId="20">#REF!</definedName>
    <definedName name="a.9" localSheetId="13">#REF!</definedName>
    <definedName name="a.9" localSheetId="12">#REF!</definedName>
    <definedName name="a.9" localSheetId="11">#REF!</definedName>
    <definedName name="a.9" localSheetId="10">#REF!</definedName>
    <definedName name="a.9" localSheetId="9">#REF!</definedName>
    <definedName name="a.9" localSheetId="8">#REF!</definedName>
    <definedName name="abu.batu" localSheetId="19">#REF!</definedName>
    <definedName name="abu.batu" localSheetId="18">#REF!</definedName>
    <definedName name="abu.batu" localSheetId="17">#REF!</definedName>
    <definedName name="abu.batu" localSheetId="16">#REF!</definedName>
    <definedName name="abu.batu" localSheetId="15">#REF!</definedName>
    <definedName name="abu.batu" localSheetId="14">#REF!</definedName>
    <definedName name="abu.batu" localSheetId="25">#REF!</definedName>
    <definedName name="abu.batu" localSheetId="24">#REF!</definedName>
    <definedName name="abu.batu" localSheetId="23">#REF!</definedName>
    <definedName name="abu.batu" localSheetId="22">#REF!</definedName>
    <definedName name="abu.batu" localSheetId="21">#REF!</definedName>
    <definedName name="abu.batu" localSheetId="20">#REF!</definedName>
    <definedName name="abu.batu" localSheetId="13">#REF!</definedName>
    <definedName name="abu.batu" localSheetId="12">#REF!</definedName>
    <definedName name="abu.batu" localSheetId="11">#REF!</definedName>
    <definedName name="abu.batu" localSheetId="10">#REF!</definedName>
    <definedName name="abu.batu" localSheetId="9">#REF!</definedName>
    <definedName name="abu.batu" localSheetId="8">#REF!</definedName>
    <definedName name="air" localSheetId="19">#REF!</definedName>
    <definedName name="air" localSheetId="18">#REF!</definedName>
    <definedName name="air" localSheetId="17">#REF!</definedName>
    <definedName name="air" localSheetId="16">#REF!</definedName>
    <definedName name="air" localSheetId="15">#REF!</definedName>
    <definedName name="air" localSheetId="14">#REF!</definedName>
    <definedName name="air" localSheetId="25">#REF!</definedName>
    <definedName name="air" localSheetId="24">#REF!</definedName>
    <definedName name="air" localSheetId="23">#REF!</definedName>
    <definedName name="air" localSheetId="22">#REF!</definedName>
    <definedName name="air" localSheetId="21">#REF!</definedName>
    <definedName name="air" localSheetId="20">#REF!</definedName>
    <definedName name="air" localSheetId="13">#REF!</definedName>
    <definedName name="air" localSheetId="12">#REF!</definedName>
    <definedName name="air" localSheetId="11">#REF!</definedName>
    <definedName name="air" localSheetId="10">#REF!</definedName>
    <definedName name="air" localSheetId="9">#REF!</definedName>
    <definedName name="air" localSheetId="8">#REF!</definedName>
    <definedName name="alat.ukur" localSheetId="19">#REF!</definedName>
    <definedName name="alat.ukur" localSheetId="18">#REF!</definedName>
    <definedName name="alat.ukur" localSheetId="17">#REF!</definedName>
    <definedName name="alat.ukur" localSheetId="16">#REF!</definedName>
    <definedName name="alat.ukur" localSheetId="15">#REF!</definedName>
    <definedName name="alat.ukur" localSheetId="14">#REF!</definedName>
    <definedName name="alat.ukur" localSheetId="25">#REF!</definedName>
    <definedName name="alat.ukur" localSheetId="24">#REF!</definedName>
    <definedName name="alat.ukur" localSheetId="23">#REF!</definedName>
    <definedName name="alat.ukur" localSheetId="22">#REF!</definedName>
    <definedName name="alat.ukur" localSheetId="21">#REF!</definedName>
    <definedName name="alat.ukur" localSheetId="20">#REF!</definedName>
    <definedName name="alat.ukur" localSheetId="13">#REF!</definedName>
    <definedName name="alat.ukur" localSheetId="12">#REF!</definedName>
    <definedName name="alat.ukur" localSheetId="11">#REF!</definedName>
    <definedName name="alat.ukur" localSheetId="10">#REF!</definedName>
    <definedName name="alat.ukur" localSheetId="9">#REF!</definedName>
    <definedName name="alat.ukur" localSheetId="8">#REF!</definedName>
    <definedName name="aluminium.warna" localSheetId="19">#REF!</definedName>
    <definedName name="aluminium.warna" localSheetId="18">#REF!</definedName>
    <definedName name="aluminium.warna" localSheetId="17">#REF!</definedName>
    <definedName name="aluminium.warna" localSheetId="16">#REF!</definedName>
    <definedName name="aluminium.warna" localSheetId="15">#REF!</definedName>
    <definedName name="aluminium.warna" localSheetId="14">#REF!</definedName>
    <definedName name="aluminium.warna" localSheetId="25">#REF!</definedName>
    <definedName name="aluminium.warna" localSheetId="24">#REF!</definedName>
    <definedName name="aluminium.warna" localSheetId="23">#REF!</definedName>
    <definedName name="aluminium.warna" localSheetId="22">#REF!</definedName>
    <definedName name="aluminium.warna" localSheetId="21">#REF!</definedName>
    <definedName name="aluminium.warna" localSheetId="20">#REF!</definedName>
    <definedName name="aluminium.warna" localSheetId="13">#REF!</definedName>
    <definedName name="aluminium.warna" localSheetId="12">#REF!</definedName>
    <definedName name="aluminium.warna" localSheetId="11">#REF!</definedName>
    <definedName name="aluminium.warna" localSheetId="10">#REF!</definedName>
    <definedName name="aluminium.warna" localSheetId="9">#REF!</definedName>
    <definedName name="aluminium.warna" localSheetId="8">#REF!</definedName>
    <definedName name="amplas" localSheetId="19">#REF!</definedName>
    <definedName name="amplas" localSheetId="18">#REF!</definedName>
    <definedName name="amplas" localSheetId="17">#REF!</definedName>
    <definedName name="amplas" localSheetId="16">#REF!</definedName>
    <definedName name="amplas" localSheetId="15">#REF!</definedName>
    <definedName name="amplas" localSheetId="14">#REF!</definedName>
    <definedName name="amplas" localSheetId="25">#REF!</definedName>
    <definedName name="amplas" localSheetId="24">#REF!</definedName>
    <definedName name="amplas" localSheetId="23">#REF!</definedName>
    <definedName name="amplas" localSheetId="22">#REF!</definedName>
    <definedName name="amplas" localSheetId="21">#REF!</definedName>
    <definedName name="amplas" localSheetId="20">#REF!</definedName>
    <definedName name="amplas" localSheetId="13">#REF!</definedName>
    <definedName name="amplas" localSheetId="12">#REF!</definedName>
    <definedName name="amplas" localSheetId="11">#REF!</definedName>
    <definedName name="amplas" localSheetId="10">#REF!</definedName>
    <definedName name="amplas" localSheetId="9">#REF!</definedName>
    <definedName name="amplas" localSheetId="8">#REF!</definedName>
    <definedName name="angker" localSheetId="19">#REF!</definedName>
    <definedName name="angker" localSheetId="18">#REF!</definedName>
    <definedName name="angker" localSheetId="17">#REF!</definedName>
    <definedName name="angker" localSheetId="16">#REF!</definedName>
    <definedName name="angker" localSheetId="15">#REF!</definedName>
    <definedName name="angker" localSheetId="14">#REF!</definedName>
    <definedName name="angker" localSheetId="25">#REF!</definedName>
    <definedName name="angker" localSheetId="24">#REF!</definedName>
    <definedName name="angker" localSheetId="23">#REF!</definedName>
    <definedName name="angker" localSheetId="22">#REF!</definedName>
    <definedName name="angker" localSheetId="21">#REF!</definedName>
    <definedName name="angker" localSheetId="20">#REF!</definedName>
    <definedName name="angker" localSheetId="13">#REF!</definedName>
    <definedName name="angker" localSheetId="12">#REF!</definedName>
    <definedName name="angker" localSheetId="11">#REF!</definedName>
    <definedName name="angker" localSheetId="10">#REF!</definedName>
    <definedName name="angker" localSheetId="9">#REF!</definedName>
    <definedName name="angker" localSheetId="8">#REF!</definedName>
    <definedName name="Asbes.glb" localSheetId="19">#REF!</definedName>
    <definedName name="Asbes.glb" localSheetId="18">#REF!</definedName>
    <definedName name="Asbes.glb" localSheetId="17">#REF!</definedName>
    <definedName name="Asbes.glb" localSheetId="16">#REF!</definedName>
    <definedName name="Asbes.glb" localSheetId="15">#REF!</definedName>
    <definedName name="Asbes.glb" localSheetId="14">#REF!</definedName>
    <definedName name="Asbes.glb" localSheetId="25">#REF!</definedName>
    <definedName name="Asbes.glb" localSheetId="24">#REF!</definedName>
    <definedName name="Asbes.glb" localSheetId="23">#REF!</definedName>
    <definedName name="Asbes.glb" localSheetId="22">#REF!</definedName>
    <definedName name="Asbes.glb" localSheetId="21">#REF!</definedName>
    <definedName name="Asbes.glb" localSheetId="20">#REF!</definedName>
    <definedName name="Asbes.glb" localSheetId="13">#REF!</definedName>
    <definedName name="Asbes.glb" localSheetId="12">#REF!</definedName>
    <definedName name="Asbes.glb" localSheetId="11">#REF!</definedName>
    <definedName name="Asbes.glb" localSheetId="10">#REF!</definedName>
    <definedName name="Asbes.glb" localSheetId="9">#REF!</definedName>
    <definedName name="Asbes.glb" localSheetId="8">#REF!</definedName>
    <definedName name="aspal" localSheetId="19">#REF!</definedName>
    <definedName name="aspal" localSheetId="18">#REF!</definedName>
    <definedName name="aspal" localSheetId="17">#REF!</definedName>
    <definedName name="aspal" localSheetId="16">#REF!</definedName>
    <definedName name="aspal" localSheetId="15">#REF!</definedName>
    <definedName name="aspal" localSheetId="14">#REF!</definedName>
    <definedName name="aspal" localSheetId="25">#REF!</definedName>
    <definedName name="aspal" localSheetId="24">#REF!</definedName>
    <definedName name="aspal" localSheetId="23">#REF!</definedName>
    <definedName name="aspal" localSheetId="22">#REF!</definedName>
    <definedName name="aspal" localSheetId="21">#REF!</definedName>
    <definedName name="aspal" localSheetId="20">#REF!</definedName>
    <definedName name="aspal" localSheetId="13">#REF!</definedName>
    <definedName name="aspal" localSheetId="12">#REF!</definedName>
    <definedName name="aspal" localSheetId="11">#REF!</definedName>
    <definedName name="aspal" localSheetId="10">#REF!</definedName>
    <definedName name="aspal" localSheetId="9">#REF!</definedName>
    <definedName name="aspal" localSheetId="8">#REF!</definedName>
    <definedName name="at.1" localSheetId="19">#REF!</definedName>
    <definedName name="at.1" localSheetId="18">#REF!</definedName>
    <definedName name="at.1" localSheetId="17">#REF!</definedName>
    <definedName name="at.1" localSheetId="16">#REF!</definedName>
    <definedName name="at.1" localSheetId="15">#REF!</definedName>
    <definedName name="at.1" localSheetId="14">#REF!</definedName>
    <definedName name="at.1" localSheetId="25">#REF!</definedName>
    <definedName name="at.1" localSheetId="24">#REF!</definedName>
    <definedName name="at.1" localSheetId="23">#REF!</definedName>
    <definedName name="at.1" localSheetId="22">#REF!</definedName>
    <definedName name="at.1" localSheetId="21">#REF!</definedName>
    <definedName name="at.1" localSheetId="20">#REF!</definedName>
    <definedName name="at.1" localSheetId="13">#REF!</definedName>
    <definedName name="at.1" localSheetId="12">#REF!</definedName>
    <definedName name="at.1" localSheetId="11">#REF!</definedName>
    <definedName name="at.1" localSheetId="10">#REF!</definedName>
    <definedName name="at.1" localSheetId="9">#REF!</definedName>
    <definedName name="at.1" localSheetId="8">#REF!</definedName>
    <definedName name="b" localSheetId="19">[3]REKAP!#REF!</definedName>
    <definedName name="b" localSheetId="18">[3]REKAP!#REF!</definedName>
    <definedName name="b" localSheetId="17">[3]REKAP!#REF!</definedName>
    <definedName name="b" localSheetId="16">[3]REKAP!#REF!</definedName>
    <definedName name="b" localSheetId="15">[3]REKAP!#REF!</definedName>
    <definedName name="b" localSheetId="14">[3]REKAP!#REF!</definedName>
    <definedName name="b" localSheetId="25">[3]REKAP!#REF!</definedName>
    <definedName name="b" localSheetId="24">[3]REKAP!#REF!</definedName>
    <definedName name="b" localSheetId="23">[3]REKAP!#REF!</definedName>
    <definedName name="b" localSheetId="22">[3]REKAP!#REF!</definedName>
    <definedName name="b" localSheetId="21">[3]REKAP!#REF!</definedName>
    <definedName name="b" localSheetId="20">[3]REKAP!#REF!</definedName>
    <definedName name="b" localSheetId="13">[4]REKAP!#REF!</definedName>
    <definedName name="b" localSheetId="12">[4]REKAP!#REF!</definedName>
    <definedName name="b" localSheetId="11">[4]REKAP!#REF!</definedName>
    <definedName name="b" localSheetId="10">[4]REKAP!#REF!</definedName>
    <definedName name="b" localSheetId="9">[4]REKAP!#REF!</definedName>
    <definedName name="b" localSheetId="8">[4]REKAP!#REF!</definedName>
    <definedName name="b.1" localSheetId="19">#REF!</definedName>
    <definedName name="b.1" localSheetId="18">#REF!</definedName>
    <definedName name="b.1" localSheetId="17">#REF!</definedName>
    <definedName name="b.1" localSheetId="16">#REF!</definedName>
    <definedName name="b.1" localSheetId="15">#REF!</definedName>
    <definedName name="b.1" localSheetId="14">#REF!</definedName>
    <definedName name="b.1" localSheetId="25">#REF!</definedName>
    <definedName name="b.1" localSheetId="24">#REF!</definedName>
    <definedName name="b.1" localSheetId="23">#REF!</definedName>
    <definedName name="b.1" localSheetId="22">#REF!</definedName>
    <definedName name="b.1" localSheetId="21">#REF!</definedName>
    <definedName name="b.1" localSheetId="20">#REF!</definedName>
    <definedName name="b.1" localSheetId="13">#REF!</definedName>
    <definedName name="b.1" localSheetId="12">#REF!</definedName>
    <definedName name="b.1" localSheetId="11">#REF!</definedName>
    <definedName name="b.1" localSheetId="10">#REF!</definedName>
    <definedName name="b.1" localSheetId="9">#REF!</definedName>
    <definedName name="b.1" localSheetId="8">#REF!</definedName>
    <definedName name="b.1.a" localSheetId="19">#REF!</definedName>
    <definedName name="b.1.a" localSheetId="18">#REF!</definedName>
    <definedName name="b.1.a" localSheetId="17">#REF!</definedName>
    <definedName name="b.1.a" localSheetId="16">#REF!</definedName>
    <definedName name="b.1.a" localSheetId="15">#REF!</definedName>
    <definedName name="b.1.a" localSheetId="14">#REF!</definedName>
    <definedName name="b.1.a" localSheetId="25">#REF!</definedName>
    <definedName name="b.1.a" localSheetId="24">#REF!</definedName>
    <definedName name="b.1.a" localSheetId="23">#REF!</definedName>
    <definedName name="b.1.a" localSheetId="22">#REF!</definedName>
    <definedName name="b.1.a" localSheetId="21">#REF!</definedName>
    <definedName name="b.1.a" localSheetId="20">#REF!</definedName>
    <definedName name="b.1.a" localSheetId="13">#REF!</definedName>
    <definedName name="b.1.a" localSheetId="12">#REF!</definedName>
    <definedName name="b.1.a" localSheetId="11">#REF!</definedName>
    <definedName name="b.1.a" localSheetId="10">#REF!</definedName>
    <definedName name="b.1.a" localSheetId="9">#REF!</definedName>
    <definedName name="b.1.a" localSheetId="8">#REF!</definedName>
    <definedName name="b.1.b" localSheetId="19">#REF!</definedName>
    <definedName name="b.1.b" localSheetId="18">#REF!</definedName>
    <definedName name="b.1.b" localSheetId="17">#REF!</definedName>
    <definedName name="b.1.b" localSheetId="16">#REF!</definedName>
    <definedName name="b.1.b" localSheetId="15">#REF!</definedName>
    <definedName name="b.1.b" localSheetId="14">#REF!</definedName>
    <definedName name="b.1.b" localSheetId="25">#REF!</definedName>
    <definedName name="b.1.b" localSheetId="24">#REF!</definedName>
    <definedName name="b.1.b" localSheetId="23">#REF!</definedName>
    <definedName name="b.1.b" localSheetId="22">#REF!</definedName>
    <definedName name="b.1.b" localSheetId="21">#REF!</definedName>
    <definedName name="b.1.b" localSheetId="20">#REF!</definedName>
    <definedName name="b.1.b" localSheetId="13">#REF!</definedName>
    <definedName name="b.1.b" localSheetId="12">#REF!</definedName>
    <definedName name="b.1.b" localSheetId="11">#REF!</definedName>
    <definedName name="b.1.b" localSheetId="10">#REF!</definedName>
    <definedName name="b.1.b" localSheetId="9">#REF!</definedName>
    <definedName name="b.1.b" localSheetId="8">#REF!</definedName>
    <definedName name="b.1.c" localSheetId="19">#REF!</definedName>
    <definedName name="b.1.c" localSheetId="18">#REF!</definedName>
    <definedName name="b.1.c" localSheetId="17">#REF!</definedName>
    <definedName name="b.1.c" localSheetId="16">#REF!</definedName>
    <definedName name="b.1.c" localSheetId="15">#REF!</definedName>
    <definedName name="b.1.c" localSheetId="14">#REF!</definedName>
    <definedName name="b.1.c" localSheetId="25">#REF!</definedName>
    <definedName name="b.1.c" localSheetId="24">#REF!</definedName>
    <definedName name="b.1.c" localSheetId="23">#REF!</definedName>
    <definedName name="b.1.c" localSheetId="22">#REF!</definedName>
    <definedName name="b.1.c" localSheetId="21">#REF!</definedName>
    <definedName name="b.1.c" localSheetId="20">#REF!</definedName>
    <definedName name="b.1.c" localSheetId="13">#REF!</definedName>
    <definedName name="b.1.c" localSheetId="12">#REF!</definedName>
    <definedName name="b.1.c" localSheetId="11">#REF!</definedName>
    <definedName name="b.1.c" localSheetId="10">#REF!</definedName>
    <definedName name="b.1.c" localSheetId="9">#REF!</definedName>
    <definedName name="b.1.c" localSheetId="8">#REF!</definedName>
    <definedName name="b.1.d" localSheetId="19">#REF!</definedName>
    <definedName name="b.1.d" localSheetId="18">#REF!</definedName>
    <definedName name="b.1.d" localSheetId="17">#REF!</definedName>
    <definedName name="b.1.d" localSheetId="16">#REF!</definedName>
    <definedName name="b.1.d" localSheetId="15">#REF!</definedName>
    <definedName name="b.1.d" localSheetId="14">#REF!</definedName>
    <definedName name="b.1.d" localSheetId="25">#REF!</definedName>
    <definedName name="b.1.d" localSheetId="24">#REF!</definedName>
    <definedName name="b.1.d" localSheetId="23">#REF!</definedName>
    <definedName name="b.1.d" localSheetId="22">#REF!</definedName>
    <definedName name="b.1.d" localSheetId="21">#REF!</definedName>
    <definedName name="b.1.d" localSheetId="20">#REF!</definedName>
    <definedName name="b.1.d" localSheetId="13">#REF!</definedName>
    <definedName name="b.1.d" localSheetId="12">#REF!</definedName>
    <definedName name="b.1.d" localSheetId="11">#REF!</definedName>
    <definedName name="b.1.d" localSheetId="10">#REF!</definedName>
    <definedName name="b.1.d" localSheetId="9">#REF!</definedName>
    <definedName name="b.1.d" localSheetId="8">#REF!</definedName>
    <definedName name="b.1.e" localSheetId="19">#REF!</definedName>
    <definedName name="b.1.e" localSheetId="18">#REF!</definedName>
    <definedName name="b.1.e" localSheetId="17">#REF!</definedName>
    <definedName name="b.1.e" localSheetId="16">#REF!</definedName>
    <definedName name="b.1.e" localSheetId="15">#REF!</definedName>
    <definedName name="b.1.e" localSheetId="14">#REF!</definedName>
    <definedName name="b.1.e" localSheetId="25">#REF!</definedName>
    <definedName name="b.1.e" localSheetId="24">#REF!</definedName>
    <definedName name="b.1.e" localSheetId="23">#REF!</definedName>
    <definedName name="b.1.e" localSheetId="22">#REF!</definedName>
    <definedName name="b.1.e" localSheetId="21">#REF!</definedName>
    <definedName name="b.1.e" localSheetId="20">#REF!</definedName>
    <definedName name="b.1.e" localSheetId="13">#REF!</definedName>
    <definedName name="b.1.e" localSheetId="12">#REF!</definedName>
    <definedName name="b.1.e" localSheetId="11">#REF!</definedName>
    <definedName name="b.1.e" localSheetId="10">#REF!</definedName>
    <definedName name="b.1.e" localSheetId="9">#REF!</definedName>
    <definedName name="b.1.e" localSheetId="8">#REF!</definedName>
    <definedName name="B_KD_KEL" localSheetId="13">[5]BASIS!$E$10:$E$61010</definedName>
    <definedName name="B_KD_KEL" localSheetId="12">[5]BASIS!$E$10:$E$61010</definedName>
    <definedName name="B_KD_KEL" localSheetId="11">[5]BASIS!$E$10:$E$61010</definedName>
    <definedName name="B_KD_KEL" localSheetId="10">[5]BASIS!$E$10:$E$61010</definedName>
    <definedName name="B_KD_KEL" localSheetId="9">[5]BASIS!$E$10:$E$61010</definedName>
    <definedName name="B_KD_KEL" localSheetId="8">[5]BASIS!$E$10:$E$61010</definedName>
    <definedName name="B_KD_KEL">[6]BASIS!$E$10:$E$61010</definedName>
    <definedName name="balok.1" localSheetId="19">#REF!</definedName>
    <definedName name="balok.1" localSheetId="18">#REF!</definedName>
    <definedName name="balok.1" localSheetId="17">#REF!</definedName>
    <definedName name="balok.1" localSheetId="16">#REF!</definedName>
    <definedName name="balok.1" localSheetId="15">#REF!</definedName>
    <definedName name="balok.1" localSheetId="14">#REF!</definedName>
    <definedName name="balok.1" localSheetId="25">#REF!</definedName>
    <definedName name="balok.1" localSheetId="24">#REF!</definedName>
    <definedName name="balok.1" localSheetId="23">#REF!</definedName>
    <definedName name="balok.1" localSheetId="22">#REF!</definedName>
    <definedName name="balok.1" localSheetId="21">#REF!</definedName>
    <definedName name="balok.1" localSheetId="20">#REF!</definedName>
    <definedName name="balok.1" localSheetId="13">#REF!</definedName>
    <definedName name="balok.1" localSheetId="12">#REF!</definedName>
    <definedName name="balok.1" localSheetId="11">#REF!</definedName>
    <definedName name="balok.1" localSheetId="10">#REF!</definedName>
    <definedName name="balok.1" localSheetId="9">#REF!</definedName>
    <definedName name="balok.1" localSheetId="8">#REF!</definedName>
    <definedName name="balok.2" localSheetId="19">#REF!</definedName>
    <definedName name="balok.2" localSheetId="18">#REF!</definedName>
    <definedName name="balok.2" localSheetId="17">#REF!</definedName>
    <definedName name="balok.2" localSheetId="16">#REF!</definedName>
    <definedName name="balok.2" localSheetId="15">#REF!</definedName>
    <definedName name="balok.2" localSheetId="14">#REF!</definedName>
    <definedName name="balok.2" localSheetId="25">#REF!</definedName>
    <definedName name="balok.2" localSheetId="24">#REF!</definedName>
    <definedName name="balok.2" localSheetId="23">#REF!</definedName>
    <definedName name="balok.2" localSheetId="22">#REF!</definedName>
    <definedName name="balok.2" localSheetId="21">#REF!</definedName>
    <definedName name="balok.2" localSheetId="20">#REF!</definedName>
    <definedName name="balok.2" localSheetId="13">#REF!</definedName>
    <definedName name="balok.2" localSheetId="12">#REF!</definedName>
    <definedName name="balok.2" localSheetId="11">#REF!</definedName>
    <definedName name="balok.2" localSheetId="10">#REF!</definedName>
    <definedName name="balok.2" localSheetId="9">#REF!</definedName>
    <definedName name="balok.2" localSheetId="8">#REF!</definedName>
    <definedName name="Balok.3" localSheetId="19">#REF!</definedName>
    <definedName name="Balok.3" localSheetId="18">#REF!</definedName>
    <definedName name="Balok.3" localSheetId="17">#REF!</definedName>
    <definedName name="Balok.3" localSheetId="16">#REF!</definedName>
    <definedName name="Balok.3" localSheetId="15">#REF!</definedName>
    <definedName name="Balok.3" localSheetId="14">#REF!</definedName>
    <definedName name="Balok.3" localSheetId="25">#REF!</definedName>
    <definedName name="Balok.3" localSheetId="24">#REF!</definedName>
    <definedName name="Balok.3" localSheetId="23">#REF!</definedName>
    <definedName name="Balok.3" localSheetId="22">#REF!</definedName>
    <definedName name="Balok.3" localSheetId="21">#REF!</definedName>
    <definedName name="Balok.3" localSheetId="20">#REF!</definedName>
    <definedName name="Balok.3" localSheetId="13">#REF!</definedName>
    <definedName name="Balok.3" localSheetId="12">#REF!</definedName>
    <definedName name="Balok.3" localSheetId="11">#REF!</definedName>
    <definedName name="Balok.3" localSheetId="10">#REF!</definedName>
    <definedName name="Balok.3" localSheetId="9">#REF!</definedName>
    <definedName name="Balok.3" localSheetId="8">#REF!</definedName>
    <definedName name="bata" localSheetId="19">#REF!</definedName>
    <definedName name="bata" localSheetId="18">#REF!</definedName>
    <definedName name="bata" localSheetId="17">#REF!</definedName>
    <definedName name="bata" localSheetId="16">#REF!</definedName>
    <definedName name="bata" localSheetId="15">#REF!</definedName>
    <definedName name="bata" localSheetId="14">#REF!</definedName>
    <definedName name="bata" localSheetId="25">#REF!</definedName>
    <definedName name="bata" localSheetId="24">#REF!</definedName>
    <definedName name="bata" localSheetId="23">#REF!</definedName>
    <definedName name="bata" localSheetId="22">#REF!</definedName>
    <definedName name="bata" localSheetId="21">#REF!</definedName>
    <definedName name="bata" localSheetId="20">#REF!</definedName>
    <definedName name="bata" localSheetId="13">#REF!</definedName>
    <definedName name="bata" localSheetId="12">#REF!</definedName>
    <definedName name="bata" localSheetId="11">#REF!</definedName>
    <definedName name="bata" localSheetId="10">#REF!</definedName>
    <definedName name="bata" localSheetId="9">#REF!</definedName>
    <definedName name="bata" localSheetId="8">#REF!</definedName>
    <definedName name="bata1" localSheetId="19">#REF!</definedName>
    <definedName name="bata1" localSheetId="18">#REF!</definedName>
    <definedName name="bata1" localSheetId="17">#REF!</definedName>
    <definedName name="bata1" localSheetId="16">#REF!</definedName>
    <definedName name="bata1" localSheetId="15">#REF!</definedName>
    <definedName name="bata1" localSheetId="14">#REF!</definedName>
    <definedName name="bata1" localSheetId="25">#REF!</definedName>
    <definedName name="bata1" localSheetId="24">#REF!</definedName>
    <definedName name="bata1" localSheetId="23">#REF!</definedName>
    <definedName name="bata1" localSheetId="22">#REF!</definedName>
    <definedName name="bata1" localSheetId="21">#REF!</definedName>
    <definedName name="bata1" localSheetId="20">#REF!</definedName>
    <definedName name="bata1" localSheetId="13">#REF!</definedName>
    <definedName name="bata1" localSheetId="12">#REF!</definedName>
    <definedName name="bata1" localSheetId="11">#REF!</definedName>
    <definedName name="bata1" localSheetId="10">#REF!</definedName>
    <definedName name="bata1" localSheetId="9">#REF!</definedName>
    <definedName name="bata1" localSheetId="8">#REF!</definedName>
    <definedName name="bata2" localSheetId="19">#REF!</definedName>
    <definedName name="bata2" localSheetId="18">#REF!</definedName>
    <definedName name="bata2" localSheetId="17">#REF!</definedName>
    <definedName name="bata2" localSheetId="16">#REF!</definedName>
    <definedName name="bata2" localSheetId="15">#REF!</definedName>
    <definedName name="bata2" localSheetId="14">#REF!</definedName>
    <definedName name="bata2" localSheetId="25">#REF!</definedName>
    <definedName name="bata2" localSheetId="24">#REF!</definedName>
    <definedName name="bata2" localSheetId="23">#REF!</definedName>
    <definedName name="bata2" localSheetId="22">#REF!</definedName>
    <definedName name="bata2" localSheetId="21">#REF!</definedName>
    <definedName name="bata2" localSheetId="20">#REF!</definedName>
    <definedName name="bata2" localSheetId="13">#REF!</definedName>
    <definedName name="bata2" localSheetId="12">#REF!</definedName>
    <definedName name="bata2" localSheetId="11">#REF!</definedName>
    <definedName name="bata2" localSheetId="10">#REF!</definedName>
    <definedName name="bata2" localSheetId="9">#REF!</definedName>
    <definedName name="bata2" localSheetId="8">#REF!</definedName>
    <definedName name="bataco" localSheetId="19">#REF!</definedName>
    <definedName name="bataco" localSheetId="18">#REF!</definedName>
    <definedName name="bataco" localSheetId="17">#REF!</definedName>
    <definedName name="bataco" localSheetId="16">#REF!</definedName>
    <definedName name="bataco" localSheetId="15">#REF!</definedName>
    <definedName name="bataco" localSheetId="14">#REF!</definedName>
    <definedName name="bataco" localSheetId="25">#REF!</definedName>
    <definedName name="bataco" localSheetId="24">#REF!</definedName>
    <definedName name="bataco" localSheetId="23">#REF!</definedName>
    <definedName name="bataco" localSheetId="22">#REF!</definedName>
    <definedName name="bataco" localSheetId="21">#REF!</definedName>
    <definedName name="bataco" localSheetId="20">#REF!</definedName>
    <definedName name="bataco" localSheetId="13">#REF!</definedName>
    <definedName name="bataco" localSheetId="12">#REF!</definedName>
    <definedName name="bataco" localSheetId="11">#REF!</definedName>
    <definedName name="bataco" localSheetId="10">#REF!</definedName>
    <definedName name="bataco" localSheetId="9">#REF!</definedName>
    <definedName name="bataco" localSheetId="8">#REF!</definedName>
    <definedName name="batu.belah" localSheetId="19">#REF!</definedName>
    <definedName name="batu.belah" localSheetId="18">#REF!</definedName>
    <definedName name="batu.belah" localSheetId="17">#REF!</definedName>
    <definedName name="batu.belah" localSheetId="16">#REF!</definedName>
    <definedName name="batu.belah" localSheetId="15">#REF!</definedName>
    <definedName name="batu.belah" localSheetId="14">#REF!</definedName>
    <definedName name="batu.belah" localSheetId="25">#REF!</definedName>
    <definedName name="batu.belah" localSheetId="24">#REF!</definedName>
    <definedName name="batu.belah" localSheetId="23">#REF!</definedName>
    <definedName name="batu.belah" localSheetId="22">#REF!</definedName>
    <definedName name="batu.belah" localSheetId="21">#REF!</definedName>
    <definedName name="batu.belah" localSheetId="20">#REF!</definedName>
    <definedName name="batu.belah" localSheetId="13">#REF!</definedName>
    <definedName name="batu.belah" localSheetId="12">#REF!</definedName>
    <definedName name="batu.belah" localSheetId="11">#REF!</definedName>
    <definedName name="batu.belah" localSheetId="10">#REF!</definedName>
    <definedName name="batu.belah" localSheetId="9">#REF!</definedName>
    <definedName name="batu.belah" localSheetId="8">#REF!</definedName>
    <definedName name="Batu.Kali" localSheetId="19">#REF!</definedName>
    <definedName name="Batu.Kali" localSheetId="18">#REF!</definedName>
    <definedName name="Batu.Kali" localSheetId="17">#REF!</definedName>
    <definedName name="Batu.Kali" localSheetId="16">#REF!</definedName>
    <definedName name="Batu.Kali" localSheetId="15">#REF!</definedName>
    <definedName name="Batu.Kali" localSheetId="14">#REF!</definedName>
    <definedName name="Batu.Kali" localSheetId="25">#REF!</definedName>
    <definedName name="Batu.Kali" localSheetId="24">#REF!</definedName>
    <definedName name="Batu.Kali" localSheetId="23">#REF!</definedName>
    <definedName name="Batu.Kali" localSheetId="22">#REF!</definedName>
    <definedName name="Batu.Kali" localSheetId="21">#REF!</definedName>
    <definedName name="Batu.Kali" localSheetId="20">#REF!</definedName>
    <definedName name="Batu.Kali" localSheetId="13">#REF!</definedName>
    <definedName name="Batu.Kali" localSheetId="12">#REF!</definedName>
    <definedName name="Batu.Kali" localSheetId="11">#REF!</definedName>
    <definedName name="Batu.Kali" localSheetId="10">#REF!</definedName>
    <definedName name="Batu.Kali" localSheetId="9">#REF!</definedName>
    <definedName name="Batu.Kali" localSheetId="8">#REF!</definedName>
    <definedName name="bb." localSheetId="19">#REF!</definedName>
    <definedName name="bb." localSheetId="18">#REF!</definedName>
    <definedName name="bb." localSheetId="17">#REF!</definedName>
    <definedName name="bb." localSheetId="16">#REF!</definedName>
    <definedName name="bb." localSheetId="15">#REF!</definedName>
    <definedName name="bb." localSheetId="14">#REF!</definedName>
    <definedName name="bb." localSheetId="25">#REF!</definedName>
    <definedName name="bb." localSheetId="24">#REF!</definedName>
    <definedName name="bb." localSheetId="23">#REF!</definedName>
    <definedName name="bb." localSheetId="22">#REF!</definedName>
    <definedName name="bb." localSheetId="21">#REF!</definedName>
    <definedName name="bb." localSheetId="20">#REF!</definedName>
    <definedName name="bb." localSheetId="13">#REF!</definedName>
    <definedName name="bb." localSheetId="12">#REF!</definedName>
    <definedName name="bb." localSheetId="11">#REF!</definedName>
    <definedName name="bb." localSheetId="10">#REF!</definedName>
    <definedName name="bb." localSheetId="9">#REF!</definedName>
    <definedName name="bb." localSheetId="8">#REF!</definedName>
    <definedName name="bensin" localSheetId="19">#REF!</definedName>
    <definedName name="bensin" localSheetId="18">#REF!</definedName>
    <definedName name="bensin" localSheetId="17">#REF!</definedName>
    <definedName name="bensin" localSheetId="16">#REF!</definedName>
    <definedName name="bensin" localSheetId="15">#REF!</definedName>
    <definedName name="bensin" localSheetId="14">#REF!</definedName>
    <definedName name="bensin" localSheetId="25">#REF!</definedName>
    <definedName name="bensin" localSheetId="24">#REF!</definedName>
    <definedName name="bensin" localSheetId="23">#REF!</definedName>
    <definedName name="bensin" localSheetId="22">#REF!</definedName>
    <definedName name="bensin" localSheetId="21">#REF!</definedName>
    <definedName name="bensin" localSheetId="20">#REF!</definedName>
    <definedName name="bensin" localSheetId="13">#REF!</definedName>
    <definedName name="bensin" localSheetId="12">#REF!</definedName>
    <definedName name="bensin" localSheetId="11">#REF!</definedName>
    <definedName name="bensin" localSheetId="10">#REF!</definedName>
    <definedName name="bensin" localSheetId="9">#REF!</definedName>
    <definedName name="bensin" localSheetId="8">#REF!</definedName>
    <definedName name="besi.beton" localSheetId="19">#REF!</definedName>
    <definedName name="besi.beton" localSheetId="18">#REF!</definedName>
    <definedName name="besi.beton" localSheetId="17">#REF!</definedName>
    <definedName name="besi.beton" localSheetId="16">#REF!</definedName>
    <definedName name="besi.beton" localSheetId="15">#REF!</definedName>
    <definedName name="besi.beton" localSheetId="14">#REF!</definedName>
    <definedName name="besi.beton" localSheetId="25">#REF!</definedName>
    <definedName name="besi.beton" localSheetId="24">#REF!</definedName>
    <definedName name="besi.beton" localSheetId="23">#REF!</definedName>
    <definedName name="besi.beton" localSheetId="22">#REF!</definedName>
    <definedName name="besi.beton" localSheetId="21">#REF!</definedName>
    <definedName name="besi.beton" localSheetId="20">#REF!</definedName>
    <definedName name="besi.beton" localSheetId="13">#REF!</definedName>
    <definedName name="besi.beton" localSheetId="12">#REF!</definedName>
    <definedName name="besi.beton" localSheetId="11">#REF!</definedName>
    <definedName name="besi.beton" localSheetId="10">#REF!</definedName>
    <definedName name="besi.beton" localSheetId="9">#REF!</definedName>
    <definedName name="besi.beton" localSheetId="8">#REF!</definedName>
    <definedName name="besi.beton.ulir" localSheetId="19">#REF!</definedName>
    <definedName name="besi.beton.ulir" localSheetId="18">#REF!</definedName>
    <definedName name="besi.beton.ulir" localSheetId="17">#REF!</definedName>
    <definedName name="besi.beton.ulir" localSheetId="16">#REF!</definedName>
    <definedName name="besi.beton.ulir" localSheetId="15">#REF!</definedName>
    <definedName name="besi.beton.ulir" localSheetId="14">#REF!</definedName>
    <definedName name="besi.beton.ulir" localSheetId="25">#REF!</definedName>
    <definedName name="besi.beton.ulir" localSheetId="24">#REF!</definedName>
    <definedName name="besi.beton.ulir" localSheetId="23">#REF!</definedName>
    <definedName name="besi.beton.ulir" localSheetId="22">#REF!</definedName>
    <definedName name="besi.beton.ulir" localSheetId="21">#REF!</definedName>
    <definedName name="besi.beton.ulir" localSheetId="20">#REF!</definedName>
    <definedName name="besi.beton.ulir" localSheetId="13">#REF!</definedName>
    <definedName name="besi.beton.ulir" localSheetId="12">#REF!</definedName>
    <definedName name="besi.beton.ulir" localSheetId="11">#REF!</definedName>
    <definedName name="besi.beton.ulir" localSheetId="10">#REF!</definedName>
    <definedName name="besi.beton.ulir" localSheetId="9">#REF!</definedName>
    <definedName name="besi.beton.ulir" localSheetId="8">#REF!</definedName>
    <definedName name="besi.canal" localSheetId="19">#REF!</definedName>
    <definedName name="besi.canal" localSheetId="18">#REF!</definedName>
    <definedName name="besi.canal" localSheetId="17">#REF!</definedName>
    <definedName name="besi.canal" localSheetId="16">#REF!</definedName>
    <definedName name="besi.canal" localSheetId="15">#REF!</definedName>
    <definedName name="besi.canal" localSheetId="14">#REF!</definedName>
    <definedName name="besi.canal" localSheetId="25">#REF!</definedName>
    <definedName name="besi.canal" localSheetId="24">#REF!</definedName>
    <definedName name="besi.canal" localSheetId="23">#REF!</definedName>
    <definedName name="besi.canal" localSheetId="22">#REF!</definedName>
    <definedName name="besi.canal" localSheetId="21">#REF!</definedName>
    <definedName name="besi.canal" localSheetId="20">#REF!</definedName>
    <definedName name="besi.canal" localSheetId="13">#REF!</definedName>
    <definedName name="besi.canal" localSheetId="12">#REF!</definedName>
    <definedName name="besi.canal" localSheetId="11">#REF!</definedName>
    <definedName name="besi.canal" localSheetId="10">#REF!</definedName>
    <definedName name="besi.canal" localSheetId="9">#REF!</definedName>
    <definedName name="besi.canal" localSheetId="8">#REF!</definedName>
    <definedName name="besi.plat" localSheetId="19">#REF!</definedName>
    <definedName name="besi.plat" localSheetId="18">#REF!</definedName>
    <definedName name="besi.plat" localSheetId="17">#REF!</definedName>
    <definedName name="besi.plat" localSheetId="16">#REF!</definedName>
    <definedName name="besi.plat" localSheetId="15">#REF!</definedName>
    <definedName name="besi.plat" localSheetId="14">#REF!</definedName>
    <definedName name="besi.plat" localSheetId="25">#REF!</definedName>
    <definedName name="besi.plat" localSheetId="24">#REF!</definedName>
    <definedName name="besi.plat" localSheetId="23">#REF!</definedName>
    <definedName name="besi.plat" localSheetId="22">#REF!</definedName>
    <definedName name="besi.plat" localSheetId="21">#REF!</definedName>
    <definedName name="besi.plat" localSheetId="20">#REF!</definedName>
    <definedName name="besi.plat" localSheetId="13">#REF!</definedName>
    <definedName name="besi.plat" localSheetId="12">#REF!</definedName>
    <definedName name="besi.plat" localSheetId="11">#REF!</definedName>
    <definedName name="besi.plat" localSheetId="10">#REF!</definedName>
    <definedName name="besi.plat" localSheetId="9">#REF!</definedName>
    <definedName name="besi.plat" localSheetId="8">#REF!</definedName>
    <definedName name="besi.plat.5" localSheetId="19">#REF!</definedName>
    <definedName name="besi.plat.5" localSheetId="18">#REF!</definedName>
    <definedName name="besi.plat.5" localSheetId="17">#REF!</definedName>
    <definedName name="besi.plat.5" localSheetId="16">#REF!</definedName>
    <definedName name="besi.plat.5" localSheetId="15">#REF!</definedName>
    <definedName name="besi.plat.5" localSheetId="14">#REF!</definedName>
    <definedName name="besi.plat.5" localSheetId="25">#REF!</definedName>
    <definedName name="besi.plat.5" localSheetId="24">#REF!</definedName>
    <definedName name="besi.plat.5" localSheetId="23">#REF!</definedName>
    <definedName name="besi.plat.5" localSheetId="22">#REF!</definedName>
    <definedName name="besi.plat.5" localSheetId="21">#REF!</definedName>
    <definedName name="besi.plat.5" localSheetId="20">#REF!</definedName>
    <definedName name="besi.plat.5" localSheetId="13">#REF!</definedName>
    <definedName name="besi.plat.5" localSheetId="12">#REF!</definedName>
    <definedName name="besi.plat.5" localSheetId="11">#REF!</definedName>
    <definedName name="besi.plat.5" localSheetId="10">#REF!</definedName>
    <definedName name="besi.plat.5" localSheetId="9">#REF!</definedName>
    <definedName name="besi.plat.5" localSheetId="8">#REF!</definedName>
    <definedName name="besi.profil" localSheetId="19">#REF!</definedName>
    <definedName name="besi.profil" localSheetId="18">#REF!</definedName>
    <definedName name="besi.profil" localSheetId="17">#REF!</definedName>
    <definedName name="besi.profil" localSheetId="16">#REF!</definedName>
    <definedName name="besi.profil" localSheetId="15">#REF!</definedName>
    <definedName name="besi.profil" localSheetId="14">#REF!</definedName>
    <definedName name="besi.profil" localSheetId="25">#REF!</definedName>
    <definedName name="besi.profil" localSheetId="24">#REF!</definedName>
    <definedName name="besi.profil" localSheetId="23">#REF!</definedName>
    <definedName name="besi.profil" localSheetId="22">#REF!</definedName>
    <definedName name="besi.profil" localSheetId="21">#REF!</definedName>
    <definedName name="besi.profil" localSheetId="20">#REF!</definedName>
    <definedName name="besi.profil" localSheetId="13">#REF!</definedName>
    <definedName name="besi.profil" localSheetId="12">#REF!</definedName>
    <definedName name="besi.profil" localSheetId="11">#REF!</definedName>
    <definedName name="besi.profil" localSheetId="10">#REF!</definedName>
    <definedName name="besi.profil" localSheetId="9">#REF!</definedName>
    <definedName name="besi.profil" localSheetId="8">#REF!</definedName>
    <definedName name="besi.profil.canal" localSheetId="19">#REF!</definedName>
    <definedName name="besi.profil.canal" localSheetId="18">#REF!</definedName>
    <definedName name="besi.profil.canal" localSheetId="17">#REF!</definedName>
    <definedName name="besi.profil.canal" localSheetId="16">#REF!</definedName>
    <definedName name="besi.profil.canal" localSheetId="15">#REF!</definedName>
    <definedName name="besi.profil.canal" localSheetId="14">#REF!</definedName>
    <definedName name="besi.profil.canal" localSheetId="25">#REF!</definedName>
    <definedName name="besi.profil.canal" localSheetId="24">#REF!</definedName>
    <definedName name="besi.profil.canal" localSheetId="23">#REF!</definedName>
    <definedName name="besi.profil.canal" localSheetId="22">#REF!</definedName>
    <definedName name="besi.profil.canal" localSheetId="21">#REF!</definedName>
    <definedName name="besi.profil.canal" localSheetId="20">#REF!</definedName>
    <definedName name="besi.profil.canal" localSheetId="13">#REF!</definedName>
    <definedName name="besi.profil.canal" localSheetId="12">#REF!</definedName>
    <definedName name="besi.profil.canal" localSheetId="11">#REF!</definedName>
    <definedName name="besi.profil.canal" localSheetId="10">#REF!</definedName>
    <definedName name="besi.profil.canal" localSheetId="9">#REF!</definedName>
    <definedName name="besi.profil.canal" localSheetId="8">#REF!</definedName>
    <definedName name="besi.profil.ex" localSheetId="19">#REF!</definedName>
    <definedName name="besi.profil.ex" localSheetId="18">#REF!</definedName>
    <definedName name="besi.profil.ex" localSheetId="17">#REF!</definedName>
    <definedName name="besi.profil.ex" localSheetId="16">#REF!</definedName>
    <definedName name="besi.profil.ex" localSheetId="15">#REF!</definedName>
    <definedName name="besi.profil.ex" localSheetId="14">#REF!</definedName>
    <definedName name="besi.profil.ex" localSheetId="25">#REF!</definedName>
    <definedName name="besi.profil.ex" localSheetId="24">#REF!</definedName>
    <definedName name="besi.profil.ex" localSheetId="23">#REF!</definedName>
    <definedName name="besi.profil.ex" localSheetId="22">#REF!</definedName>
    <definedName name="besi.profil.ex" localSheetId="21">#REF!</definedName>
    <definedName name="besi.profil.ex" localSheetId="20">#REF!</definedName>
    <definedName name="besi.profil.ex" localSheetId="13">#REF!</definedName>
    <definedName name="besi.profil.ex" localSheetId="12">#REF!</definedName>
    <definedName name="besi.profil.ex" localSheetId="11">#REF!</definedName>
    <definedName name="besi.profil.ex" localSheetId="10">#REF!</definedName>
    <definedName name="besi.profil.ex" localSheetId="9">#REF!</definedName>
    <definedName name="besi.profil.ex" localSheetId="8">#REF!</definedName>
    <definedName name="besi.profil.siku" localSheetId="19">#REF!</definedName>
    <definedName name="besi.profil.siku" localSheetId="18">#REF!</definedName>
    <definedName name="besi.profil.siku" localSheetId="17">#REF!</definedName>
    <definedName name="besi.profil.siku" localSheetId="16">#REF!</definedName>
    <definedName name="besi.profil.siku" localSheetId="15">#REF!</definedName>
    <definedName name="besi.profil.siku" localSheetId="14">#REF!</definedName>
    <definedName name="besi.profil.siku" localSheetId="25">#REF!</definedName>
    <definedName name="besi.profil.siku" localSheetId="24">#REF!</definedName>
    <definedName name="besi.profil.siku" localSheetId="23">#REF!</definedName>
    <definedName name="besi.profil.siku" localSheetId="22">#REF!</definedName>
    <definedName name="besi.profil.siku" localSheetId="21">#REF!</definedName>
    <definedName name="besi.profil.siku" localSheetId="20">#REF!</definedName>
    <definedName name="besi.profil.siku" localSheetId="13">#REF!</definedName>
    <definedName name="besi.profil.siku" localSheetId="12">#REF!</definedName>
    <definedName name="besi.profil.siku" localSheetId="11">#REF!</definedName>
    <definedName name="besi.profil.siku" localSheetId="10">#REF!</definedName>
    <definedName name="besi.profil.siku" localSheetId="9">#REF!</definedName>
    <definedName name="besi.profil.siku" localSheetId="8">#REF!</definedName>
    <definedName name="besi.siku" localSheetId="19">#REF!</definedName>
    <definedName name="besi.siku" localSheetId="18">#REF!</definedName>
    <definedName name="besi.siku" localSheetId="17">#REF!</definedName>
    <definedName name="besi.siku" localSheetId="16">#REF!</definedName>
    <definedName name="besi.siku" localSheetId="15">#REF!</definedName>
    <definedName name="besi.siku" localSheetId="14">#REF!</definedName>
    <definedName name="besi.siku" localSheetId="25">#REF!</definedName>
    <definedName name="besi.siku" localSheetId="24">#REF!</definedName>
    <definedName name="besi.siku" localSheetId="23">#REF!</definedName>
    <definedName name="besi.siku" localSheetId="22">#REF!</definedName>
    <definedName name="besi.siku" localSheetId="21">#REF!</definedName>
    <definedName name="besi.siku" localSheetId="20">#REF!</definedName>
    <definedName name="besi.siku" localSheetId="13">#REF!</definedName>
    <definedName name="besi.siku" localSheetId="12">#REF!</definedName>
    <definedName name="besi.siku" localSheetId="11">#REF!</definedName>
    <definedName name="besi.siku" localSheetId="10">#REF!</definedName>
    <definedName name="besi.siku" localSheetId="9">#REF!</definedName>
    <definedName name="besi.siku" localSheetId="8">#REF!</definedName>
    <definedName name="besi.siku.6" localSheetId="19">#REF!</definedName>
    <definedName name="besi.siku.6" localSheetId="18">#REF!</definedName>
    <definedName name="besi.siku.6" localSheetId="17">#REF!</definedName>
    <definedName name="besi.siku.6" localSheetId="16">#REF!</definedName>
    <definedName name="besi.siku.6" localSheetId="15">#REF!</definedName>
    <definedName name="besi.siku.6" localSheetId="14">#REF!</definedName>
    <definedName name="besi.siku.6" localSheetId="25">#REF!</definedName>
    <definedName name="besi.siku.6" localSheetId="24">#REF!</definedName>
    <definedName name="besi.siku.6" localSheetId="23">#REF!</definedName>
    <definedName name="besi.siku.6" localSheetId="22">#REF!</definedName>
    <definedName name="besi.siku.6" localSheetId="21">#REF!</definedName>
    <definedName name="besi.siku.6" localSheetId="20">#REF!</definedName>
    <definedName name="besi.siku.6" localSheetId="13">#REF!</definedName>
    <definedName name="besi.siku.6" localSheetId="12">#REF!</definedName>
    <definedName name="besi.siku.6" localSheetId="11">#REF!</definedName>
    <definedName name="besi.siku.6" localSheetId="10">#REF!</definedName>
    <definedName name="besi.siku.6" localSheetId="9">#REF!</definedName>
    <definedName name="besi.siku.6" localSheetId="8">#REF!</definedName>
    <definedName name="besi.siku.9" localSheetId="19">#REF!</definedName>
    <definedName name="besi.siku.9" localSheetId="18">#REF!</definedName>
    <definedName name="besi.siku.9" localSheetId="17">#REF!</definedName>
    <definedName name="besi.siku.9" localSheetId="16">#REF!</definedName>
    <definedName name="besi.siku.9" localSheetId="15">#REF!</definedName>
    <definedName name="besi.siku.9" localSheetId="14">#REF!</definedName>
    <definedName name="besi.siku.9" localSheetId="25">#REF!</definedName>
    <definedName name="besi.siku.9" localSheetId="24">#REF!</definedName>
    <definedName name="besi.siku.9" localSheetId="23">#REF!</definedName>
    <definedName name="besi.siku.9" localSheetId="22">#REF!</definedName>
    <definedName name="besi.siku.9" localSheetId="21">#REF!</definedName>
    <definedName name="besi.siku.9" localSheetId="20">#REF!</definedName>
    <definedName name="besi.siku.9" localSheetId="13">#REF!</definedName>
    <definedName name="besi.siku.9" localSheetId="12">#REF!</definedName>
    <definedName name="besi.siku.9" localSheetId="11">#REF!</definedName>
    <definedName name="besi.siku.9" localSheetId="10">#REF!</definedName>
    <definedName name="besi.siku.9" localSheetId="9">#REF!</definedName>
    <definedName name="besi.siku.9" localSheetId="8">#REF!</definedName>
    <definedName name="besi.siku5" localSheetId="19">#REF!</definedName>
    <definedName name="besi.siku5" localSheetId="18">#REF!</definedName>
    <definedName name="besi.siku5" localSheetId="17">#REF!</definedName>
    <definedName name="besi.siku5" localSheetId="16">#REF!</definedName>
    <definedName name="besi.siku5" localSheetId="15">#REF!</definedName>
    <definedName name="besi.siku5" localSheetId="14">#REF!</definedName>
    <definedName name="besi.siku5" localSheetId="25">#REF!</definedName>
    <definedName name="besi.siku5" localSheetId="24">#REF!</definedName>
    <definedName name="besi.siku5" localSheetId="23">#REF!</definedName>
    <definedName name="besi.siku5" localSheetId="22">#REF!</definedName>
    <definedName name="besi.siku5" localSheetId="21">#REF!</definedName>
    <definedName name="besi.siku5" localSheetId="20">#REF!</definedName>
    <definedName name="besi.siku5" localSheetId="13">#REF!</definedName>
    <definedName name="besi.siku5" localSheetId="12">#REF!</definedName>
    <definedName name="besi.siku5" localSheetId="11">#REF!</definedName>
    <definedName name="besi.siku5" localSheetId="10">#REF!</definedName>
    <definedName name="besi.siku5" localSheetId="9">#REF!</definedName>
    <definedName name="besi.siku5" localSheetId="8">#REF!</definedName>
    <definedName name="Bub.Asbes" localSheetId="19">#REF!</definedName>
    <definedName name="Bub.Asbes" localSheetId="18">#REF!</definedName>
    <definedName name="Bub.Asbes" localSheetId="17">#REF!</definedName>
    <definedName name="Bub.Asbes" localSheetId="16">#REF!</definedName>
    <definedName name="Bub.Asbes" localSheetId="15">#REF!</definedName>
    <definedName name="Bub.Asbes" localSheetId="14">#REF!</definedName>
    <definedName name="Bub.Asbes" localSheetId="25">#REF!</definedName>
    <definedName name="Bub.Asbes" localSheetId="24">#REF!</definedName>
    <definedName name="Bub.Asbes" localSheetId="23">#REF!</definedName>
    <definedName name="Bub.Asbes" localSheetId="22">#REF!</definedName>
    <definedName name="Bub.Asbes" localSheetId="21">#REF!</definedName>
    <definedName name="Bub.Asbes" localSheetId="20">#REF!</definedName>
    <definedName name="Bub.Asbes" localSheetId="13">#REF!</definedName>
    <definedName name="Bub.Asbes" localSheetId="12">#REF!</definedName>
    <definedName name="Bub.Asbes" localSheetId="11">#REF!</definedName>
    <definedName name="Bub.Asbes" localSheetId="10">#REF!</definedName>
    <definedName name="Bub.Asbes" localSheetId="9">#REF!</definedName>
    <definedName name="Bub.Asbes" localSheetId="8">#REF!</definedName>
    <definedName name="Bub.pejaten" localSheetId="19">#REF!</definedName>
    <definedName name="Bub.pejaten" localSheetId="18">#REF!</definedName>
    <definedName name="Bub.pejaten" localSheetId="17">#REF!</definedName>
    <definedName name="Bub.pejaten" localSheetId="16">#REF!</definedName>
    <definedName name="Bub.pejaten" localSheetId="15">#REF!</definedName>
    <definedName name="Bub.pejaten" localSheetId="14">#REF!</definedName>
    <definedName name="Bub.pejaten" localSheetId="25">#REF!</definedName>
    <definedName name="Bub.pejaten" localSheetId="24">#REF!</definedName>
    <definedName name="Bub.pejaten" localSheetId="23">#REF!</definedName>
    <definedName name="Bub.pejaten" localSheetId="22">#REF!</definedName>
    <definedName name="Bub.pejaten" localSheetId="21">#REF!</definedName>
    <definedName name="Bub.pejaten" localSheetId="20">#REF!</definedName>
    <definedName name="Bub.pejaten" localSheetId="13">#REF!</definedName>
    <definedName name="Bub.pejaten" localSheetId="12">#REF!</definedName>
    <definedName name="Bub.pejaten" localSheetId="11">#REF!</definedName>
    <definedName name="Bub.pejaten" localSheetId="10">#REF!</definedName>
    <definedName name="Bub.pejaten" localSheetId="9">#REF!</definedName>
    <definedName name="Bub.pejaten" localSheetId="8">#REF!</definedName>
    <definedName name="bubungan.beton" localSheetId="19">#REF!</definedName>
    <definedName name="bubungan.beton" localSheetId="18">#REF!</definedName>
    <definedName name="bubungan.beton" localSheetId="17">#REF!</definedName>
    <definedName name="bubungan.beton" localSheetId="16">#REF!</definedName>
    <definedName name="bubungan.beton" localSheetId="15">#REF!</definedName>
    <definedName name="bubungan.beton" localSheetId="14">#REF!</definedName>
    <definedName name="bubungan.beton" localSheetId="25">#REF!</definedName>
    <definedName name="bubungan.beton" localSheetId="24">#REF!</definedName>
    <definedName name="bubungan.beton" localSheetId="23">#REF!</definedName>
    <definedName name="bubungan.beton" localSheetId="22">#REF!</definedName>
    <definedName name="bubungan.beton" localSheetId="21">#REF!</definedName>
    <definedName name="bubungan.beton" localSheetId="20">#REF!</definedName>
    <definedName name="bubungan.beton" localSheetId="13">#REF!</definedName>
    <definedName name="bubungan.beton" localSheetId="12">#REF!</definedName>
    <definedName name="bubungan.beton" localSheetId="11">#REF!</definedName>
    <definedName name="bubungan.beton" localSheetId="10">#REF!</definedName>
    <definedName name="bubungan.beton" localSheetId="9">#REF!</definedName>
    <definedName name="bubungan.beton" localSheetId="8">#REF!</definedName>
    <definedName name="bubungan.lokal" localSheetId="19">#REF!</definedName>
    <definedName name="bubungan.lokal" localSheetId="18">#REF!</definedName>
    <definedName name="bubungan.lokal" localSheetId="17">#REF!</definedName>
    <definedName name="bubungan.lokal" localSheetId="16">#REF!</definedName>
    <definedName name="bubungan.lokal" localSheetId="15">#REF!</definedName>
    <definedName name="bubungan.lokal" localSheetId="14">#REF!</definedName>
    <definedName name="bubungan.lokal" localSheetId="25">#REF!</definedName>
    <definedName name="bubungan.lokal" localSheetId="24">#REF!</definedName>
    <definedName name="bubungan.lokal" localSheetId="23">#REF!</definedName>
    <definedName name="bubungan.lokal" localSheetId="22">#REF!</definedName>
    <definedName name="bubungan.lokal" localSheetId="21">#REF!</definedName>
    <definedName name="bubungan.lokal" localSheetId="20">#REF!</definedName>
    <definedName name="bubungan.lokal" localSheetId="13">#REF!</definedName>
    <definedName name="bubungan.lokal" localSheetId="12">#REF!</definedName>
    <definedName name="bubungan.lokal" localSheetId="11">#REF!</definedName>
    <definedName name="bubungan.lokal" localSheetId="10">#REF!</definedName>
    <definedName name="bubungan.lokal" localSheetId="9">#REF!</definedName>
    <definedName name="bubungan.lokal" localSheetId="8">#REF!</definedName>
    <definedName name="buis.10" localSheetId="19">#REF!</definedName>
    <definedName name="buis.10" localSheetId="18">#REF!</definedName>
    <definedName name="buis.10" localSheetId="17">#REF!</definedName>
    <definedName name="buis.10" localSheetId="16">#REF!</definedName>
    <definedName name="buis.10" localSheetId="15">#REF!</definedName>
    <definedName name="buis.10" localSheetId="14">#REF!</definedName>
    <definedName name="buis.10" localSheetId="25">#REF!</definedName>
    <definedName name="buis.10" localSheetId="24">#REF!</definedName>
    <definedName name="buis.10" localSheetId="23">#REF!</definedName>
    <definedName name="buis.10" localSheetId="22">#REF!</definedName>
    <definedName name="buis.10" localSheetId="21">#REF!</definedName>
    <definedName name="buis.10" localSheetId="20">#REF!</definedName>
    <definedName name="buis.10" localSheetId="13">#REF!</definedName>
    <definedName name="buis.10" localSheetId="12">#REF!</definedName>
    <definedName name="buis.10" localSheetId="11">#REF!</definedName>
    <definedName name="buis.10" localSheetId="10">#REF!</definedName>
    <definedName name="buis.10" localSheetId="9">#REF!</definedName>
    <definedName name="buis.10" localSheetId="8">#REF!</definedName>
    <definedName name="buis.20" localSheetId="19">#REF!</definedName>
    <definedName name="buis.20" localSheetId="18">#REF!</definedName>
    <definedName name="buis.20" localSheetId="17">#REF!</definedName>
    <definedName name="buis.20" localSheetId="16">#REF!</definedName>
    <definedName name="buis.20" localSheetId="15">#REF!</definedName>
    <definedName name="buis.20" localSheetId="14">#REF!</definedName>
    <definedName name="buis.20" localSheetId="25">#REF!</definedName>
    <definedName name="buis.20" localSheetId="24">#REF!</definedName>
    <definedName name="buis.20" localSheetId="23">#REF!</definedName>
    <definedName name="buis.20" localSheetId="22">#REF!</definedName>
    <definedName name="buis.20" localSheetId="21">#REF!</definedName>
    <definedName name="buis.20" localSheetId="20">#REF!</definedName>
    <definedName name="buis.20" localSheetId="13">#REF!</definedName>
    <definedName name="buis.20" localSheetId="12">#REF!</definedName>
    <definedName name="buis.20" localSheetId="11">#REF!</definedName>
    <definedName name="buis.20" localSheetId="10">#REF!</definedName>
    <definedName name="buis.20" localSheetId="9">#REF!</definedName>
    <definedName name="buis.20" localSheetId="8">#REF!</definedName>
    <definedName name="buis.40" localSheetId="19">#REF!</definedName>
    <definedName name="buis.40" localSheetId="18">#REF!</definedName>
    <definedName name="buis.40" localSheetId="17">#REF!</definedName>
    <definedName name="buis.40" localSheetId="16">#REF!</definedName>
    <definedName name="buis.40" localSheetId="15">#REF!</definedName>
    <definedName name="buis.40" localSheetId="14">#REF!</definedName>
    <definedName name="buis.40" localSheetId="25">#REF!</definedName>
    <definedName name="buis.40" localSheetId="24">#REF!</definedName>
    <definedName name="buis.40" localSheetId="23">#REF!</definedName>
    <definedName name="buis.40" localSheetId="22">#REF!</definedName>
    <definedName name="buis.40" localSheetId="21">#REF!</definedName>
    <definedName name="buis.40" localSheetId="20">#REF!</definedName>
    <definedName name="buis.40" localSheetId="13">#REF!</definedName>
    <definedName name="buis.40" localSheetId="12">#REF!</definedName>
    <definedName name="buis.40" localSheetId="11">#REF!</definedName>
    <definedName name="buis.40" localSheetId="10">#REF!</definedName>
    <definedName name="buis.40" localSheetId="9">#REF!</definedName>
    <definedName name="buis.40" localSheetId="8">#REF!</definedName>
    <definedName name="buis.60" localSheetId="19">#REF!</definedName>
    <definedName name="buis.60" localSheetId="18">#REF!</definedName>
    <definedName name="buis.60" localSheetId="17">#REF!</definedName>
    <definedName name="buis.60" localSheetId="16">#REF!</definedName>
    <definedName name="buis.60" localSheetId="15">#REF!</definedName>
    <definedName name="buis.60" localSheetId="14">#REF!</definedName>
    <definedName name="buis.60" localSheetId="25">#REF!</definedName>
    <definedName name="buis.60" localSheetId="24">#REF!</definedName>
    <definedName name="buis.60" localSheetId="23">#REF!</definedName>
    <definedName name="buis.60" localSheetId="22">#REF!</definedName>
    <definedName name="buis.60" localSheetId="21">#REF!</definedName>
    <definedName name="buis.60" localSheetId="20">#REF!</definedName>
    <definedName name="buis.60" localSheetId="13">#REF!</definedName>
    <definedName name="buis.60" localSheetId="12">#REF!</definedName>
    <definedName name="buis.60" localSheetId="11">#REF!</definedName>
    <definedName name="buis.60" localSheetId="10">#REF!</definedName>
    <definedName name="buis.60" localSheetId="9">#REF!</definedName>
    <definedName name="buis.60" localSheetId="8">#REF!</definedName>
    <definedName name="buis.80" localSheetId="19">#REF!</definedName>
    <definedName name="buis.80" localSheetId="18">#REF!</definedName>
    <definedName name="buis.80" localSheetId="17">#REF!</definedName>
    <definedName name="buis.80" localSheetId="16">#REF!</definedName>
    <definedName name="buis.80" localSheetId="15">#REF!</definedName>
    <definedName name="buis.80" localSheetId="14">#REF!</definedName>
    <definedName name="buis.80" localSheetId="25">#REF!</definedName>
    <definedName name="buis.80" localSheetId="24">#REF!</definedName>
    <definedName name="buis.80" localSheetId="23">#REF!</definedName>
    <definedName name="buis.80" localSheetId="22">#REF!</definedName>
    <definedName name="buis.80" localSheetId="21">#REF!</definedName>
    <definedName name="buis.80" localSheetId="20">#REF!</definedName>
    <definedName name="buis.80" localSheetId="13">#REF!</definedName>
    <definedName name="buis.80" localSheetId="12">#REF!</definedName>
    <definedName name="buis.80" localSheetId="11">#REF!</definedName>
    <definedName name="buis.80" localSheetId="10">#REF!</definedName>
    <definedName name="buis.80" localSheetId="9">#REF!</definedName>
    <definedName name="buis.80" localSheetId="8">#REF!</definedName>
    <definedName name="cat.besi" localSheetId="19">#REF!</definedName>
    <definedName name="cat.besi" localSheetId="18">#REF!</definedName>
    <definedName name="cat.besi" localSheetId="17">#REF!</definedName>
    <definedName name="cat.besi" localSheetId="16">#REF!</definedName>
    <definedName name="cat.besi" localSheetId="15">#REF!</definedName>
    <definedName name="cat.besi" localSheetId="14">#REF!</definedName>
    <definedName name="cat.besi" localSheetId="25">#REF!</definedName>
    <definedName name="cat.besi" localSheetId="24">#REF!</definedName>
    <definedName name="cat.besi" localSheetId="23">#REF!</definedName>
    <definedName name="cat.besi" localSheetId="22">#REF!</definedName>
    <definedName name="cat.besi" localSheetId="21">#REF!</definedName>
    <definedName name="cat.besi" localSheetId="20">#REF!</definedName>
    <definedName name="cat.besi" localSheetId="13">#REF!</definedName>
    <definedName name="cat.besi" localSheetId="12">#REF!</definedName>
    <definedName name="cat.besi" localSheetId="11">#REF!</definedName>
    <definedName name="cat.besi" localSheetId="10">#REF!</definedName>
    <definedName name="cat.besi" localSheetId="9">#REF!</definedName>
    <definedName name="cat.besi" localSheetId="8">#REF!</definedName>
    <definedName name="cat.kayu" localSheetId="19">#REF!</definedName>
    <definedName name="cat.kayu" localSheetId="18">#REF!</definedName>
    <definedName name="cat.kayu" localSheetId="17">#REF!</definedName>
    <definedName name="cat.kayu" localSheetId="16">#REF!</definedName>
    <definedName name="cat.kayu" localSheetId="15">#REF!</definedName>
    <definedName name="cat.kayu" localSheetId="14">#REF!</definedName>
    <definedName name="cat.kayu" localSheetId="25">#REF!</definedName>
    <definedName name="cat.kayu" localSheetId="24">#REF!</definedName>
    <definedName name="cat.kayu" localSheetId="23">#REF!</definedName>
    <definedName name="cat.kayu" localSheetId="22">#REF!</definedName>
    <definedName name="cat.kayu" localSheetId="21">#REF!</definedName>
    <definedName name="cat.kayu" localSheetId="20">#REF!</definedName>
    <definedName name="cat.kayu" localSheetId="13">#REF!</definedName>
    <definedName name="cat.kayu" localSheetId="12">#REF!</definedName>
    <definedName name="cat.kayu" localSheetId="11">#REF!</definedName>
    <definedName name="cat.kayu" localSheetId="10">#REF!</definedName>
    <definedName name="cat.kayu" localSheetId="9">#REF!</definedName>
    <definedName name="cat.kayu" localSheetId="8">#REF!</definedName>
    <definedName name="cat.kayu2" localSheetId="19">#REF!</definedName>
    <definedName name="cat.kayu2" localSheetId="18">#REF!</definedName>
    <definedName name="cat.kayu2" localSheetId="17">#REF!</definedName>
    <definedName name="cat.kayu2" localSheetId="16">#REF!</definedName>
    <definedName name="cat.kayu2" localSheetId="15">#REF!</definedName>
    <definedName name="cat.kayu2" localSheetId="14">#REF!</definedName>
    <definedName name="cat.kayu2" localSheetId="25">#REF!</definedName>
    <definedName name="cat.kayu2" localSheetId="24">#REF!</definedName>
    <definedName name="cat.kayu2" localSheetId="23">#REF!</definedName>
    <definedName name="cat.kayu2" localSheetId="22">#REF!</definedName>
    <definedName name="cat.kayu2" localSheetId="21">#REF!</definedName>
    <definedName name="cat.kayu2" localSheetId="20">#REF!</definedName>
    <definedName name="cat.kayu2" localSheetId="13">#REF!</definedName>
    <definedName name="cat.kayu2" localSheetId="12">#REF!</definedName>
    <definedName name="cat.kayu2" localSheetId="11">#REF!</definedName>
    <definedName name="cat.kayu2" localSheetId="10">#REF!</definedName>
    <definedName name="cat.kayu2" localSheetId="9">#REF!</definedName>
    <definedName name="cat.kayu2" localSheetId="8">#REF!</definedName>
    <definedName name="cat.tembok" localSheetId="19">#REF!</definedName>
    <definedName name="cat.tembok" localSheetId="18">#REF!</definedName>
    <definedName name="cat.tembok" localSheetId="17">#REF!</definedName>
    <definedName name="cat.tembok" localSheetId="16">#REF!</definedName>
    <definedName name="cat.tembok" localSheetId="15">#REF!</definedName>
    <definedName name="cat.tembok" localSheetId="14">#REF!</definedName>
    <definedName name="cat.tembok" localSheetId="25">#REF!</definedName>
    <definedName name="cat.tembok" localSheetId="24">#REF!</definedName>
    <definedName name="cat.tembok" localSheetId="23">#REF!</definedName>
    <definedName name="cat.tembok" localSheetId="22">#REF!</definedName>
    <definedName name="cat.tembok" localSheetId="21">#REF!</definedName>
    <definedName name="cat.tembok" localSheetId="20">#REF!</definedName>
    <definedName name="cat.tembok" localSheetId="13">#REF!</definedName>
    <definedName name="cat.tembok" localSheetId="12">#REF!</definedName>
    <definedName name="cat.tembok" localSheetId="11">#REF!</definedName>
    <definedName name="cat.tembok" localSheetId="10">#REF!</definedName>
    <definedName name="cat.tembok" localSheetId="9">#REF!</definedName>
    <definedName name="cat.tembok" localSheetId="8">#REF!</definedName>
    <definedName name="cat.tembok1" localSheetId="19">#REF!</definedName>
    <definedName name="cat.tembok1" localSheetId="18">#REF!</definedName>
    <definedName name="cat.tembok1" localSheetId="17">#REF!</definedName>
    <definedName name="cat.tembok1" localSheetId="16">#REF!</definedName>
    <definedName name="cat.tembok1" localSheetId="15">#REF!</definedName>
    <definedName name="cat.tembok1" localSheetId="14">#REF!</definedName>
    <definedName name="cat.tembok1" localSheetId="25">#REF!</definedName>
    <definedName name="cat.tembok1" localSheetId="24">#REF!</definedName>
    <definedName name="cat.tembok1" localSheetId="23">#REF!</definedName>
    <definedName name="cat.tembok1" localSheetId="22">#REF!</definedName>
    <definedName name="cat.tembok1" localSheetId="21">#REF!</definedName>
    <definedName name="cat.tembok1" localSheetId="20">#REF!</definedName>
    <definedName name="cat.tembok1" localSheetId="13">#REF!</definedName>
    <definedName name="cat.tembok1" localSheetId="12">#REF!</definedName>
    <definedName name="cat.tembok1" localSheetId="11">#REF!</definedName>
    <definedName name="cat.tembok1" localSheetId="10">#REF!</definedName>
    <definedName name="cat.tembok1" localSheetId="9">#REF!</definedName>
    <definedName name="cat.tembok1" localSheetId="8">#REF!</definedName>
    <definedName name="cat.tembok2" localSheetId="19">#REF!</definedName>
    <definedName name="cat.tembok2" localSheetId="18">#REF!</definedName>
    <definedName name="cat.tembok2" localSheetId="17">#REF!</definedName>
    <definedName name="cat.tembok2" localSheetId="16">#REF!</definedName>
    <definedName name="cat.tembok2" localSheetId="15">#REF!</definedName>
    <definedName name="cat.tembok2" localSheetId="14">#REF!</definedName>
    <definedName name="cat.tembok2" localSheetId="25">#REF!</definedName>
    <definedName name="cat.tembok2" localSheetId="24">#REF!</definedName>
    <definedName name="cat.tembok2" localSheetId="23">#REF!</definedName>
    <definedName name="cat.tembok2" localSheetId="22">#REF!</definedName>
    <definedName name="cat.tembok2" localSheetId="21">#REF!</definedName>
    <definedName name="cat.tembok2" localSheetId="20">#REF!</definedName>
    <definedName name="cat.tembok2" localSheetId="13">#REF!</definedName>
    <definedName name="cat.tembok2" localSheetId="12">#REF!</definedName>
    <definedName name="cat.tembok2" localSheetId="11">#REF!</definedName>
    <definedName name="cat.tembok2" localSheetId="10">#REF!</definedName>
    <definedName name="cat.tembok2" localSheetId="9">#REF!</definedName>
    <definedName name="cat.tembok2" localSheetId="8">#REF!</definedName>
    <definedName name="D" localSheetId="19">#REF!</definedName>
    <definedName name="D" localSheetId="18">#REF!</definedName>
    <definedName name="D" localSheetId="17">#REF!</definedName>
    <definedName name="D" localSheetId="16">#REF!</definedName>
    <definedName name="D" localSheetId="15">#REF!</definedName>
    <definedName name="D" localSheetId="14">#REF!</definedName>
    <definedName name="D" localSheetId="25">#REF!</definedName>
    <definedName name="D" localSheetId="24">#REF!</definedName>
    <definedName name="D" localSheetId="23">#REF!</definedName>
    <definedName name="D" localSheetId="22">#REF!</definedName>
    <definedName name="D" localSheetId="21">#REF!</definedName>
    <definedName name="D" localSheetId="20">#REF!</definedName>
    <definedName name="D" localSheetId="13">#REF!</definedName>
    <definedName name="D" localSheetId="12">#REF!</definedName>
    <definedName name="D" localSheetId="11">#REF!</definedName>
    <definedName name="D" localSheetId="10">#REF!</definedName>
    <definedName name="D" localSheetId="9">#REF!</definedName>
    <definedName name="D" localSheetId="8">#REF!</definedName>
    <definedName name="_xlnm.Database" localSheetId="13">[7]Sheet5!$A$1:$Q$318</definedName>
    <definedName name="_xlnm.Database" localSheetId="12">[7]Sheet5!$A$1:$Q$318</definedName>
    <definedName name="_xlnm.Database" localSheetId="11">[7]Sheet5!$A$1:$Q$318</definedName>
    <definedName name="_xlnm.Database" localSheetId="10">[7]Sheet5!$A$1:$Q$318</definedName>
    <definedName name="_xlnm.Database" localSheetId="9">[7]Sheet5!$A$1:$Q$318</definedName>
    <definedName name="_xlnm.Database" localSheetId="8">[7]Sheet5!$A$1:$Q$318</definedName>
    <definedName name="_xlnm.Database">[8]Sheet5!$A$1:$Q$318</definedName>
    <definedName name="dolken.10" localSheetId="19">#REF!</definedName>
    <definedName name="dolken.10" localSheetId="18">#REF!</definedName>
    <definedName name="dolken.10" localSheetId="17">#REF!</definedName>
    <definedName name="dolken.10" localSheetId="16">#REF!</definedName>
    <definedName name="dolken.10" localSheetId="15">#REF!</definedName>
    <definedName name="dolken.10" localSheetId="14">#REF!</definedName>
    <definedName name="dolken.10" localSheetId="25">#REF!</definedName>
    <definedName name="dolken.10" localSheetId="24">#REF!</definedName>
    <definedName name="dolken.10" localSheetId="23">#REF!</definedName>
    <definedName name="dolken.10" localSheetId="22">#REF!</definedName>
    <definedName name="dolken.10" localSheetId="21">#REF!</definedName>
    <definedName name="dolken.10" localSheetId="20">#REF!</definedName>
    <definedName name="dolken.10" localSheetId="13">#REF!</definedName>
    <definedName name="dolken.10" localSheetId="12">#REF!</definedName>
    <definedName name="dolken.10" localSheetId="11">#REF!</definedName>
    <definedName name="dolken.10" localSheetId="10">#REF!</definedName>
    <definedName name="dolken.10" localSheetId="9">#REF!</definedName>
    <definedName name="dolken.10" localSheetId="8">#REF!</definedName>
    <definedName name="DT_CATATAN" localSheetId="13">[5]KEL!$Q$11:$Q$1995</definedName>
    <definedName name="DT_CATATAN" localSheetId="12">[5]KEL!$Q$11:$Q$1995</definedName>
    <definedName name="DT_CATATAN" localSheetId="11">[5]KEL!$Q$11:$Q$1995</definedName>
    <definedName name="DT_CATATAN" localSheetId="10">[5]KEL!$Q$11:$Q$1995</definedName>
    <definedName name="DT_CATATAN" localSheetId="9">[5]KEL!$Q$11:$Q$1995</definedName>
    <definedName name="DT_CATATAN" localSheetId="8">[5]KEL!$Q$11:$Q$1995</definedName>
    <definedName name="DT_CATATAN">[6]KEL!$Q$11:$Q$1995</definedName>
    <definedName name="DT_IDF" localSheetId="13">[5]KEL!$H$11:$H$1995</definedName>
    <definedName name="DT_IDF" localSheetId="12">[5]KEL!$H$11:$H$1995</definedName>
    <definedName name="DT_IDF" localSheetId="11">[5]KEL!$H$11:$H$1995</definedName>
    <definedName name="DT_IDF" localSheetId="10">[5]KEL!$H$11:$H$1995</definedName>
    <definedName name="DT_IDF" localSheetId="9">[5]KEL!$H$11:$H$1995</definedName>
    <definedName name="DT_IDF" localSheetId="8">[5]KEL!$H$11:$H$1995</definedName>
    <definedName name="DT_IDF">[6]KEL!$H$11:$H$1995</definedName>
    <definedName name="DT_JML_TEMUAN" localSheetId="13">[5]BASIS!$FK$10:$FK$61010</definedName>
    <definedName name="DT_JML_TEMUAN" localSheetId="12">[5]BASIS!$FK$10:$FK$61010</definedName>
    <definedName name="DT_JML_TEMUAN" localSheetId="11">[5]BASIS!$FK$10:$FK$61010</definedName>
    <definedName name="DT_JML_TEMUAN" localSheetId="10">[5]BASIS!$FK$10:$FK$61010</definedName>
    <definedName name="DT_JML_TEMUAN" localSheetId="9">[5]BASIS!$FK$10:$FK$61010</definedName>
    <definedName name="DT_JML_TEMUAN" localSheetId="8">[5]BASIS!$FK$10:$FK$61010</definedName>
    <definedName name="DT_JML_TEMUAN">[6]BASIS!$FK$10:$FK$61010</definedName>
    <definedName name="DT_KOTA" localSheetId="13">[5]KEL!$M$11:$M$1995</definedName>
    <definedName name="DT_KOTA" localSheetId="12">[5]KEL!$M$11:$M$1995</definedName>
    <definedName name="DT_KOTA" localSheetId="11">[5]KEL!$M$11:$M$1995</definedName>
    <definedName name="DT_KOTA" localSheetId="10">[5]KEL!$M$11:$M$1995</definedName>
    <definedName name="DT_KOTA" localSheetId="9">[5]KEL!$M$11:$M$1995</definedName>
    <definedName name="DT_KOTA" localSheetId="8">[5]KEL!$M$11:$M$1995</definedName>
    <definedName name="DT_KOTA">[6]KEL!$M$11:$M$1995</definedName>
    <definedName name="DT_LUAS_KEL" localSheetId="13">[5]KEL!$I$11:$I$1995</definedName>
    <definedName name="DT_LUAS_KEL" localSheetId="12">[5]KEL!$I$11:$I$1995</definedName>
    <definedName name="DT_LUAS_KEL" localSheetId="11">[5]KEL!$I$11:$I$1995</definedName>
    <definedName name="DT_LUAS_KEL" localSheetId="10">[5]KEL!$I$11:$I$1995</definedName>
    <definedName name="DT_LUAS_KEL" localSheetId="9">[5]KEL!$I$11:$I$1995</definedName>
    <definedName name="DT_LUAS_KEL" localSheetId="8">[5]KEL!$I$11:$I$1995</definedName>
    <definedName name="DT_LUAS_KEL">[6]KEL!$I$11:$I$1995</definedName>
    <definedName name="DT_TIPOLOGI" localSheetId="13">[5]KEL!$J$11:$J$1995</definedName>
    <definedName name="DT_TIPOLOGI" localSheetId="12">[5]KEL!$J$11:$J$1995</definedName>
    <definedName name="DT_TIPOLOGI" localSheetId="11">[5]KEL!$J$11:$J$1995</definedName>
    <definedName name="DT_TIPOLOGI" localSheetId="10">[5]KEL!$J$11:$J$1995</definedName>
    <definedName name="DT_TIPOLOGI" localSheetId="9">[5]KEL!$J$11:$J$1995</definedName>
    <definedName name="DT_TIPOLOGI" localSheetId="8">[5]KEL!$J$11:$J$1995</definedName>
    <definedName name="DT_TIPOLOGI">[6]KEL!$J$11:$J$1995</definedName>
    <definedName name="E" localSheetId="19">#REF!</definedName>
    <definedName name="E" localSheetId="18">#REF!</definedName>
    <definedName name="E" localSheetId="17">#REF!</definedName>
    <definedName name="E" localSheetId="16">#REF!</definedName>
    <definedName name="E" localSheetId="15">#REF!</definedName>
    <definedName name="E" localSheetId="14">#REF!</definedName>
    <definedName name="E" localSheetId="25">#REF!</definedName>
    <definedName name="E" localSheetId="24">#REF!</definedName>
    <definedName name="E" localSheetId="23">#REF!</definedName>
    <definedName name="E" localSheetId="22">#REF!</definedName>
    <definedName name="E" localSheetId="21">#REF!</definedName>
    <definedName name="E" localSheetId="20">#REF!</definedName>
    <definedName name="E" localSheetId="13">#REF!</definedName>
    <definedName name="E" localSheetId="12">#REF!</definedName>
    <definedName name="E" localSheetId="11">#REF!</definedName>
    <definedName name="E" localSheetId="10">#REF!</definedName>
    <definedName name="E" localSheetId="9">#REF!</definedName>
    <definedName name="E" localSheetId="8">#REF!</definedName>
    <definedName name="engsel.H" localSheetId="19">#REF!</definedName>
    <definedName name="engsel.H" localSheetId="18">#REF!</definedName>
    <definedName name="engsel.H" localSheetId="17">#REF!</definedName>
    <definedName name="engsel.H" localSheetId="16">#REF!</definedName>
    <definedName name="engsel.H" localSheetId="15">#REF!</definedName>
    <definedName name="engsel.H" localSheetId="14">#REF!</definedName>
    <definedName name="engsel.H" localSheetId="25">#REF!</definedName>
    <definedName name="engsel.H" localSheetId="24">#REF!</definedName>
    <definedName name="engsel.H" localSheetId="23">#REF!</definedName>
    <definedName name="engsel.H" localSheetId="22">#REF!</definedName>
    <definedName name="engsel.H" localSheetId="21">#REF!</definedName>
    <definedName name="engsel.H" localSheetId="20">#REF!</definedName>
    <definedName name="engsel.H" localSheetId="13">#REF!</definedName>
    <definedName name="engsel.H" localSheetId="12">#REF!</definedName>
    <definedName name="engsel.H" localSheetId="11">#REF!</definedName>
    <definedName name="engsel.H" localSheetId="10">#REF!</definedName>
    <definedName name="engsel.H" localSheetId="9">#REF!</definedName>
    <definedName name="engsel.H" localSheetId="8">#REF!</definedName>
    <definedName name="engsel.nylon" localSheetId="19">#REF!</definedName>
    <definedName name="engsel.nylon" localSheetId="18">#REF!</definedName>
    <definedName name="engsel.nylon" localSheetId="17">#REF!</definedName>
    <definedName name="engsel.nylon" localSheetId="16">#REF!</definedName>
    <definedName name="engsel.nylon" localSheetId="15">#REF!</definedName>
    <definedName name="engsel.nylon" localSheetId="14">#REF!</definedName>
    <definedName name="engsel.nylon" localSheetId="25">#REF!</definedName>
    <definedName name="engsel.nylon" localSheetId="24">#REF!</definedName>
    <definedName name="engsel.nylon" localSheetId="23">#REF!</definedName>
    <definedName name="engsel.nylon" localSheetId="22">#REF!</definedName>
    <definedName name="engsel.nylon" localSheetId="21">#REF!</definedName>
    <definedName name="engsel.nylon" localSheetId="20">#REF!</definedName>
    <definedName name="engsel.nylon" localSheetId="13">#REF!</definedName>
    <definedName name="engsel.nylon" localSheetId="12">#REF!</definedName>
    <definedName name="engsel.nylon" localSheetId="11">#REF!</definedName>
    <definedName name="engsel.nylon" localSheetId="10">#REF!</definedName>
    <definedName name="engsel.nylon" localSheetId="9">#REF!</definedName>
    <definedName name="engsel.nylon" localSheetId="8">#REF!</definedName>
    <definedName name="Espagnolet" localSheetId="19">#REF!</definedName>
    <definedName name="Espagnolet" localSheetId="18">#REF!</definedName>
    <definedName name="Espagnolet" localSheetId="17">#REF!</definedName>
    <definedName name="Espagnolet" localSheetId="16">#REF!</definedName>
    <definedName name="Espagnolet" localSheetId="15">#REF!</definedName>
    <definedName name="Espagnolet" localSheetId="14">#REF!</definedName>
    <definedName name="Espagnolet" localSheetId="25">#REF!</definedName>
    <definedName name="Espagnolet" localSheetId="24">#REF!</definedName>
    <definedName name="Espagnolet" localSheetId="23">#REF!</definedName>
    <definedName name="Espagnolet" localSheetId="22">#REF!</definedName>
    <definedName name="Espagnolet" localSheetId="21">#REF!</definedName>
    <definedName name="Espagnolet" localSheetId="20">#REF!</definedName>
    <definedName name="Espagnolet" localSheetId="13">#REF!</definedName>
    <definedName name="Espagnolet" localSheetId="12">#REF!</definedName>
    <definedName name="Espagnolet" localSheetId="11">#REF!</definedName>
    <definedName name="Espagnolet" localSheetId="10">#REF!</definedName>
    <definedName name="Espagnolet" localSheetId="9">#REF!</definedName>
    <definedName name="Espagnolet" localSheetId="8">#REF!</definedName>
    <definedName name="f.16" localSheetId="19">#REF!</definedName>
    <definedName name="f.16" localSheetId="18">#REF!</definedName>
    <definedName name="f.16" localSheetId="17">#REF!</definedName>
    <definedName name="f.16" localSheetId="16">#REF!</definedName>
    <definedName name="f.16" localSheetId="15">#REF!</definedName>
    <definedName name="f.16" localSheetId="14">#REF!</definedName>
    <definedName name="f.16" localSheetId="25">#REF!</definedName>
    <definedName name="f.16" localSheetId="24">#REF!</definedName>
    <definedName name="f.16" localSheetId="23">#REF!</definedName>
    <definedName name="f.16" localSheetId="22">#REF!</definedName>
    <definedName name="f.16" localSheetId="21">#REF!</definedName>
    <definedName name="f.16" localSheetId="20">#REF!</definedName>
    <definedName name="f.16" localSheetId="13">#REF!</definedName>
    <definedName name="f.16" localSheetId="12">#REF!</definedName>
    <definedName name="f.16" localSheetId="11">#REF!</definedName>
    <definedName name="f.16" localSheetId="10">#REF!</definedName>
    <definedName name="f.16" localSheetId="9">#REF!</definedName>
    <definedName name="f.16" localSheetId="8">#REF!</definedName>
    <definedName name="f.16.a" localSheetId="19">#REF!</definedName>
    <definedName name="f.16.a" localSheetId="18">#REF!</definedName>
    <definedName name="f.16.a" localSheetId="17">#REF!</definedName>
    <definedName name="f.16.a" localSheetId="16">#REF!</definedName>
    <definedName name="f.16.a" localSheetId="15">#REF!</definedName>
    <definedName name="f.16.a" localSheetId="14">#REF!</definedName>
    <definedName name="f.16.a" localSheetId="25">#REF!</definedName>
    <definedName name="f.16.a" localSheetId="24">#REF!</definedName>
    <definedName name="f.16.a" localSheetId="23">#REF!</definedName>
    <definedName name="f.16.a" localSheetId="22">#REF!</definedName>
    <definedName name="f.16.a" localSheetId="21">#REF!</definedName>
    <definedName name="f.16.a" localSheetId="20">#REF!</definedName>
    <definedName name="f.16.a" localSheetId="13">#REF!</definedName>
    <definedName name="f.16.a" localSheetId="12">#REF!</definedName>
    <definedName name="f.16.a" localSheetId="11">#REF!</definedName>
    <definedName name="f.16.a" localSheetId="10">#REF!</definedName>
    <definedName name="f.16.a" localSheetId="9">#REF!</definedName>
    <definedName name="f.16.a" localSheetId="8">#REF!</definedName>
    <definedName name="f.21" localSheetId="19">#REF!</definedName>
    <definedName name="f.21" localSheetId="18">#REF!</definedName>
    <definedName name="f.21" localSheetId="17">#REF!</definedName>
    <definedName name="f.21" localSheetId="16">#REF!</definedName>
    <definedName name="f.21" localSheetId="15">#REF!</definedName>
    <definedName name="f.21" localSheetId="14">#REF!</definedName>
    <definedName name="f.21" localSheetId="25">#REF!</definedName>
    <definedName name="f.21" localSheetId="24">#REF!</definedName>
    <definedName name="f.21" localSheetId="23">#REF!</definedName>
    <definedName name="f.21" localSheetId="22">#REF!</definedName>
    <definedName name="f.21" localSheetId="21">#REF!</definedName>
    <definedName name="f.21" localSheetId="20">#REF!</definedName>
    <definedName name="f.21" localSheetId="13">#REF!</definedName>
    <definedName name="f.21" localSheetId="12">#REF!</definedName>
    <definedName name="f.21" localSheetId="11">#REF!</definedName>
    <definedName name="f.21" localSheetId="10">#REF!</definedName>
    <definedName name="f.21" localSheetId="9">#REF!</definedName>
    <definedName name="f.21" localSheetId="8">#REF!</definedName>
    <definedName name="f.21.a" localSheetId="19">#REF!</definedName>
    <definedName name="f.21.a" localSheetId="18">#REF!</definedName>
    <definedName name="f.21.a" localSheetId="17">#REF!</definedName>
    <definedName name="f.21.a" localSheetId="16">#REF!</definedName>
    <definedName name="f.21.a" localSheetId="15">#REF!</definedName>
    <definedName name="f.21.a" localSheetId="14">#REF!</definedName>
    <definedName name="f.21.a" localSheetId="25">#REF!</definedName>
    <definedName name="f.21.a" localSheetId="24">#REF!</definedName>
    <definedName name="f.21.a" localSheetId="23">#REF!</definedName>
    <definedName name="f.21.a" localSheetId="22">#REF!</definedName>
    <definedName name="f.21.a" localSheetId="21">#REF!</definedName>
    <definedName name="f.21.a" localSheetId="20">#REF!</definedName>
    <definedName name="f.21.a" localSheetId="13">#REF!</definedName>
    <definedName name="f.21.a" localSheetId="12">#REF!</definedName>
    <definedName name="f.21.a" localSheetId="11">#REF!</definedName>
    <definedName name="f.21.a" localSheetId="10">#REF!</definedName>
    <definedName name="f.21.a" localSheetId="9">#REF!</definedName>
    <definedName name="f.21.a" localSheetId="8">#REF!</definedName>
    <definedName name="f.22" localSheetId="19">#REF!</definedName>
    <definedName name="f.22" localSheetId="18">#REF!</definedName>
    <definedName name="f.22" localSheetId="17">#REF!</definedName>
    <definedName name="f.22" localSheetId="16">#REF!</definedName>
    <definedName name="f.22" localSheetId="15">#REF!</definedName>
    <definedName name="f.22" localSheetId="14">#REF!</definedName>
    <definedName name="f.22" localSheetId="25">#REF!</definedName>
    <definedName name="f.22" localSheetId="24">#REF!</definedName>
    <definedName name="f.22" localSheetId="23">#REF!</definedName>
    <definedName name="f.22" localSheetId="22">#REF!</definedName>
    <definedName name="f.22" localSheetId="21">#REF!</definedName>
    <definedName name="f.22" localSheetId="20">#REF!</definedName>
    <definedName name="f.22" localSheetId="13">#REF!</definedName>
    <definedName name="f.22" localSheetId="12">#REF!</definedName>
    <definedName name="f.22" localSheetId="11">#REF!</definedName>
    <definedName name="f.22" localSheetId="10">#REF!</definedName>
    <definedName name="f.22" localSheetId="9">#REF!</definedName>
    <definedName name="f.22" localSheetId="8">#REF!</definedName>
    <definedName name="f.22.b" localSheetId="19">#REF!</definedName>
    <definedName name="f.22.b" localSheetId="18">#REF!</definedName>
    <definedName name="f.22.b" localSheetId="17">#REF!</definedName>
    <definedName name="f.22.b" localSheetId="16">#REF!</definedName>
    <definedName name="f.22.b" localSheetId="15">#REF!</definedName>
    <definedName name="f.22.b" localSheetId="14">#REF!</definedName>
    <definedName name="f.22.b" localSheetId="25">#REF!</definedName>
    <definedName name="f.22.b" localSheetId="24">#REF!</definedName>
    <definedName name="f.22.b" localSheetId="23">#REF!</definedName>
    <definedName name="f.22.b" localSheetId="22">#REF!</definedName>
    <definedName name="f.22.b" localSheetId="21">#REF!</definedName>
    <definedName name="f.22.b" localSheetId="20">#REF!</definedName>
    <definedName name="f.22.b" localSheetId="13">#REF!</definedName>
    <definedName name="f.22.b" localSheetId="12">#REF!</definedName>
    <definedName name="f.22.b" localSheetId="11">#REF!</definedName>
    <definedName name="f.22.b" localSheetId="10">#REF!</definedName>
    <definedName name="f.22.b" localSheetId="9">#REF!</definedName>
    <definedName name="f.22.b" localSheetId="8">#REF!</definedName>
    <definedName name="f.23" localSheetId="19">#REF!</definedName>
    <definedName name="f.23" localSheetId="18">#REF!</definedName>
    <definedName name="f.23" localSheetId="17">#REF!</definedName>
    <definedName name="f.23" localSheetId="16">#REF!</definedName>
    <definedName name="f.23" localSheetId="15">#REF!</definedName>
    <definedName name="f.23" localSheetId="14">#REF!</definedName>
    <definedName name="f.23" localSheetId="25">#REF!</definedName>
    <definedName name="f.23" localSheetId="24">#REF!</definedName>
    <definedName name="f.23" localSheetId="23">#REF!</definedName>
    <definedName name="f.23" localSheetId="22">#REF!</definedName>
    <definedName name="f.23" localSheetId="21">#REF!</definedName>
    <definedName name="f.23" localSheetId="20">#REF!</definedName>
    <definedName name="f.23" localSheetId="13">#REF!</definedName>
    <definedName name="f.23" localSheetId="12">#REF!</definedName>
    <definedName name="f.23" localSheetId="11">#REF!</definedName>
    <definedName name="f.23" localSheetId="10">#REF!</definedName>
    <definedName name="f.23" localSheetId="9">#REF!</definedName>
    <definedName name="f.23" localSheetId="8">#REF!</definedName>
    <definedName name="f.26" localSheetId="19">#REF!</definedName>
    <definedName name="f.26" localSheetId="18">#REF!</definedName>
    <definedName name="f.26" localSheetId="17">#REF!</definedName>
    <definedName name="f.26" localSheetId="16">#REF!</definedName>
    <definedName name="f.26" localSheetId="15">#REF!</definedName>
    <definedName name="f.26" localSheetId="14">#REF!</definedName>
    <definedName name="f.26" localSheetId="25">#REF!</definedName>
    <definedName name="f.26" localSheetId="24">#REF!</definedName>
    <definedName name="f.26" localSheetId="23">#REF!</definedName>
    <definedName name="f.26" localSheetId="22">#REF!</definedName>
    <definedName name="f.26" localSheetId="21">#REF!</definedName>
    <definedName name="f.26" localSheetId="20">#REF!</definedName>
    <definedName name="f.26" localSheetId="13">#REF!</definedName>
    <definedName name="f.26" localSheetId="12">#REF!</definedName>
    <definedName name="f.26" localSheetId="11">#REF!</definedName>
    <definedName name="f.26" localSheetId="10">#REF!</definedName>
    <definedName name="f.26" localSheetId="9">#REF!</definedName>
    <definedName name="f.26" localSheetId="8">#REF!</definedName>
    <definedName name="f.27" localSheetId="19">#REF!</definedName>
    <definedName name="f.27" localSheetId="18">#REF!</definedName>
    <definedName name="f.27" localSheetId="17">#REF!</definedName>
    <definedName name="f.27" localSheetId="16">#REF!</definedName>
    <definedName name="f.27" localSheetId="15">#REF!</definedName>
    <definedName name="f.27" localSheetId="14">#REF!</definedName>
    <definedName name="f.27" localSheetId="25">#REF!</definedName>
    <definedName name="f.27" localSheetId="24">#REF!</definedName>
    <definedName name="f.27" localSheetId="23">#REF!</definedName>
    <definedName name="f.27" localSheetId="22">#REF!</definedName>
    <definedName name="f.27" localSheetId="21">#REF!</definedName>
    <definedName name="f.27" localSheetId="20">#REF!</definedName>
    <definedName name="f.27" localSheetId="13">#REF!</definedName>
    <definedName name="f.27" localSheetId="12">#REF!</definedName>
    <definedName name="f.27" localSheetId="11">#REF!</definedName>
    <definedName name="f.27" localSheetId="10">#REF!</definedName>
    <definedName name="f.27" localSheetId="9">#REF!</definedName>
    <definedName name="f.27" localSheetId="8">#REF!</definedName>
    <definedName name="f.27.a" localSheetId="19">#REF!</definedName>
    <definedName name="f.27.a" localSheetId="18">#REF!</definedName>
    <definedName name="f.27.a" localSheetId="17">#REF!</definedName>
    <definedName name="f.27.a" localSheetId="16">#REF!</definedName>
    <definedName name="f.27.a" localSheetId="15">#REF!</definedName>
    <definedName name="f.27.a" localSheetId="14">#REF!</definedName>
    <definedName name="f.27.a" localSheetId="25">#REF!</definedName>
    <definedName name="f.27.a" localSheetId="24">#REF!</definedName>
    <definedName name="f.27.a" localSheetId="23">#REF!</definedName>
    <definedName name="f.27.a" localSheetId="22">#REF!</definedName>
    <definedName name="f.27.a" localSheetId="21">#REF!</definedName>
    <definedName name="f.27.a" localSheetId="20">#REF!</definedName>
    <definedName name="f.27.a" localSheetId="13">#REF!</definedName>
    <definedName name="f.27.a" localSheetId="12">#REF!</definedName>
    <definedName name="f.27.a" localSheetId="11">#REF!</definedName>
    <definedName name="f.27.a" localSheetId="10">#REF!</definedName>
    <definedName name="f.27.a" localSheetId="9">#REF!</definedName>
    <definedName name="f.27.a" localSheetId="8">#REF!</definedName>
    <definedName name="f.3" localSheetId="19">#REF!</definedName>
    <definedName name="f.3" localSheetId="18">#REF!</definedName>
    <definedName name="f.3" localSheetId="17">#REF!</definedName>
    <definedName name="f.3" localSheetId="16">#REF!</definedName>
    <definedName name="f.3" localSheetId="15">#REF!</definedName>
    <definedName name="f.3" localSheetId="14">#REF!</definedName>
    <definedName name="f.3" localSheetId="25">#REF!</definedName>
    <definedName name="f.3" localSheetId="24">#REF!</definedName>
    <definedName name="f.3" localSheetId="23">#REF!</definedName>
    <definedName name="f.3" localSheetId="22">#REF!</definedName>
    <definedName name="f.3" localSheetId="21">#REF!</definedName>
    <definedName name="f.3" localSheetId="20">#REF!</definedName>
    <definedName name="f.3" localSheetId="13">#REF!</definedName>
    <definedName name="f.3" localSheetId="12">#REF!</definedName>
    <definedName name="f.3" localSheetId="11">#REF!</definedName>
    <definedName name="f.3" localSheetId="10">#REF!</definedName>
    <definedName name="f.3" localSheetId="9">#REF!</definedName>
    <definedName name="f.3" localSheetId="8">#REF!</definedName>
    <definedName name="f.30" localSheetId="19">#REF!</definedName>
    <definedName name="f.30" localSheetId="18">#REF!</definedName>
    <definedName name="f.30" localSheetId="17">#REF!</definedName>
    <definedName name="f.30" localSheetId="16">#REF!</definedName>
    <definedName name="f.30" localSheetId="15">#REF!</definedName>
    <definedName name="f.30" localSheetId="14">#REF!</definedName>
    <definedName name="f.30" localSheetId="25">#REF!</definedName>
    <definedName name="f.30" localSheetId="24">#REF!</definedName>
    <definedName name="f.30" localSheetId="23">#REF!</definedName>
    <definedName name="f.30" localSheetId="22">#REF!</definedName>
    <definedName name="f.30" localSheetId="21">#REF!</definedName>
    <definedName name="f.30" localSheetId="20">#REF!</definedName>
    <definedName name="f.30" localSheetId="13">#REF!</definedName>
    <definedName name="f.30" localSheetId="12">#REF!</definedName>
    <definedName name="f.30" localSheetId="11">#REF!</definedName>
    <definedName name="f.30" localSheetId="10">#REF!</definedName>
    <definedName name="f.30" localSheetId="9">#REF!</definedName>
    <definedName name="f.30" localSheetId="8">#REF!</definedName>
    <definedName name="f.30.a" localSheetId="19">#REF!</definedName>
    <definedName name="f.30.a" localSheetId="18">#REF!</definedName>
    <definedName name="f.30.a" localSheetId="17">#REF!</definedName>
    <definedName name="f.30.a" localSheetId="16">#REF!</definedName>
    <definedName name="f.30.a" localSheetId="15">#REF!</definedName>
    <definedName name="f.30.a" localSheetId="14">#REF!</definedName>
    <definedName name="f.30.a" localSheetId="25">#REF!</definedName>
    <definedName name="f.30.a" localSheetId="24">#REF!</definedName>
    <definedName name="f.30.a" localSheetId="23">#REF!</definedName>
    <definedName name="f.30.a" localSheetId="22">#REF!</definedName>
    <definedName name="f.30.a" localSheetId="21">#REF!</definedName>
    <definedName name="f.30.a" localSheetId="20">#REF!</definedName>
    <definedName name="f.30.a" localSheetId="13">#REF!</definedName>
    <definedName name="f.30.a" localSheetId="12">#REF!</definedName>
    <definedName name="f.30.a" localSheetId="11">#REF!</definedName>
    <definedName name="f.30.a" localSheetId="10">#REF!</definedName>
    <definedName name="f.30.a" localSheetId="9">#REF!</definedName>
    <definedName name="f.30.a" localSheetId="8">#REF!</definedName>
    <definedName name="f.33" localSheetId="19">#REF!</definedName>
    <definedName name="f.33" localSheetId="18">#REF!</definedName>
    <definedName name="f.33" localSheetId="17">#REF!</definedName>
    <definedName name="f.33" localSheetId="16">#REF!</definedName>
    <definedName name="f.33" localSheetId="15">#REF!</definedName>
    <definedName name="f.33" localSheetId="14">#REF!</definedName>
    <definedName name="f.33" localSheetId="25">#REF!</definedName>
    <definedName name="f.33" localSheetId="24">#REF!</definedName>
    <definedName name="f.33" localSheetId="23">#REF!</definedName>
    <definedName name="f.33" localSheetId="22">#REF!</definedName>
    <definedName name="f.33" localSheetId="21">#REF!</definedName>
    <definedName name="f.33" localSheetId="20">#REF!</definedName>
    <definedName name="f.33" localSheetId="13">#REF!</definedName>
    <definedName name="f.33" localSheetId="12">#REF!</definedName>
    <definedName name="f.33" localSheetId="11">#REF!</definedName>
    <definedName name="f.33" localSheetId="10">#REF!</definedName>
    <definedName name="f.33" localSheetId="9">#REF!</definedName>
    <definedName name="f.33" localSheetId="8">#REF!</definedName>
    <definedName name="F.33.b" localSheetId="19">#REF!</definedName>
    <definedName name="F.33.b" localSheetId="18">#REF!</definedName>
    <definedName name="F.33.b" localSheetId="17">#REF!</definedName>
    <definedName name="F.33.b" localSheetId="16">#REF!</definedName>
    <definedName name="F.33.b" localSheetId="15">#REF!</definedName>
    <definedName name="F.33.b" localSheetId="14">#REF!</definedName>
    <definedName name="F.33.b" localSheetId="25">#REF!</definedName>
    <definedName name="F.33.b" localSheetId="24">#REF!</definedName>
    <definedName name="F.33.b" localSheetId="23">#REF!</definedName>
    <definedName name="F.33.b" localSheetId="22">#REF!</definedName>
    <definedName name="F.33.b" localSheetId="21">#REF!</definedName>
    <definedName name="F.33.b" localSheetId="20">#REF!</definedName>
    <definedName name="F.33.b" localSheetId="13">#REF!</definedName>
    <definedName name="F.33.b" localSheetId="12">#REF!</definedName>
    <definedName name="F.33.b" localSheetId="11">#REF!</definedName>
    <definedName name="F.33.b" localSheetId="10">#REF!</definedName>
    <definedName name="F.33.b" localSheetId="9">#REF!</definedName>
    <definedName name="F.33.b" localSheetId="8">#REF!</definedName>
    <definedName name="f.34" localSheetId="19">#REF!</definedName>
    <definedName name="f.34" localSheetId="18">#REF!</definedName>
    <definedName name="f.34" localSheetId="17">#REF!</definedName>
    <definedName name="f.34" localSheetId="16">#REF!</definedName>
    <definedName name="f.34" localSheetId="15">#REF!</definedName>
    <definedName name="f.34" localSheetId="14">#REF!</definedName>
    <definedName name="f.34" localSheetId="25">#REF!</definedName>
    <definedName name="f.34" localSheetId="24">#REF!</definedName>
    <definedName name="f.34" localSheetId="23">#REF!</definedName>
    <definedName name="f.34" localSheetId="22">#REF!</definedName>
    <definedName name="f.34" localSheetId="21">#REF!</definedName>
    <definedName name="f.34" localSheetId="20">#REF!</definedName>
    <definedName name="f.34" localSheetId="13">#REF!</definedName>
    <definedName name="f.34" localSheetId="12">#REF!</definedName>
    <definedName name="f.34" localSheetId="11">#REF!</definedName>
    <definedName name="f.34" localSheetId="10">#REF!</definedName>
    <definedName name="f.34" localSheetId="9">#REF!</definedName>
    <definedName name="f.34" localSheetId="8">#REF!</definedName>
    <definedName name="f.36" localSheetId="19">#REF!</definedName>
    <definedName name="f.36" localSheetId="18">#REF!</definedName>
    <definedName name="f.36" localSheetId="17">#REF!</definedName>
    <definedName name="f.36" localSheetId="16">#REF!</definedName>
    <definedName name="f.36" localSheetId="15">#REF!</definedName>
    <definedName name="f.36" localSheetId="14">#REF!</definedName>
    <definedName name="f.36" localSheetId="25">#REF!</definedName>
    <definedName name="f.36" localSheetId="24">#REF!</definedName>
    <definedName name="f.36" localSheetId="23">#REF!</definedName>
    <definedName name="f.36" localSheetId="22">#REF!</definedName>
    <definedName name="f.36" localSheetId="21">#REF!</definedName>
    <definedName name="f.36" localSheetId="20">#REF!</definedName>
    <definedName name="f.36" localSheetId="13">#REF!</definedName>
    <definedName name="f.36" localSheetId="12">#REF!</definedName>
    <definedName name="f.36" localSheetId="11">#REF!</definedName>
    <definedName name="f.36" localSheetId="10">#REF!</definedName>
    <definedName name="f.36" localSheetId="9">#REF!</definedName>
    <definedName name="f.36" localSheetId="8">#REF!</definedName>
    <definedName name="f.55" localSheetId="19">#REF!</definedName>
    <definedName name="f.55" localSheetId="18">#REF!</definedName>
    <definedName name="f.55" localSheetId="17">#REF!</definedName>
    <definedName name="f.55" localSheetId="16">#REF!</definedName>
    <definedName name="f.55" localSheetId="15">#REF!</definedName>
    <definedName name="f.55" localSheetId="14">#REF!</definedName>
    <definedName name="f.55" localSheetId="25">#REF!</definedName>
    <definedName name="f.55" localSheetId="24">#REF!</definedName>
    <definedName name="f.55" localSheetId="23">#REF!</definedName>
    <definedName name="f.55" localSheetId="22">#REF!</definedName>
    <definedName name="f.55" localSheetId="21">#REF!</definedName>
    <definedName name="f.55" localSheetId="20">#REF!</definedName>
    <definedName name="f.55" localSheetId="13">#REF!</definedName>
    <definedName name="f.55" localSheetId="12">#REF!</definedName>
    <definedName name="f.55" localSheetId="11">#REF!</definedName>
    <definedName name="f.55" localSheetId="10">#REF!</definedName>
    <definedName name="f.55" localSheetId="9">#REF!</definedName>
    <definedName name="f.55" localSheetId="8">#REF!</definedName>
    <definedName name="f.57" localSheetId="19">#REF!</definedName>
    <definedName name="f.57" localSheetId="18">#REF!</definedName>
    <definedName name="f.57" localSheetId="17">#REF!</definedName>
    <definedName name="f.57" localSheetId="16">#REF!</definedName>
    <definedName name="f.57" localSheetId="15">#REF!</definedName>
    <definedName name="f.57" localSheetId="14">#REF!</definedName>
    <definedName name="f.57" localSheetId="25">#REF!</definedName>
    <definedName name="f.57" localSheetId="24">#REF!</definedName>
    <definedName name="f.57" localSheetId="23">#REF!</definedName>
    <definedName name="f.57" localSheetId="22">#REF!</definedName>
    <definedName name="f.57" localSheetId="21">#REF!</definedName>
    <definedName name="f.57" localSheetId="20">#REF!</definedName>
    <definedName name="f.57" localSheetId="13">#REF!</definedName>
    <definedName name="f.57" localSheetId="12">#REF!</definedName>
    <definedName name="f.57" localSheetId="11">#REF!</definedName>
    <definedName name="f.57" localSheetId="10">#REF!</definedName>
    <definedName name="f.57" localSheetId="9">#REF!</definedName>
    <definedName name="f.57" localSheetId="8">#REF!</definedName>
    <definedName name="f.59" localSheetId="19">#REF!</definedName>
    <definedName name="f.59" localSheetId="18">#REF!</definedName>
    <definedName name="f.59" localSheetId="17">#REF!</definedName>
    <definedName name="f.59" localSheetId="16">#REF!</definedName>
    <definedName name="f.59" localSheetId="15">#REF!</definedName>
    <definedName name="f.59" localSheetId="14">#REF!</definedName>
    <definedName name="f.59" localSheetId="25">#REF!</definedName>
    <definedName name="f.59" localSheetId="24">#REF!</definedName>
    <definedName name="f.59" localSheetId="23">#REF!</definedName>
    <definedName name="f.59" localSheetId="22">#REF!</definedName>
    <definedName name="f.59" localSheetId="21">#REF!</definedName>
    <definedName name="f.59" localSheetId="20">#REF!</definedName>
    <definedName name="f.59" localSheetId="13">#REF!</definedName>
    <definedName name="f.59" localSheetId="12">#REF!</definedName>
    <definedName name="f.59" localSheetId="11">#REF!</definedName>
    <definedName name="f.59" localSheetId="10">#REF!</definedName>
    <definedName name="f.59" localSheetId="9">#REF!</definedName>
    <definedName name="f.59" localSheetId="8">#REF!</definedName>
    <definedName name="formika.putih" localSheetId="19">#REF!</definedName>
    <definedName name="formika.putih" localSheetId="18">#REF!</definedName>
    <definedName name="formika.putih" localSheetId="17">#REF!</definedName>
    <definedName name="formika.putih" localSheetId="16">#REF!</definedName>
    <definedName name="formika.putih" localSheetId="15">#REF!</definedName>
    <definedName name="formika.putih" localSheetId="14">#REF!</definedName>
    <definedName name="formika.putih" localSheetId="25">#REF!</definedName>
    <definedName name="formika.putih" localSheetId="24">#REF!</definedName>
    <definedName name="formika.putih" localSheetId="23">#REF!</definedName>
    <definedName name="formika.putih" localSheetId="22">#REF!</definedName>
    <definedName name="formika.putih" localSheetId="21">#REF!</definedName>
    <definedName name="formika.putih" localSheetId="20">#REF!</definedName>
    <definedName name="formika.putih" localSheetId="13">#REF!</definedName>
    <definedName name="formika.putih" localSheetId="12">#REF!</definedName>
    <definedName name="formika.putih" localSheetId="11">#REF!</definedName>
    <definedName name="formika.putih" localSheetId="10">#REF!</definedName>
    <definedName name="formika.putih" localSheetId="9">#REF!</definedName>
    <definedName name="formika.putih" localSheetId="8">#REF!</definedName>
    <definedName name="formika.warna" localSheetId="19">#REF!</definedName>
    <definedName name="formika.warna" localSheetId="18">#REF!</definedName>
    <definedName name="formika.warna" localSheetId="17">#REF!</definedName>
    <definedName name="formika.warna" localSheetId="16">#REF!</definedName>
    <definedName name="formika.warna" localSheetId="15">#REF!</definedName>
    <definedName name="formika.warna" localSheetId="14">#REF!</definedName>
    <definedName name="formika.warna" localSheetId="25">#REF!</definedName>
    <definedName name="formika.warna" localSheetId="24">#REF!</definedName>
    <definedName name="formika.warna" localSheetId="23">#REF!</definedName>
    <definedName name="formika.warna" localSheetId="22">#REF!</definedName>
    <definedName name="formika.warna" localSheetId="21">#REF!</definedName>
    <definedName name="formika.warna" localSheetId="20">#REF!</definedName>
    <definedName name="formika.warna" localSheetId="13">#REF!</definedName>
    <definedName name="formika.warna" localSheetId="12">#REF!</definedName>
    <definedName name="formika.warna" localSheetId="11">#REF!</definedName>
    <definedName name="formika.warna" localSheetId="10">#REF!</definedName>
    <definedName name="formika.warna" localSheetId="9">#REF!</definedName>
    <definedName name="formika.warna" localSheetId="8">#REF!</definedName>
    <definedName name="fp.1" localSheetId="19">#REF!</definedName>
    <definedName name="fp.1" localSheetId="18">#REF!</definedName>
    <definedName name="fp.1" localSheetId="17">#REF!</definedName>
    <definedName name="fp.1" localSheetId="16">#REF!</definedName>
    <definedName name="fp.1" localSheetId="15">#REF!</definedName>
    <definedName name="fp.1" localSheetId="14">#REF!</definedName>
    <definedName name="fp.1" localSheetId="25">#REF!</definedName>
    <definedName name="fp.1" localSheetId="24">#REF!</definedName>
    <definedName name="fp.1" localSheetId="23">#REF!</definedName>
    <definedName name="fp.1" localSheetId="22">#REF!</definedName>
    <definedName name="fp.1" localSheetId="21">#REF!</definedName>
    <definedName name="fp.1" localSheetId="20">#REF!</definedName>
    <definedName name="fp.1" localSheetId="13">#REF!</definedName>
    <definedName name="fp.1" localSheetId="12">#REF!</definedName>
    <definedName name="fp.1" localSheetId="11">#REF!</definedName>
    <definedName name="fp.1" localSheetId="10">#REF!</definedName>
    <definedName name="fp.1" localSheetId="9">#REF!</definedName>
    <definedName name="fp.1" localSheetId="8">#REF!</definedName>
    <definedName name="fp.2" localSheetId="19">#REF!</definedName>
    <definedName name="fp.2" localSheetId="18">#REF!</definedName>
    <definedName name="fp.2" localSheetId="17">#REF!</definedName>
    <definedName name="fp.2" localSheetId="16">#REF!</definedName>
    <definedName name="fp.2" localSheetId="15">#REF!</definedName>
    <definedName name="fp.2" localSheetId="14">#REF!</definedName>
    <definedName name="fp.2" localSheetId="25">#REF!</definedName>
    <definedName name="fp.2" localSheetId="24">#REF!</definedName>
    <definedName name="fp.2" localSheetId="23">#REF!</definedName>
    <definedName name="fp.2" localSheetId="22">#REF!</definedName>
    <definedName name="fp.2" localSheetId="21">#REF!</definedName>
    <definedName name="fp.2" localSheetId="20">#REF!</definedName>
    <definedName name="fp.2" localSheetId="13">#REF!</definedName>
    <definedName name="fp.2" localSheetId="12">#REF!</definedName>
    <definedName name="fp.2" localSheetId="11">#REF!</definedName>
    <definedName name="fp.2" localSheetId="10">#REF!</definedName>
    <definedName name="fp.2" localSheetId="9">#REF!</definedName>
    <definedName name="fp.2" localSheetId="8">#REF!</definedName>
    <definedName name="fp.3" localSheetId="19">#REF!</definedName>
    <definedName name="fp.3" localSheetId="18">#REF!</definedName>
    <definedName name="fp.3" localSheetId="17">#REF!</definedName>
    <definedName name="fp.3" localSheetId="16">#REF!</definedName>
    <definedName name="fp.3" localSheetId="15">#REF!</definedName>
    <definedName name="fp.3" localSheetId="14">#REF!</definedName>
    <definedName name="fp.3" localSheetId="25">#REF!</definedName>
    <definedName name="fp.3" localSheetId="24">#REF!</definedName>
    <definedName name="fp.3" localSheetId="23">#REF!</definedName>
    <definedName name="fp.3" localSheetId="22">#REF!</definedName>
    <definedName name="fp.3" localSheetId="21">#REF!</definedName>
    <definedName name="fp.3" localSheetId="20">#REF!</definedName>
    <definedName name="fp.3" localSheetId="13">#REF!</definedName>
    <definedName name="fp.3" localSheetId="12">#REF!</definedName>
    <definedName name="fp.3" localSheetId="11">#REF!</definedName>
    <definedName name="fp.3" localSheetId="10">#REF!</definedName>
    <definedName name="fp.3" localSheetId="9">#REF!</definedName>
    <definedName name="fp.3" localSheetId="8">#REF!</definedName>
    <definedName name="Fp.4" localSheetId="19">#REF!</definedName>
    <definedName name="Fp.4" localSheetId="18">#REF!</definedName>
    <definedName name="Fp.4" localSheetId="17">#REF!</definedName>
    <definedName name="Fp.4" localSheetId="16">#REF!</definedName>
    <definedName name="Fp.4" localSheetId="15">#REF!</definedName>
    <definedName name="Fp.4" localSheetId="14">#REF!</definedName>
    <definedName name="Fp.4" localSheetId="25">#REF!</definedName>
    <definedName name="Fp.4" localSheetId="24">#REF!</definedName>
    <definedName name="Fp.4" localSheetId="23">#REF!</definedName>
    <definedName name="Fp.4" localSheetId="22">#REF!</definedName>
    <definedName name="Fp.4" localSheetId="21">#REF!</definedName>
    <definedName name="Fp.4" localSheetId="20">#REF!</definedName>
    <definedName name="Fp.4" localSheetId="13">#REF!</definedName>
    <definedName name="Fp.4" localSheetId="12">#REF!</definedName>
    <definedName name="Fp.4" localSheetId="11">#REF!</definedName>
    <definedName name="Fp.4" localSheetId="10">#REF!</definedName>
    <definedName name="Fp.4" localSheetId="9">#REF!</definedName>
    <definedName name="Fp.4" localSheetId="8">#REF!</definedName>
    <definedName name="fp.5" localSheetId="19">#REF!</definedName>
    <definedName name="fp.5" localSheetId="18">#REF!</definedName>
    <definedName name="fp.5" localSheetId="17">#REF!</definedName>
    <definedName name="fp.5" localSheetId="16">#REF!</definedName>
    <definedName name="fp.5" localSheetId="15">#REF!</definedName>
    <definedName name="fp.5" localSheetId="14">#REF!</definedName>
    <definedName name="fp.5" localSheetId="25">#REF!</definedName>
    <definedName name="fp.5" localSheetId="24">#REF!</definedName>
    <definedName name="fp.5" localSheetId="23">#REF!</definedName>
    <definedName name="fp.5" localSheetId="22">#REF!</definedName>
    <definedName name="fp.5" localSheetId="21">#REF!</definedName>
    <definedName name="fp.5" localSheetId="20">#REF!</definedName>
    <definedName name="fp.5" localSheetId="13">#REF!</definedName>
    <definedName name="fp.5" localSheetId="12">#REF!</definedName>
    <definedName name="fp.5" localSheetId="11">#REF!</definedName>
    <definedName name="fp.5" localSheetId="10">#REF!</definedName>
    <definedName name="fp.5" localSheetId="9">#REF!</definedName>
    <definedName name="fp.5" localSheetId="8">#REF!</definedName>
    <definedName name="fp.6" localSheetId="19">#REF!</definedName>
    <definedName name="fp.6" localSheetId="18">#REF!</definedName>
    <definedName name="fp.6" localSheetId="17">#REF!</definedName>
    <definedName name="fp.6" localSheetId="16">#REF!</definedName>
    <definedName name="fp.6" localSheetId="15">#REF!</definedName>
    <definedName name="fp.6" localSheetId="14">#REF!</definedName>
    <definedName name="fp.6" localSheetId="25">#REF!</definedName>
    <definedName name="fp.6" localSheetId="24">#REF!</definedName>
    <definedName name="fp.6" localSheetId="23">#REF!</definedName>
    <definedName name="fp.6" localSheetId="22">#REF!</definedName>
    <definedName name="fp.6" localSheetId="21">#REF!</definedName>
    <definedName name="fp.6" localSheetId="20">#REF!</definedName>
    <definedName name="fp.6" localSheetId="13">#REF!</definedName>
    <definedName name="fp.6" localSheetId="12">#REF!</definedName>
    <definedName name="fp.6" localSheetId="11">#REF!</definedName>
    <definedName name="fp.6" localSheetId="10">#REF!</definedName>
    <definedName name="fp.6" localSheetId="9">#REF!</definedName>
    <definedName name="fp.6" localSheetId="8">#REF!</definedName>
    <definedName name="Fp.a" localSheetId="19">#REF!</definedName>
    <definedName name="Fp.a" localSheetId="18">#REF!</definedName>
    <definedName name="Fp.a" localSheetId="17">#REF!</definedName>
    <definedName name="Fp.a" localSheetId="16">#REF!</definedName>
    <definedName name="Fp.a" localSheetId="15">#REF!</definedName>
    <definedName name="Fp.a" localSheetId="14">#REF!</definedName>
    <definedName name="Fp.a" localSheetId="25">#REF!</definedName>
    <definedName name="Fp.a" localSheetId="24">#REF!</definedName>
    <definedName name="Fp.a" localSheetId="23">#REF!</definedName>
    <definedName name="Fp.a" localSheetId="22">#REF!</definedName>
    <definedName name="Fp.a" localSheetId="21">#REF!</definedName>
    <definedName name="Fp.a" localSheetId="20">#REF!</definedName>
    <definedName name="Fp.a" localSheetId="13">#REF!</definedName>
    <definedName name="Fp.a" localSheetId="12">#REF!</definedName>
    <definedName name="Fp.a" localSheetId="11">#REF!</definedName>
    <definedName name="Fp.a" localSheetId="10">#REF!</definedName>
    <definedName name="Fp.a" localSheetId="9">#REF!</definedName>
    <definedName name="Fp.a" localSheetId="8">#REF!</definedName>
    <definedName name="Fp.b" localSheetId="19">#REF!</definedName>
    <definedName name="Fp.b" localSheetId="18">#REF!</definedName>
    <definedName name="Fp.b" localSheetId="17">#REF!</definedName>
    <definedName name="Fp.b" localSheetId="16">#REF!</definedName>
    <definedName name="Fp.b" localSheetId="15">#REF!</definedName>
    <definedName name="Fp.b" localSheetId="14">#REF!</definedName>
    <definedName name="Fp.b" localSheetId="25">#REF!</definedName>
    <definedName name="Fp.b" localSheetId="24">#REF!</definedName>
    <definedName name="Fp.b" localSheetId="23">#REF!</definedName>
    <definedName name="Fp.b" localSheetId="22">#REF!</definedName>
    <definedName name="Fp.b" localSheetId="21">#REF!</definedName>
    <definedName name="Fp.b" localSheetId="20">#REF!</definedName>
    <definedName name="Fp.b" localSheetId="13">#REF!</definedName>
    <definedName name="Fp.b" localSheetId="12">#REF!</definedName>
    <definedName name="Fp.b" localSheetId="11">#REF!</definedName>
    <definedName name="Fp.b" localSheetId="10">#REF!</definedName>
    <definedName name="Fp.b" localSheetId="9">#REF!</definedName>
    <definedName name="Fp.b" localSheetId="8">#REF!</definedName>
    <definedName name="Fp.c" localSheetId="19">#REF!</definedName>
    <definedName name="Fp.c" localSheetId="18">#REF!</definedName>
    <definedName name="Fp.c" localSheetId="17">#REF!</definedName>
    <definedName name="Fp.c" localSheetId="16">#REF!</definedName>
    <definedName name="Fp.c" localSheetId="15">#REF!</definedName>
    <definedName name="Fp.c" localSheetId="14">#REF!</definedName>
    <definedName name="Fp.c" localSheetId="25">#REF!</definedName>
    <definedName name="Fp.c" localSheetId="24">#REF!</definedName>
    <definedName name="Fp.c" localSheetId="23">#REF!</definedName>
    <definedName name="Fp.c" localSheetId="22">#REF!</definedName>
    <definedName name="Fp.c" localSheetId="21">#REF!</definedName>
    <definedName name="Fp.c" localSheetId="20">#REF!</definedName>
    <definedName name="Fp.c" localSheetId="13">#REF!</definedName>
    <definedName name="Fp.c" localSheetId="12">#REF!</definedName>
    <definedName name="Fp.c" localSheetId="11">#REF!</definedName>
    <definedName name="Fp.c" localSheetId="10">#REF!</definedName>
    <definedName name="Fp.c" localSheetId="9">#REF!</definedName>
    <definedName name="Fp.c" localSheetId="8">#REF!</definedName>
    <definedName name="G" localSheetId="19">#REF!</definedName>
    <definedName name="G" localSheetId="18">#REF!</definedName>
    <definedName name="G" localSheetId="17">#REF!</definedName>
    <definedName name="G" localSheetId="16">#REF!</definedName>
    <definedName name="G" localSheetId="15">#REF!</definedName>
    <definedName name="G" localSheetId="14">#REF!</definedName>
    <definedName name="G" localSheetId="25">#REF!</definedName>
    <definedName name="G" localSheetId="24">#REF!</definedName>
    <definedName name="G" localSheetId="23">#REF!</definedName>
    <definedName name="G" localSheetId="22">#REF!</definedName>
    <definedName name="G" localSheetId="21">#REF!</definedName>
    <definedName name="G" localSheetId="20">#REF!</definedName>
    <definedName name="G" localSheetId="13">#REF!</definedName>
    <definedName name="G" localSheetId="12">#REF!</definedName>
    <definedName name="G" localSheetId="11">#REF!</definedName>
    <definedName name="G" localSheetId="10">#REF!</definedName>
    <definedName name="G" localSheetId="9">#REF!</definedName>
    <definedName name="G" localSheetId="8">#REF!</definedName>
    <definedName name="g.1" localSheetId="19">#REF!</definedName>
    <definedName name="g.1" localSheetId="18">#REF!</definedName>
    <definedName name="g.1" localSheetId="17">#REF!</definedName>
    <definedName name="g.1" localSheetId="16">#REF!</definedName>
    <definedName name="g.1" localSheetId="15">#REF!</definedName>
    <definedName name="g.1" localSheetId="14">#REF!</definedName>
    <definedName name="g.1" localSheetId="25">#REF!</definedName>
    <definedName name="g.1" localSheetId="24">#REF!</definedName>
    <definedName name="g.1" localSheetId="23">#REF!</definedName>
    <definedName name="g.1" localSheetId="22">#REF!</definedName>
    <definedName name="g.1" localSheetId="21">#REF!</definedName>
    <definedName name="g.1" localSheetId="20">#REF!</definedName>
    <definedName name="g.1" localSheetId="13">#REF!</definedName>
    <definedName name="g.1" localSheetId="12">#REF!</definedName>
    <definedName name="g.1" localSheetId="11">#REF!</definedName>
    <definedName name="g.1" localSheetId="10">#REF!</definedName>
    <definedName name="g.1" localSheetId="9">#REF!</definedName>
    <definedName name="g.1" localSheetId="8">#REF!</definedName>
    <definedName name="g.2" localSheetId="19">#REF!</definedName>
    <definedName name="g.2" localSheetId="18">#REF!</definedName>
    <definedName name="g.2" localSheetId="17">#REF!</definedName>
    <definedName name="g.2" localSheetId="16">#REF!</definedName>
    <definedName name="g.2" localSheetId="15">#REF!</definedName>
    <definedName name="g.2" localSheetId="14">#REF!</definedName>
    <definedName name="g.2" localSheetId="25">#REF!</definedName>
    <definedName name="g.2" localSheetId="24">#REF!</definedName>
    <definedName name="g.2" localSheetId="23">#REF!</definedName>
    <definedName name="g.2" localSheetId="22">#REF!</definedName>
    <definedName name="g.2" localSheetId="21">#REF!</definedName>
    <definedName name="g.2" localSheetId="20">#REF!</definedName>
    <definedName name="g.2" localSheetId="13">#REF!</definedName>
    <definedName name="g.2" localSheetId="12">#REF!</definedName>
    <definedName name="g.2" localSheetId="11">#REF!</definedName>
    <definedName name="g.2" localSheetId="10">#REF!</definedName>
    <definedName name="g.2" localSheetId="9">#REF!</definedName>
    <definedName name="g.2" localSheetId="8">#REF!</definedName>
    <definedName name="G.32.a" localSheetId="19">#REF!</definedName>
    <definedName name="G.32.a" localSheetId="18">#REF!</definedName>
    <definedName name="G.32.a" localSheetId="17">#REF!</definedName>
    <definedName name="G.32.a" localSheetId="16">#REF!</definedName>
    <definedName name="G.32.a" localSheetId="15">#REF!</definedName>
    <definedName name="G.32.a" localSheetId="14">#REF!</definedName>
    <definedName name="G.32.a" localSheetId="25">#REF!</definedName>
    <definedName name="G.32.a" localSheetId="24">#REF!</definedName>
    <definedName name="G.32.a" localSheetId="23">#REF!</definedName>
    <definedName name="G.32.a" localSheetId="22">#REF!</definedName>
    <definedName name="G.32.a" localSheetId="21">#REF!</definedName>
    <definedName name="G.32.a" localSheetId="20">#REF!</definedName>
    <definedName name="G.32.a" localSheetId="13">#REF!</definedName>
    <definedName name="G.32.a" localSheetId="12">#REF!</definedName>
    <definedName name="G.32.a" localSheetId="11">#REF!</definedName>
    <definedName name="G.32.a" localSheetId="10">#REF!</definedName>
    <definedName name="G.32.a" localSheetId="9">#REF!</definedName>
    <definedName name="G.32.a" localSheetId="8">#REF!</definedName>
    <definedName name="g.32.e" localSheetId="19">#REF!</definedName>
    <definedName name="g.32.e" localSheetId="18">#REF!</definedName>
    <definedName name="g.32.e" localSheetId="17">#REF!</definedName>
    <definedName name="g.32.e" localSheetId="16">#REF!</definedName>
    <definedName name="g.32.e" localSheetId="15">#REF!</definedName>
    <definedName name="g.32.e" localSheetId="14">#REF!</definedName>
    <definedName name="g.32.e" localSheetId="25">#REF!</definedName>
    <definedName name="g.32.e" localSheetId="24">#REF!</definedName>
    <definedName name="g.32.e" localSheetId="23">#REF!</definedName>
    <definedName name="g.32.e" localSheetId="22">#REF!</definedName>
    <definedName name="g.32.e" localSheetId="21">#REF!</definedName>
    <definedName name="g.32.e" localSheetId="20">#REF!</definedName>
    <definedName name="g.32.e" localSheetId="13">#REF!</definedName>
    <definedName name="g.32.e" localSheetId="12">#REF!</definedName>
    <definedName name="g.32.e" localSheetId="11">#REF!</definedName>
    <definedName name="g.32.e" localSheetId="10">#REF!</definedName>
    <definedName name="g.32.e" localSheetId="9">#REF!</definedName>
    <definedName name="g.32.e" localSheetId="8">#REF!</definedName>
    <definedName name="g.32.g" localSheetId="19">#REF!</definedName>
    <definedName name="g.32.g" localSheetId="18">#REF!</definedName>
    <definedName name="g.32.g" localSheetId="17">#REF!</definedName>
    <definedName name="g.32.g" localSheetId="16">#REF!</definedName>
    <definedName name="g.32.g" localSheetId="15">#REF!</definedName>
    <definedName name="g.32.g" localSheetId="14">#REF!</definedName>
    <definedName name="g.32.g" localSheetId="25">#REF!</definedName>
    <definedName name="g.32.g" localSheetId="24">#REF!</definedName>
    <definedName name="g.32.g" localSheetId="23">#REF!</definedName>
    <definedName name="g.32.g" localSheetId="22">#REF!</definedName>
    <definedName name="g.32.g" localSheetId="21">#REF!</definedName>
    <definedName name="g.32.g" localSheetId="20">#REF!</definedName>
    <definedName name="g.32.g" localSheetId="13">#REF!</definedName>
    <definedName name="g.32.g" localSheetId="12">#REF!</definedName>
    <definedName name="g.32.g" localSheetId="11">#REF!</definedName>
    <definedName name="g.32.g" localSheetId="10">#REF!</definedName>
    <definedName name="g.32.g" localSheetId="9">#REF!</definedName>
    <definedName name="g.32.g" localSheetId="8">#REF!</definedName>
    <definedName name="g.32.h" localSheetId="19">#REF!</definedName>
    <definedName name="g.32.h" localSheetId="18">#REF!</definedName>
    <definedName name="g.32.h" localSheetId="17">#REF!</definedName>
    <definedName name="g.32.h" localSheetId="16">#REF!</definedName>
    <definedName name="g.32.h" localSheetId="15">#REF!</definedName>
    <definedName name="g.32.h" localSheetId="14">#REF!</definedName>
    <definedName name="g.32.h" localSheetId="25">#REF!</definedName>
    <definedName name="g.32.h" localSheetId="24">#REF!</definedName>
    <definedName name="g.32.h" localSheetId="23">#REF!</definedName>
    <definedName name="g.32.h" localSheetId="22">#REF!</definedName>
    <definedName name="g.32.h" localSheetId="21">#REF!</definedName>
    <definedName name="g.32.h" localSheetId="20">#REF!</definedName>
    <definedName name="g.32.h" localSheetId="13">#REF!</definedName>
    <definedName name="g.32.h" localSheetId="12">#REF!</definedName>
    <definedName name="g.32.h" localSheetId="11">#REF!</definedName>
    <definedName name="g.32.h" localSheetId="10">#REF!</definedName>
    <definedName name="g.32.h" localSheetId="9">#REF!</definedName>
    <definedName name="g.32.h" localSheetId="8">#REF!</definedName>
    <definedName name="G.32.i" localSheetId="19">#REF!</definedName>
    <definedName name="G.32.i" localSheetId="18">#REF!</definedName>
    <definedName name="G.32.i" localSheetId="17">#REF!</definedName>
    <definedName name="G.32.i" localSheetId="16">#REF!</definedName>
    <definedName name="G.32.i" localSheetId="15">#REF!</definedName>
    <definedName name="G.32.i" localSheetId="14">#REF!</definedName>
    <definedName name="G.32.i" localSheetId="25">#REF!</definedName>
    <definedName name="G.32.i" localSheetId="24">#REF!</definedName>
    <definedName name="G.32.i" localSheetId="23">#REF!</definedName>
    <definedName name="G.32.i" localSheetId="22">#REF!</definedName>
    <definedName name="G.32.i" localSheetId="21">#REF!</definedName>
    <definedName name="G.32.i" localSheetId="20">#REF!</definedName>
    <definedName name="G.32.i" localSheetId="13">#REF!</definedName>
    <definedName name="G.32.i" localSheetId="12">#REF!</definedName>
    <definedName name="G.32.i" localSheetId="11">#REF!</definedName>
    <definedName name="G.32.i" localSheetId="10">#REF!</definedName>
    <definedName name="G.32.i" localSheetId="9">#REF!</definedName>
    <definedName name="G.32.i" localSheetId="8">#REF!</definedName>
    <definedName name="g.32.j" localSheetId="19">#REF!</definedName>
    <definedName name="g.32.j" localSheetId="18">#REF!</definedName>
    <definedName name="g.32.j" localSheetId="17">#REF!</definedName>
    <definedName name="g.32.j" localSheetId="16">#REF!</definedName>
    <definedName name="g.32.j" localSheetId="15">#REF!</definedName>
    <definedName name="g.32.j" localSheetId="14">#REF!</definedName>
    <definedName name="g.32.j" localSheetId="25">#REF!</definedName>
    <definedName name="g.32.j" localSheetId="24">#REF!</definedName>
    <definedName name="g.32.j" localSheetId="23">#REF!</definedName>
    <definedName name="g.32.j" localSheetId="22">#REF!</definedName>
    <definedName name="g.32.j" localSheetId="21">#REF!</definedName>
    <definedName name="g.32.j" localSheetId="20">#REF!</definedName>
    <definedName name="g.32.j" localSheetId="13">#REF!</definedName>
    <definedName name="g.32.j" localSheetId="12">#REF!</definedName>
    <definedName name="g.32.j" localSheetId="11">#REF!</definedName>
    <definedName name="g.32.j" localSheetId="10">#REF!</definedName>
    <definedName name="g.32.j" localSheetId="9">#REF!</definedName>
    <definedName name="g.32.j" localSheetId="8">#REF!</definedName>
    <definedName name="g.32.k" localSheetId="19">#REF!</definedName>
    <definedName name="g.32.k" localSheetId="18">#REF!</definedName>
    <definedName name="g.32.k" localSheetId="17">#REF!</definedName>
    <definedName name="g.32.k" localSheetId="16">#REF!</definedName>
    <definedName name="g.32.k" localSheetId="15">#REF!</definedName>
    <definedName name="g.32.k" localSheetId="14">#REF!</definedName>
    <definedName name="g.32.k" localSheetId="25">#REF!</definedName>
    <definedName name="g.32.k" localSheetId="24">#REF!</definedName>
    <definedName name="g.32.k" localSheetId="23">#REF!</definedName>
    <definedName name="g.32.k" localSheetId="22">#REF!</definedName>
    <definedName name="g.32.k" localSheetId="21">#REF!</definedName>
    <definedName name="g.32.k" localSheetId="20">#REF!</definedName>
    <definedName name="g.32.k" localSheetId="13">#REF!</definedName>
    <definedName name="g.32.k" localSheetId="12">#REF!</definedName>
    <definedName name="g.32.k" localSheetId="11">#REF!</definedName>
    <definedName name="g.32.k" localSheetId="10">#REF!</definedName>
    <definedName name="g.32.k" localSheetId="9">#REF!</definedName>
    <definedName name="g.32.k" localSheetId="8">#REF!</definedName>
    <definedName name="g.33" localSheetId="19">#REF!</definedName>
    <definedName name="g.33" localSheetId="18">#REF!</definedName>
    <definedName name="g.33" localSheetId="17">#REF!</definedName>
    <definedName name="g.33" localSheetId="16">#REF!</definedName>
    <definedName name="g.33" localSheetId="15">#REF!</definedName>
    <definedName name="g.33" localSheetId="14">#REF!</definedName>
    <definedName name="g.33" localSheetId="25">#REF!</definedName>
    <definedName name="g.33" localSheetId="24">#REF!</definedName>
    <definedName name="g.33" localSheetId="23">#REF!</definedName>
    <definedName name="g.33" localSheetId="22">#REF!</definedName>
    <definedName name="g.33" localSheetId="21">#REF!</definedName>
    <definedName name="g.33" localSheetId="20">#REF!</definedName>
    <definedName name="g.33" localSheetId="13">#REF!</definedName>
    <definedName name="g.33" localSheetId="12">#REF!</definedName>
    <definedName name="g.33" localSheetId="11">#REF!</definedName>
    <definedName name="g.33" localSheetId="10">#REF!</definedName>
    <definedName name="g.33" localSheetId="9">#REF!</definedName>
    <definedName name="g.33" localSheetId="8">#REF!</definedName>
    <definedName name="g.33.a" localSheetId="19">#REF!</definedName>
    <definedName name="g.33.a" localSheetId="18">#REF!</definedName>
    <definedName name="g.33.a" localSheetId="17">#REF!</definedName>
    <definedName name="g.33.a" localSheetId="16">#REF!</definedName>
    <definedName name="g.33.a" localSheetId="15">#REF!</definedName>
    <definedName name="g.33.a" localSheetId="14">#REF!</definedName>
    <definedName name="g.33.a" localSheetId="25">#REF!</definedName>
    <definedName name="g.33.a" localSheetId="24">#REF!</definedName>
    <definedName name="g.33.a" localSheetId="23">#REF!</definedName>
    <definedName name="g.33.a" localSheetId="22">#REF!</definedName>
    <definedName name="g.33.a" localSheetId="21">#REF!</definedName>
    <definedName name="g.33.a" localSheetId="20">#REF!</definedName>
    <definedName name="g.33.a" localSheetId="13">#REF!</definedName>
    <definedName name="g.33.a" localSheetId="12">#REF!</definedName>
    <definedName name="g.33.a" localSheetId="11">#REF!</definedName>
    <definedName name="g.33.a" localSheetId="10">#REF!</definedName>
    <definedName name="g.33.a" localSheetId="9">#REF!</definedName>
    <definedName name="g.33.a" localSheetId="8">#REF!</definedName>
    <definedName name="g.33.e" localSheetId="19">#REF!</definedName>
    <definedName name="g.33.e" localSheetId="18">#REF!</definedName>
    <definedName name="g.33.e" localSheetId="17">#REF!</definedName>
    <definedName name="g.33.e" localSheetId="16">#REF!</definedName>
    <definedName name="g.33.e" localSheetId="15">#REF!</definedName>
    <definedName name="g.33.e" localSheetId="14">#REF!</definedName>
    <definedName name="g.33.e" localSheetId="25">#REF!</definedName>
    <definedName name="g.33.e" localSheetId="24">#REF!</definedName>
    <definedName name="g.33.e" localSheetId="23">#REF!</definedName>
    <definedName name="g.33.e" localSheetId="22">#REF!</definedName>
    <definedName name="g.33.e" localSheetId="21">#REF!</definedName>
    <definedName name="g.33.e" localSheetId="20">#REF!</definedName>
    <definedName name="g.33.e" localSheetId="13">#REF!</definedName>
    <definedName name="g.33.e" localSheetId="12">#REF!</definedName>
    <definedName name="g.33.e" localSheetId="11">#REF!</definedName>
    <definedName name="g.33.e" localSheetId="10">#REF!</definedName>
    <definedName name="g.33.e" localSheetId="9">#REF!</definedName>
    <definedName name="g.33.e" localSheetId="8">#REF!</definedName>
    <definedName name="g.33.g" localSheetId="19">#REF!</definedName>
    <definedName name="g.33.g" localSheetId="18">#REF!</definedName>
    <definedName name="g.33.g" localSheetId="17">#REF!</definedName>
    <definedName name="g.33.g" localSheetId="16">#REF!</definedName>
    <definedName name="g.33.g" localSheetId="15">#REF!</definedName>
    <definedName name="g.33.g" localSheetId="14">#REF!</definedName>
    <definedName name="g.33.g" localSheetId="25">#REF!</definedName>
    <definedName name="g.33.g" localSheetId="24">#REF!</definedName>
    <definedName name="g.33.g" localSheetId="23">#REF!</definedName>
    <definedName name="g.33.g" localSheetId="22">#REF!</definedName>
    <definedName name="g.33.g" localSheetId="21">#REF!</definedName>
    <definedName name="g.33.g" localSheetId="20">#REF!</definedName>
    <definedName name="g.33.g" localSheetId="13">#REF!</definedName>
    <definedName name="g.33.g" localSheetId="12">#REF!</definedName>
    <definedName name="g.33.g" localSheetId="11">#REF!</definedName>
    <definedName name="g.33.g" localSheetId="10">#REF!</definedName>
    <definedName name="g.33.g" localSheetId="9">#REF!</definedName>
    <definedName name="g.33.g" localSheetId="8">#REF!</definedName>
    <definedName name="g.33.h" localSheetId="19">#REF!</definedName>
    <definedName name="g.33.h" localSheetId="18">#REF!</definedName>
    <definedName name="g.33.h" localSheetId="17">#REF!</definedName>
    <definedName name="g.33.h" localSheetId="16">#REF!</definedName>
    <definedName name="g.33.h" localSheetId="15">#REF!</definedName>
    <definedName name="g.33.h" localSheetId="14">#REF!</definedName>
    <definedName name="g.33.h" localSheetId="25">#REF!</definedName>
    <definedName name="g.33.h" localSheetId="24">#REF!</definedName>
    <definedName name="g.33.h" localSheetId="23">#REF!</definedName>
    <definedName name="g.33.h" localSheetId="22">#REF!</definedName>
    <definedName name="g.33.h" localSheetId="21">#REF!</definedName>
    <definedName name="g.33.h" localSheetId="20">#REF!</definedName>
    <definedName name="g.33.h" localSheetId="13">#REF!</definedName>
    <definedName name="g.33.h" localSheetId="12">#REF!</definedName>
    <definedName name="g.33.h" localSheetId="11">#REF!</definedName>
    <definedName name="g.33.h" localSheetId="10">#REF!</definedName>
    <definedName name="g.33.h" localSheetId="9">#REF!</definedName>
    <definedName name="g.33.h" localSheetId="8">#REF!</definedName>
    <definedName name="g.33.i" localSheetId="19">#REF!</definedName>
    <definedName name="g.33.i" localSheetId="18">#REF!</definedName>
    <definedName name="g.33.i" localSheetId="17">#REF!</definedName>
    <definedName name="g.33.i" localSheetId="16">#REF!</definedName>
    <definedName name="g.33.i" localSheetId="15">#REF!</definedName>
    <definedName name="g.33.i" localSheetId="14">#REF!</definedName>
    <definedName name="g.33.i" localSheetId="25">#REF!</definedName>
    <definedName name="g.33.i" localSheetId="24">#REF!</definedName>
    <definedName name="g.33.i" localSheetId="23">#REF!</definedName>
    <definedName name="g.33.i" localSheetId="22">#REF!</definedName>
    <definedName name="g.33.i" localSheetId="21">#REF!</definedName>
    <definedName name="g.33.i" localSheetId="20">#REF!</definedName>
    <definedName name="g.33.i" localSheetId="13">#REF!</definedName>
    <definedName name="g.33.i" localSheetId="12">#REF!</definedName>
    <definedName name="g.33.i" localSheetId="11">#REF!</definedName>
    <definedName name="g.33.i" localSheetId="10">#REF!</definedName>
    <definedName name="g.33.i" localSheetId="9">#REF!</definedName>
    <definedName name="g.33.i" localSheetId="8">#REF!</definedName>
    <definedName name="G.33.L" localSheetId="19">#REF!</definedName>
    <definedName name="G.33.L" localSheetId="18">#REF!</definedName>
    <definedName name="G.33.L" localSheetId="17">#REF!</definedName>
    <definedName name="G.33.L" localSheetId="16">#REF!</definedName>
    <definedName name="G.33.L" localSheetId="15">#REF!</definedName>
    <definedName name="G.33.L" localSheetId="14">#REF!</definedName>
    <definedName name="G.33.L" localSheetId="25">#REF!</definedName>
    <definedName name="G.33.L" localSheetId="24">#REF!</definedName>
    <definedName name="G.33.L" localSheetId="23">#REF!</definedName>
    <definedName name="G.33.L" localSheetId="22">#REF!</definedName>
    <definedName name="G.33.L" localSheetId="21">#REF!</definedName>
    <definedName name="G.33.L" localSheetId="20">#REF!</definedName>
    <definedName name="G.33.L" localSheetId="13">#REF!</definedName>
    <definedName name="G.33.L" localSheetId="12">#REF!</definedName>
    <definedName name="G.33.L" localSheetId="11">#REF!</definedName>
    <definedName name="G.33.L" localSheetId="10">#REF!</definedName>
    <definedName name="G.33.L" localSheetId="9">#REF!</definedName>
    <definedName name="G.33.L" localSheetId="8">#REF!</definedName>
    <definedName name="g.33.m" localSheetId="19">#REF!</definedName>
    <definedName name="g.33.m" localSheetId="18">#REF!</definedName>
    <definedName name="g.33.m" localSheetId="17">#REF!</definedName>
    <definedName name="g.33.m" localSheetId="16">#REF!</definedName>
    <definedName name="g.33.m" localSheetId="15">#REF!</definedName>
    <definedName name="g.33.m" localSheetId="14">#REF!</definedName>
    <definedName name="g.33.m" localSheetId="25">#REF!</definedName>
    <definedName name="g.33.m" localSheetId="24">#REF!</definedName>
    <definedName name="g.33.m" localSheetId="23">#REF!</definedName>
    <definedName name="g.33.m" localSheetId="22">#REF!</definedName>
    <definedName name="g.33.m" localSheetId="21">#REF!</definedName>
    <definedName name="g.33.m" localSheetId="20">#REF!</definedName>
    <definedName name="g.33.m" localSheetId="13">#REF!</definedName>
    <definedName name="g.33.m" localSheetId="12">#REF!</definedName>
    <definedName name="g.33.m" localSheetId="11">#REF!</definedName>
    <definedName name="g.33.m" localSheetId="10">#REF!</definedName>
    <definedName name="g.33.m" localSheetId="9">#REF!</definedName>
    <definedName name="g.33.m" localSheetId="8">#REF!</definedName>
    <definedName name="g.33.n" localSheetId="19">#REF!</definedName>
    <definedName name="g.33.n" localSheetId="18">#REF!</definedName>
    <definedName name="g.33.n" localSheetId="17">#REF!</definedName>
    <definedName name="g.33.n" localSheetId="16">#REF!</definedName>
    <definedName name="g.33.n" localSheetId="15">#REF!</definedName>
    <definedName name="g.33.n" localSheetId="14">#REF!</definedName>
    <definedName name="g.33.n" localSheetId="25">#REF!</definedName>
    <definedName name="g.33.n" localSheetId="24">#REF!</definedName>
    <definedName name="g.33.n" localSheetId="23">#REF!</definedName>
    <definedName name="g.33.n" localSheetId="22">#REF!</definedName>
    <definedName name="g.33.n" localSheetId="21">#REF!</definedName>
    <definedName name="g.33.n" localSheetId="20">#REF!</definedName>
    <definedName name="g.33.n" localSheetId="13">#REF!</definedName>
    <definedName name="g.33.n" localSheetId="12">#REF!</definedName>
    <definedName name="g.33.n" localSheetId="11">#REF!</definedName>
    <definedName name="g.33.n" localSheetId="10">#REF!</definedName>
    <definedName name="g.33.n" localSheetId="9">#REF!</definedName>
    <definedName name="g.33.n" localSheetId="8">#REF!</definedName>
    <definedName name="g.41" localSheetId="19">#REF!</definedName>
    <definedName name="g.41" localSheetId="18">#REF!</definedName>
    <definedName name="g.41" localSheetId="17">#REF!</definedName>
    <definedName name="g.41" localSheetId="16">#REF!</definedName>
    <definedName name="g.41" localSheetId="15">#REF!</definedName>
    <definedName name="g.41" localSheetId="14">#REF!</definedName>
    <definedName name="g.41" localSheetId="25">#REF!</definedName>
    <definedName name="g.41" localSheetId="24">#REF!</definedName>
    <definedName name="g.41" localSheetId="23">#REF!</definedName>
    <definedName name="g.41" localSheetId="22">#REF!</definedName>
    <definedName name="g.41" localSheetId="21">#REF!</definedName>
    <definedName name="g.41" localSheetId="20">#REF!</definedName>
    <definedName name="g.41" localSheetId="13">#REF!</definedName>
    <definedName name="g.41" localSheetId="12">#REF!</definedName>
    <definedName name="g.41" localSheetId="11">#REF!</definedName>
    <definedName name="g.41" localSheetId="10">#REF!</definedName>
    <definedName name="g.41" localSheetId="9">#REF!</definedName>
    <definedName name="g.41" localSheetId="8">#REF!</definedName>
    <definedName name="g.41.a" localSheetId="19">#REF!</definedName>
    <definedName name="g.41.a" localSheetId="18">#REF!</definedName>
    <definedName name="g.41.a" localSheetId="17">#REF!</definedName>
    <definedName name="g.41.a" localSheetId="16">#REF!</definedName>
    <definedName name="g.41.a" localSheetId="15">#REF!</definedName>
    <definedName name="g.41.a" localSheetId="14">#REF!</definedName>
    <definedName name="g.41.a" localSheetId="25">#REF!</definedName>
    <definedName name="g.41.a" localSheetId="24">#REF!</definedName>
    <definedName name="g.41.a" localSheetId="23">#REF!</definedName>
    <definedName name="g.41.a" localSheetId="22">#REF!</definedName>
    <definedName name="g.41.a" localSheetId="21">#REF!</definedName>
    <definedName name="g.41.a" localSheetId="20">#REF!</definedName>
    <definedName name="g.41.a" localSheetId="13">#REF!</definedName>
    <definedName name="g.41.a" localSheetId="12">#REF!</definedName>
    <definedName name="g.41.a" localSheetId="11">#REF!</definedName>
    <definedName name="g.41.a" localSheetId="10">#REF!</definedName>
    <definedName name="g.41.a" localSheetId="9">#REF!</definedName>
    <definedName name="g.41.a" localSheetId="8">#REF!</definedName>
    <definedName name="g.42" localSheetId="19">#REF!</definedName>
    <definedName name="g.42" localSheetId="18">#REF!</definedName>
    <definedName name="g.42" localSheetId="17">#REF!</definedName>
    <definedName name="g.42" localSheetId="16">#REF!</definedName>
    <definedName name="g.42" localSheetId="15">#REF!</definedName>
    <definedName name="g.42" localSheetId="14">#REF!</definedName>
    <definedName name="g.42" localSheetId="25">#REF!</definedName>
    <definedName name="g.42" localSheetId="24">#REF!</definedName>
    <definedName name="g.42" localSheetId="23">#REF!</definedName>
    <definedName name="g.42" localSheetId="22">#REF!</definedName>
    <definedName name="g.42" localSheetId="21">#REF!</definedName>
    <definedName name="g.42" localSheetId="20">#REF!</definedName>
    <definedName name="g.42" localSheetId="13">#REF!</definedName>
    <definedName name="g.42" localSheetId="12">#REF!</definedName>
    <definedName name="g.42" localSheetId="11">#REF!</definedName>
    <definedName name="g.42" localSheetId="10">#REF!</definedName>
    <definedName name="g.42" localSheetId="9">#REF!</definedName>
    <definedName name="g.42" localSheetId="8">#REF!</definedName>
    <definedName name="g.42.a" localSheetId="19">#REF!</definedName>
    <definedName name="g.42.a" localSheetId="18">#REF!</definedName>
    <definedName name="g.42.a" localSheetId="17">#REF!</definedName>
    <definedName name="g.42.a" localSheetId="16">#REF!</definedName>
    <definedName name="g.42.a" localSheetId="15">#REF!</definedName>
    <definedName name="g.42.a" localSheetId="14">#REF!</definedName>
    <definedName name="g.42.a" localSheetId="25">#REF!</definedName>
    <definedName name="g.42.a" localSheetId="24">#REF!</definedName>
    <definedName name="g.42.a" localSheetId="23">#REF!</definedName>
    <definedName name="g.42.a" localSheetId="22">#REF!</definedName>
    <definedName name="g.42.a" localSheetId="21">#REF!</definedName>
    <definedName name="g.42.a" localSheetId="20">#REF!</definedName>
    <definedName name="g.42.a" localSheetId="13">#REF!</definedName>
    <definedName name="g.42.a" localSheetId="12">#REF!</definedName>
    <definedName name="g.42.a" localSheetId="11">#REF!</definedName>
    <definedName name="g.42.a" localSheetId="10">#REF!</definedName>
    <definedName name="g.42.a" localSheetId="9">#REF!</definedName>
    <definedName name="g.42.a" localSheetId="8">#REF!</definedName>
    <definedName name="g.42.b" localSheetId="19">#REF!</definedName>
    <definedName name="g.42.b" localSheetId="18">#REF!</definedName>
    <definedName name="g.42.b" localSheetId="17">#REF!</definedName>
    <definedName name="g.42.b" localSheetId="16">#REF!</definedName>
    <definedName name="g.42.b" localSheetId="15">#REF!</definedName>
    <definedName name="g.42.b" localSheetId="14">#REF!</definedName>
    <definedName name="g.42.b" localSheetId="25">#REF!</definedName>
    <definedName name="g.42.b" localSheetId="24">#REF!</definedName>
    <definedName name="g.42.b" localSheetId="23">#REF!</definedName>
    <definedName name="g.42.b" localSheetId="22">#REF!</definedName>
    <definedName name="g.42.b" localSheetId="21">#REF!</definedName>
    <definedName name="g.42.b" localSheetId="20">#REF!</definedName>
    <definedName name="g.42.b" localSheetId="13">#REF!</definedName>
    <definedName name="g.42.b" localSheetId="12">#REF!</definedName>
    <definedName name="g.42.b" localSheetId="11">#REF!</definedName>
    <definedName name="g.42.b" localSheetId="10">#REF!</definedName>
    <definedName name="g.42.b" localSheetId="9">#REF!</definedName>
    <definedName name="g.42.b" localSheetId="8">#REF!</definedName>
    <definedName name="g.44" localSheetId="19">#REF!</definedName>
    <definedName name="g.44" localSheetId="18">#REF!</definedName>
    <definedName name="g.44" localSheetId="17">#REF!</definedName>
    <definedName name="g.44" localSheetId="16">#REF!</definedName>
    <definedName name="g.44" localSheetId="15">#REF!</definedName>
    <definedName name="g.44" localSheetId="14">#REF!</definedName>
    <definedName name="g.44" localSheetId="25">#REF!</definedName>
    <definedName name="g.44" localSheetId="24">#REF!</definedName>
    <definedName name="g.44" localSheetId="23">#REF!</definedName>
    <definedName name="g.44" localSheetId="22">#REF!</definedName>
    <definedName name="g.44" localSheetId="21">#REF!</definedName>
    <definedName name="g.44" localSheetId="20">#REF!</definedName>
    <definedName name="g.44" localSheetId="13">#REF!</definedName>
    <definedName name="g.44" localSheetId="12">#REF!</definedName>
    <definedName name="g.44" localSheetId="11">#REF!</definedName>
    <definedName name="g.44" localSheetId="10">#REF!</definedName>
    <definedName name="g.44" localSheetId="9">#REF!</definedName>
    <definedName name="g.44" localSheetId="8">#REF!</definedName>
    <definedName name="g.5.b" localSheetId="19">#REF!</definedName>
    <definedName name="g.5.b" localSheetId="18">#REF!</definedName>
    <definedName name="g.5.b" localSheetId="17">#REF!</definedName>
    <definedName name="g.5.b" localSheetId="16">#REF!</definedName>
    <definedName name="g.5.b" localSheetId="15">#REF!</definedName>
    <definedName name="g.5.b" localSheetId="14">#REF!</definedName>
    <definedName name="g.5.b" localSheetId="25">#REF!</definedName>
    <definedName name="g.5.b" localSheetId="24">#REF!</definedName>
    <definedName name="g.5.b" localSheetId="23">#REF!</definedName>
    <definedName name="g.5.b" localSheetId="22">#REF!</definedName>
    <definedName name="g.5.b" localSheetId="21">#REF!</definedName>
    <definedName name="g.5.b" localSheetId="20">#REF!</definedName>
    <definedName name="g.5.b" localSheetId="13">#REF!</definedName>
    <definedName name="g.5.b" localSheetId="12">#REF!</definedName>
    <definedName name="g.5.b" localSheetId="11">#REF!</definedName>
    <definedName name="g.5.b" localSheetId="10">#REF!</definedName>
    <definedName name="g.5.b" localSheetId="9">#REF!</definedName>
    <definedName name="g.5.b" localSheetId="8">#REF!</definedName>
    <definedName name="g.50.g" localSheetId="19">#REF!</definedName>
    <definedName name="g.50.g" localSheetId="18">#REF!</definedName>
    <definedName name="g.50.g" localSheetId="17">#REF!</definedName>
    <definedName name="g.50.g" localSheetId="16">#REF!</definedName>
    <definedName name="g.50.g" localSheetId="15">#REF!</definedName>
    <definedName name="g.50.g" localSheetId="14">#REF!</definedName>
    <definedName name="g.50.g" localSheetId="25">#REF!</definedName>
    <definedName name="g.50.g" localSheetId="24">#REF!</definedName>
    <definedName name="g.50.g" localSheetId="23">#REF!</definedName>
    <definedName name="g.50.g" localSheetId="22">#REF!</definedName>
    <definedName name="g.50.g" localSheetId="21">#REF!</definedName>
    <definedName name="g.50.g" localSheetId="20">#REF!</definedName>
    <definedName name="g.50.g" localSheetId="13">#REF!</definedName>
    <definedName name="g.50.g" localSheetId="12">#REF!</definedName>
    <definedName name="g.50.g" localSheetId="11">#REF!</definedName>
    <definedName name="g.50.g" localSheetId="10">#REF!</definedName>
    <definedName name="g.50.g" localSheetId="9">#REF!</definedName>
    <definedName name="g.50.g" localSheetId="8">#REF!</definedName>
    <definedName name="g.50.h" localSheetId="19">#REF!</definedName>
    <definedName name="g.50.h" localSheetId="18">#REF!</definedName>
    <definedName name="g.50.h" localSheetId="17">#REF!</definedName>
    <definedName name="g.50.h" localSheetId="16">#REF!</definedName>
    <definedName name="g.50.h" localSheetId="15">#REF!</definedName>
    <definedName name="g.50.h" localSheetId="14">#REF!</definedName>
    <definedName name="g.50.h" localSheetId="25">#REF!</definedName>
    <definedName name="g.50.h" localSheetId="24">#REF!</definedName>
    <definedName name="g.50.h" localSheetId="23">#REF!</definedName>
    <definedName name="g.50.h" localSheetId="22">#REF!</definedName>
    <definedName name="g.50.h" localSheetId="21">#REF!</definedName>
    <definedName name="g.50.h" localSheetId="20">#REF!</definedName>
    <definedName name="g.50.h" localSheetId="13">#REF!</definedName>
    <definedName name="g.50.h" localSheetId="12">#REF!</definedName>
    <definedName name="g.50.h" localSheetId="11">#REF!</definedName>
    <definedName name="g.50.h" localSheetId="10">#REF!</definedName>
    <definedName name="g.50.h" localSheetId="9">#REF!</definedName>
    <definedName name="g.50.h" localSheetId="8">#REF!</definedName>
    <definedName name="g.50.j" localSheetId="19">#REF!</definedName>
    <definedName name="g.50.j" localSheetId="18">#REF!</definedName>
    <definedName name="g.50.j" localSheetId="17">#REF!</definedName>
    <definedName name="g.50.j" localSheetId="16">#REF!</definedName>
    <definedName name="g.50.j" localSheetId="15">#REF!</definedName>
    <definedName name="g.50.j" localSheetId="14">#REF!</definedName>
    <definedName name="g.50.j" localSheetId="25">#REF!</definedName>
    <definedName name="g.50.j" localSheetId="24">#REF!</definedName>
    <definedName name="g.50.j" localSheetId="23">#REF!</definedName>
    <definedName name="g.50.j" localSheetId="22">#REF!</definedName>
    <definedName name="g.50.j" localSheetId="21">#REF!</definedName>
    <definedName name="g.50.j" localSheetId="20">#REF!</definedName>
    <definedName name="g.50.j" localSheetId="13">#REF!</definedName>
    <definedName name="g.50.j" localSheetId="12">#REF!</definedName>
    <definedName name="g.50.j" localSheetId="11">#REF!</definedName>
    <definedName name="g.50.j" localSheetId="10">#REF!</definedName>
    <definedName name="g.50.j" localSheetId="9">#REF!</definedName>
    <definedName name="g.50.j" localSheetId="8">#REF!</definedName>
    <definedName name="g.50.k" localSheetId="19">#REF!</definedName>
    <definedName name="g.50.k" localSheetId="18">#REF!</definedName>
    <definedName name="g.50.k" localSheetId="17">#REF!</definedName>
    <definedName name="g.50.k" localSheetId="16">#REF!</definedName>
    <definedName name="g.50.k" localSheetId="15">#REF!</definedName>
    <definedName name="g.50.k" localSheetId="14">#REF!</definedName>
    <definedName name="g.50.k" localSheetId="25">#REF!</definedName>
    <definedName name="g.50.k" localSheetId="24">#REF!</definedName>
    <definedName name="g.50.k" localSheetId="23">#REF!</definedName>
    <definedName name="g.50.k" localSheetId="22">#REF!</definedName>
    <definedName name="g.50.k" localSheetId="21">#REF!</definedName>
    <definedName name="g.50.k" localSheetId="20">#REF!</definedName>
    <definedName name="g.50.k" localSheetId="13">#REF!</definedName>
    <definedName name="g.50.k" localSheetId="12">#REF!</definedName>
    <definedName name="g.50.k" localSheetId="11">#REF!</definedName>
    <definedName name="g.50.k" localSheetId="10">#REF!</definedName>
    <definedName name="g.50.k" localSheetId="9">#REF!</definedName>
    <definedName name="g.50.k" localSheetId="8">#REF!</definedName>
    <definedName name="g.50.o" localSheetId="19">#REF!</definedName>
    <definedName name="g.50.o" localSheetId="18">#REF!</definedName>
    <definedName name="g.50.o" localSheetId="17">#REF!</definedName>
    <definedName name="g.50.o" localSheetId="16">#REF!</definedName>
    <definedName name="g.50.o" localSheetId="15">#REF!</definedName>
    <definedName name="g.50.o" localSheetId="14">#REF!</definedName>
    <definedName name="g.50.o" localSheetId="25">#REF!</definedName>
    <definedName name="g.50.o" localSheetId="24">#REF!</definedName>
    <definedName name="g.50.o" localSheetId="23">#REF!</definedName>
    <definedName name="g.50.o" localSheetId="22">#REF!</definedName>
    <definedName name="g.50.o" localSheetId="21">#REF!</definedName>
    <definedName name="g.50.o" localSheetId="20">#REF!</definedName>
    <definedName name="g.50.o" localSheetId="13">#REF!</definedName>
    <definedName name="g.50.o" localSheetId="12">#REF!</definedName>
    <definedName name="g.50.o" localSheetId="11">#REF!</definedName>
    <definedName name="g.50.o" localSheetId="10">#REF!</definedName>
    <definedName name="g.50.o" localSheetId="9">#REF!</definedName>
    <definedName name="g.50.o" localSheetId="8">#REF!</definedName>
    <definedName name="g.50.q" localSheetId="19">#REF!</definedName>
    <definedName name="g.50.q" localSheetId="18">#REF!</definedName>
    <definedName name="g.50.q" localSheetId="17">#REF!</definedName>
    <definedName name="g.50.q" localSheetId="16">#REF!</definedName>
    <definedName name="g.50.q" localSheetId="15">#REF!</definedName>
    <definedName name="g.50.q" localSheetId="14">#REF!</definedName>
    <definedName name="g.50.q" localSheetId="25">#REF!</definedName>
    <definedName name="g.50.q" localSheetId="24">#REF!</definedName>
    <definedName name="g.50.q" localSheetId="23">#REF!</definedName>
    <definedName name="g.50.q" localSheetId="22">#REF!</definedName>
    <definedName name="g.50.q" localSheetId="21">#REF!</definedName>
    <definedName name="g.50.q" localSheetId="20">#REF!</definedName>
    <definedName name="g.50.q" localSheetId="13">#REF!</definedName>
    <definedName name="g.50.q" localSheetId="12">#REF!</definedName>
    <definedName name="g.50.q" localSheetId="11">#REF!</definedName>
    <definedName name="g.50.q" localSheetId="10">#REF!</definedName>
    <definedName name="g.50.q" localSheetId="9">#REF!</definedName>
    <definedName name="g.50.q" localSheetId="8">#REF!</definedName>
    <definedName name="g.51.c" localSheetId="19">#REF!</definedName>
    <definedName name="g.51.c" localSheetId="18">#REF!</definedName>
    <definedName name="g.51.c" localSheetId="17">#REF!</definedName>
    <definedName name="g.51.c" localSheetId="16">#REF!</definedName>
    <definedName name="g.51.c" localSheetId="15">#REF!</definedName>
    <definedName name="g.51.c" localSheetId="14">#REF!</definedName>
    <definedName name="g.51.c" localSheetId="25">#REF!</definedName>
    <definedName name="g.51.c" localSheetId="24">#REF!</definedName>
    <definedName name="g.51.c" localSheetId="23">#REF!</definedName>
    <definedName name="g.51.c" localSheetId="22">#REF!</definedName>
    <definedName name="g.51.c" localSheetId="21">#REF!</definedName>
    <definedName name="g.51.c" localSheetId="20">#REF!</definedName>
    <definedName name="g.51.c" localSheetId="13">#REF!</definedName>
    <definedName name="g.51.c" localSheetId="12">#REF!</definedName>
    <definedName name="g.51.c" localSheetId="11">#REF!</definedName>
    <definedName name="g.51.c" localSheetId="10">#REF!</definedName>
    <definedName name="g.51.c" localSheetId="9">#REF!</definedName>
    <definedName name="g.51.c" localSheetId="8">#REF!</definedName>
    <definedName name="g.51.d" localSheetId="19">#REF!</definedName>
    <definedName name="g.51.d" localSheetId="18">#REF!</definedName>
    <definedName name="g.51.d" localSheetId="17">#REF!</definedName>
    <definedName name="g.51.d" localSheetId="16">#REF!</definedName>
    <definedName name="g.51.d" localSheetId="15">#REF!</definedName>
    <definedName name="g.51.d" localSheetId="14">#REF!</definedName>
    <definedName name="g.51.d" localSheetId="25">#REF!</definedName>
    <definedName name="g.51.d" localSheetId="24">#REF!</definedName>
    <definedName name="g.51.d" localSheetId="23">#REF!</definedName>
    <definedName name="g.51.d" localSheetId="22">#REF!</definedName>
    <definedName name="g.51.d" localSheetId="21">#REF!</definedName>
    <definedName name="g.51.d" localSheetId="20">#REF!</definedName>
    <definedName name="g.51.d" localSheetId="13">#REF!</definedName>
    <definedName name="g.51.d" localSheetId="12">#REF!</definedName>
    <definedName name="g.51.d" localSheetId="11">#REF!</definedName>
    <definedName name="g.51.d" localSheetId="10">#REF!</definedName>
    <definedName name="g.51.d" localSheetId="9">#REF!</definedName>
    <definedName name="g.51.d" localSheetId="8">#REF!</definedName>
    <definedName name="g.51.e" localSheetId="19">#REF!</definedName>
    <definedName name="g.51.e" localSheetId="18">#REF!</definedName>
    <definedName name="g.51.e" localSheetId="17">#REF!</definedName>
    <definedName name="g.51.e" localSheetId="16">#REF!</definedName>
    <definedName name="g.51.e" localSheetId="15">#REF!</definedName>
    <definedName name="g.51.e" localSheetId="14">#REF!</definedName>
    <definedName name="g.51.e" localSheetId="25">#REF!</definedName>
    <definedName name="g.51.e" localSheetId="24">#REF!</definedName>
    <definedName name="g.51.e" localSheetId="23">#REF!</definedName>
    <definedName name="g.51.e" localSheetId="22">#REF!</definedName>
    <definedName name="g.51.e" localSheetId="21">#REF!</definedName>
    <definedName name="g.51.e" localSheetId="20">#REF!</definedName>
    <definedName name="g.51.e" localSheetId="13">#REF!</definedName>
    <definedName name="g.51.e" localSheetId="12">#REF!</definedName>
    <definedName name="g.51.e" localSheetId="11">#REF!</definedName>
    <definedName name="g.51.e" localSheetId="10">#REF!</definedName>
    <definedName name="g.51.e" localSheetId="9">#REF!</definedName>
    <definedName name="g.51.e" localSheetId="8">#REF!</definedName>
    <definedName name="g.56" localSheetId="19">#REF!</definedName>
    <definedName name="g.56" localSheetId="18">#REF!</definedName>
    <definedName name="g.56" localSheetId="17">#REF!</definedName>
    <definedName name="g.56" localSheetId="16">#REF!</definedName>
    <definedName name="g.56" localSheetId="15">#REF!</definedName>
    <definedName name="g.56" localSheetId="14">#REF!</definedName>
    <definedName name="g.56" localSheetId="25">#REF!</definedName>
    <definedName name="g.56" localSheetId="24">#REF!</definedName>
    <definedName name="g.56" localSheetId="23">#REF!</definedName>
    <definedName name="g.56" localSheetId="22">#REF!</definedName>
    <definedName name="g.56" localSheetId="21">#REF!</definedName>
    <definedName name="g.56" localSheetId="20">#REF!</definedName>
    <definedName name="g.56" localSheetId="13">#REF!</definedName>
    <definedName name="g.56" localSheetId="12">#REF!</definedName>
    <definedName name="g.56" localSheetId="11">#REF!</definedName>
    <definedName name="g.56" localSheetId="10">#REF!</definedName>
    <definedName name="g.56" localSheetId="9">#REF!</definedName>
    <definedName name="g.56" localSheetId="8">#REF!</definedName>
    <definedName name="g.61" localSheetId="19">#REF!</definedName>
    <definedName name="g.61" localSheetId="18">#REF!</definedName>
    <definedName name="g.61" localSheetId="17">#REF!</definedName>
    <definedName name="g.61" localSheetId="16">#REF!</definedName>
    <definedName name="g.61" localSheetId="15">#REF!</definedName>
    <definedName name="g.61" localSheetId="14">#REF!</definedName>
    <definedName name="g.61" localSheetId="25">#REF!</definedName>
    <definedName name="g.61" localSheetId="24">#REF!</definedName>
    <definedName name="g.61" localSheetId="23">#REF!</definedName>
    <definedName name="g.61" localSheetId="22">#REF!</definedName>
    <definedName name="g.61" localSheetId="21">#REF!</definedName>
    <definedName name="g.61" localSheetId="20">#REF!</definedName>
    <definedName name="g.61" localSheetId="13">#REF!</definedName>
    <definedName name="g.61" localSheetId="12">#REF!</definedName>
    <definedName name="g.61" localSheetId="11">#REF!</definedName>
    <definedName name="g.61" localSheetId="10">#REF!</definedName>
    <definedName name="g.61" localSheetId="9">#REF!</definedName>
    <definedName name="g.61" localSheetId="8">#REF!</definedName>
    <definedName name="g.67" localSheetId="19">#REF!</definedName>
    <definedName name="g.67" localSheetId="18">#REF!</definedName>
    <definedName name="g.67" localSheetId="17">#REF!</definedName>
    <definedName name="g.67" localSheetId="16">#REF!</definedName>
    <definedName name="g.67" localSheetId="15">#REF!</definedName>
    <definedName name="g.67" localSheetId="14">#REF!</definedName>
    <definedName name="g.67" localSheetId="25">#REF!</definedName>
    <definedName name="g.67" localSheetId="24">#REF!</definedName>
    <definedName name="g.67" localSheetId="23">#REF!</definedName>
    <definedName name="g.67" localSheetId="22">#REF!</definedName>
    <definedName name="g.67" localSheetId="21">#REF!</definedName>
    <definedName name="g.67" localSheetId="20">#REF!</definedName>
    <definedName name="g.67" localSheetId="13">#REF!</definedName>
    <definedName name="g.67" localSheetId="12">#REF!</definedName>
    <definedName name="g.67" localSheetId="11">#REF!</definedName>
    <definedName name="g.67" localSheetId="10">#REF!</definedName>
    <definedName name="g.67" localSheetId="9">#REF!</definedName>
    <definedName name="g.67" localSheetId="8">#REF!</definedName>
    <definedName name="g.68" localSheetId="19">#REF!</definedName>
    <definedName name="g.68" localSheetId="18">#REF!</definedName>
    <definedName name="g.68" localSheetId="17">#REF!</definedName>
    <definedName name="g.68" localSheetId="16">#REF!</definedName>
    <definedName name="g.68" localSheetId="15">#REF!</definedName>
    <definedName name="g.68" localSheetId="14">#REF!</definedName>
    <definedName name="g.68" localSheetId="25">#REF!</definedName>
    <definedName name="g.68" localSheetId="24">#REF!</definedName>
    <definedName name="g.68" localSheetId="23">#REF!</definedName>
    <definedName name="g.68" localSheetId="22">#REF!</definedName>
    <definedName name="g.68" localSheetId="21">#REF!</definedName>
    <definedName name="g.68" localSheetId="20">#REF!</definedName>
    <definedName name="g.68" localSheetId="13">#REF!</definedName>
    <definedName name="g.68" localSheetId="12">#REF!</definedName>
    <definedName name="g.68" localSheetId="11">#REF!</definedName>
    <definedName name="g.68" localSheetId="10">#REF!</definedName>
    <definedName name="g.68" localSheetId="9">#REF!</definedName>
    <definedName name="g.68" localSheetId="8">#REF!</definedName>
    <definedName name="g.69" localSheetId="19">#REF!</definedName>
    <definedName name="g.69" localSheetId="18">#REF!</definedName>
    <definedName name="g.69" localSheetId="17">#REF!</definedName>
    <definedName name="g.69" localSheetId="16">#REF!</definedName>
    <definedName name="g.69" localSheetId="15">#REF!</definedName>
    <definedName name="g.69" localSheetId="14">#REF!</definedName>
    <definedName name="g.69" localSheetId="25">#REF!</definedName>
    <definedName name="g.69" localSheetId="24">#REF!</definedName>
    <definedName name="g.69" localSheetId="23">#REF!</definedName>
    <definedName name="g.69" localSheetId="22">#REF!</definedName>
    <definedName name="g.69" localSheetId="21">#REF!</definedName>
    <definedName name="g.69" localSheetId="20">#REF!</definedName>
    <definedName name="g.69" localSheetId="13">#REF!</definedName>
    <definedName name="g.69" localSheetId="12">#REF!</definedName>
    <definedName name="g.69" localSheetId="11">#REF!</definedName>
    <definedName name="g.69" localSheetId="10">#REF!</definedName>
    <definedName name="g.69" localSheetId="9">#REF!</definedName>
    <definedName name="g.69" localSheetId="8">#REF!</definedName>
    <definedName name="g.70" localSheetId="19">#REF!</definedName>
    <definedName name="g.70" localSheetId="18">#REF!</definedName>
    <definedName name="g.70" localSheetId="17">#REF!</definedName>
    <definedName name="g.70" localSheetId="16">#REF!</definedName>
    <definedName name="g.70" localSheetId="15">#REF!</definedName>
    <definedName name="g.70" localSheetId="14">#REF!</definedName>
    <definedName name="g.70" localSheetId="25">#REF!</definedName>
    <definedName name="g.70" localSheetId="24">#REF!</definedName>
    <definedName name="g.70" localSheetId="23">#REF!</definedName>
    <definedName name="g.70" localSheetId="22">#REF!</definedName>
    <definedName name="g.70" localSheetId="21">#REF!</definedName>
    <definedName name="g.70" localSheetId="20">#REF!</definedName>
    <definedName name="g.70" localSheetId="13">#REF!</definedName>
    <definedName name="g.70" localSheetId="12">#REF!</definedName>
    <definedName name="g.70" localSheetId="11">#REF!</definedName>
    <definedName name="g.70" localSheetId="10">#REF!</definedName>
    <definedName name="g.70" localSheetId="9">#REF!</definedName>
    <definedName name="g.70" localSheetId="8">#REF!</definedName>
    <definedName name="gembok" localSheetId="19">#REF!</definedName>
    <definedName name="gembok" localSheetId="18">#REF!</definedName>
    <definedName name="gembok" localSheetId="17">#REF!</definedName>
    <definedName name="gembok" localSheetId="16">#REF!</definedName>
    <definedName name="gembok" localSheetId="15">#REF!</definedName>
    <definedName name="gembok" localSheetId="14">#REF!</definedName>
    <definedName name="gembok" localSheetId="25">#REF!</definedName>
    <definedName name="gembok" localSheetId="24">#REF!</definedName>
    <definedName name="gembok" localSheetId="23">#REF!</definedName>
    <definedName name="gembok" localSheetId="22">#REF!</definedName>
    <definedName name="gembok" localSheetId="21">#REF!</definedName>
    <definedName name="gembok" localSheetId="20">#REF!</definedName>
    <definedName name="gembok" localSheetId="13">#REF!</definedName>
    <definedName name="gembok" localSheetId="12">#REF!</definedName>
    <definedName name="gembok" localSheetId="11">#REF!</definedName>
    <definedName name="gembok" localSheetId="10">#REF!</definedName>
    <definedName name="gembok" localSheetId="9">#REF!</definedName>
    <definedName name="gembok" localSheetId="8">#REF!</definedName>
    <definedName name="gemuk" localSheetId="19">#REF!</definedName>
    <definedName name="gemuk" localSheetId="18">#REF!</definedName>
    <definedName name="gemuk" localSheetId="17">#REF!</definedName>
    <definedName name="gemuk" localSheetId="16">#REF!</definedName>
    <definedName name="gemuk" localSheetId="15">#REF!</definedName>
    <definedName name="gemuk" localSheetId="14">#REF!</definedName>
    <definedName name="gemuk" localSheetId="25">#REF!</definedName>
    <definedName name="gemuk" localSheetId="24">#REF!</definedName>
    <definedName name="gemuk" localSheetId="23">#REF!</definedName>
    <definedName name="gemuk" localSheetId="22">#REF!</definedName>
    <definedName name="gemuk" localSheetId="21">#REF!</definedName>
    <definedName name="gemuk" localSheetId="20">#REF!</definedName>
    <definedName name="gemuk" localSheetId="13">#REF!</definedName>
    <definedName name="gemuk" localSheetId="12">#REF!</definedName>
    <definedName name="gemuk" localSheetId="11">#REF!</definedName>
    <definedName name="gemuk" localSheetId="10">#REF!</definedName>
    <definedName name="gemuk" localSheetId="9">#REF!</definedName>
    <definedName name="gemuk" localSheetId="8">#REF!</definedName>
    <definedName name="genteng.lokal" localSheetId="19">#REF!</definedName>
    <definedName name="genteng.lokal" localSheetId="18">#REF!</definedName>
    <definedName name="genteng.lokal" localSheetId="17">#REF!</definedName>
    <definedName name="genteng.lokal" localSheetId="16">#REF!</definedName>
    <definedName name="genteng.lokal" localSheetId="15">#REF!</definedName>
    <definedName name="genteng.lokal" localSheetId="14">#REF!</definedName>
    <definedName name="genteng.lokal" localSheetId="25">#REF!</definedName>
    <definedName name="genteng.lokal" localSheetId="24">#REF!</definedName>
    <definedName name="genteng.lokal" localSheetId="23">#REF!</definedName>
    <definedName name="genteng.lokal" localSheetId="22">#REF!</definedName>
    <definedName name="genteng.lokal" localSheetId="21">#REF!</definedName>
    <definedName name="genteng.lokal" localSheetId="20">#REF!</definedName>
    <definedName name="genteng.lokal" localSheetId="13">#REF!</definedName>
    <definedName name="genteng.lokal" localSheetId="12">#REF!</definedName>
    <definedName name="genteng.lokal" localSheetId="11">#REF!</definedName>
    <definedName name="genteng.lokal" localSheetId="10">#REF!</definedName>
    <definedName name="genteng.lokal" localSheetId="9">#REF!</definedName>
    <definedName name="genteng.lokal" localSheetId="8">#REF!</definedName>
    <definedName name="genteng.pres.beton" localSheetId="19">#REF!</definedName>
    <definedName name="genteng.pres.beton" localSheetId="18">#REF!</definedName>
    <definedName name="genteng.pres.beton" localSheetId="17">#REF!</definedName>
    <definedName name="genteng.pres.beton" localSheetId="16">#REF!</definedName>
    <definedName name="genteng.pres.beton" localSheetId="15">#REF!</definedName>
    <definedName name="genteng.pres.beton" localSheetId="14">#REF!</definedName>
    <definedName name="genteng.pres.beton" localSheetId="25">#REF!</definedName>
    <definedName name="genteng.pres.beton" localSheetId="24">#REF!</definedName>
    <definedName name="genteng.pres.beton" localSheetId="23">#REF!</definedName>
    <definedName name="genteng.pres.beton" localSheetId="22">#REF!</definedName>
    <definedName name="genteng.pres.beton" localSheetId="21">#REF!</definedName>
    <definedName name="genteng.pres.beton" localSheetId="20">#REF!</definedName>
    <definedName name="genteng.pres.beton" localSheetId="13">#REF!</definedName>
    <definedName name="genteng.pres.beton" localSheetId="12">#REF!</definedName>
    <definedName name="genteng.pres.beton" localSheetId="11">#REF!</definedName>
    <definedName name="genteng.pres.beton" localSheetId="10">#REF!</definedName>
    <definedName name="genteng.pres.beton" localSheetId="9">#REF!</definedName>
    <definedName name="genteng.pres.beton" localSheetId="8">#REF!</definedName>
    <definedName name="gi.100.1.5" localSheetId="19">#REF!</definedName>
    <definedName name="gi.100.1.5" localSheetId="18">#REF!</definedName>
    <definedName name="gi.100.1.5" localSheetId="17">#REF!</definedName>
    <definedName name="gi.100.1.5" localSheetId="16">#REF!</definedName>
    <definedName name="gi.100.1.5" localSheetId="15">#REF!</definedName>
    <definedName name="gi.100.1.5" localSheetId="14">#REF!</definedName>
    <definedName name="gi.100.1.5" localSheetId="25">#REF!</definedName>
    <definedName name="gi.100.1.5" localSheetId="24">#REF!</definedName>
    <definedName name="gi.100.1.5" localSheetId="23">#REF!</definedName>
    <definedName name="gi.100.1.5" localSheetId="22">#REF!</definedName>
    <definedName name="gi.100.1.5" localSheetId="21">#REF!</definedName>
    <definedName name="gi.100.1.5" localSheetId="20">#REF!</definedName>
    <definedName name="gi.100.1.5" localSheetId="13">#REF!</definedName>
    <definedName name="gi.100.1.5" localSheetId="12">#REF!</definedName>
    <definedName name="gi.100.1.5" localSheetId="11">#REF!</definedName>
    <definedName name="gi.100.1.5" localSheetId="10">#REF!</definedName>
    <definedName name="gi.100.1.5" localSheetId="9">#REF!</definedName>
    <definedName name="gi.100.1.5" localSheetId="8">#REF!</definedName>
    <definedName name="gi.100.2" localSheetId="19">#REF!</definedName>
    <definedName name="gi.100.2" localSheetId="18">#REF!</definedName>
    <definedName name="gi.100.2" localSheetId="17">#REF!</definedName>
    <definedName name="gi.100.2" localSheetId="16">#REF!</definedName>
    <definedName name="gi.100.2" localSheetId="15">#REF!</definedName>
    <definedName name="gi.100.2" localSheetId="14">#REF!</definedName>
    <definedName name="gi.100.2" localSheetId="25">#REF!</definedName>
    <definedName name="gi.100.2" localSheetId="24">#REF!</definedName>
    <definedName name="gi.100.2" localSheetId="23">#REF!</definedName>
    <definedName name="gi.100.2" localSheetId="22">#REF!</definedName>
    <definedName name="gi.100.2" localSheetId="21">#REF!</definedName>
    <definedName name="gi.100.2" localSheetId="20">#REF!</definedName>
    <definedName name="gi.100.2" localSheetId="13">#REF!</definedName>
    <definedName name="gi.100.2" localSheetId="12">#REF!</definedName>
    <definedName name="gi.100.2" localSheetId="11">#REF!</definedName>
    <definedName name="gi.100.2" localSheetId="10">#REF!</definedName>
    <definedName name="gi.100.2" localSheetId="9">#REF!</definedName>
    <definedName name="gi.100.2" localSheetId="8">#REF!</definedName>
    <definedName name="gi.100.2.5" localSheetId="19">#REF!</definedName>
    <definedName name="gi.100.2.5" localSheetId="18">#REF!</definedName>
    <definedName name="gi.100.2.5" localSheetId="17">#REF!</definedName>
    <definedName name="gi.100.2.5" localSheetId="16">#REF!</definedName>
    <definedName name="gi.100.2.5" localSheetId="15">#REF!</definedName>
    <definedName name="gi.100.2.5" localSheetId="14">#REF!</definedName>
    <definedName name="gi.100.2.5" localSheetId="25">#REF!</definedName>
    <definedName name="gi.100.2.5" localSheetId="24">#REF!</definedName>
    <definedName name="gi.100.2.5" localSheetId="23">#REF!</definedName>
    <definedName name="gi.100.2.5" localSheetId="22">#REF!</definedName>
    <definedName name="gi.100.2.5" localSheetId="21">#REF!</definedName>
    <definedName name="gi.100.2.5" localSheetId="20">#REF!</definedName>
    <definedName name="gi.100.2.5" localSheetId="13">#REF!</definedName>
    <definedName name="gi.100.2.5" localSheetId="12">#REF!</definedName>
    <definedName name="gi.100.2.5" localSheetId="11">#REF!</definedName>
    <definedName name="gi.100.2.5" localSheetId="10">#REF!</definedName>
    <definedName name="gi.100.2.5" localSheetId="9">#REF!</definedName>
    <definedName name="gi.100.2.5" localSheetId="8">#REF!</definedName>
    <definedName name="gi.100.2.9" localSheetId="19">#REF!</definedName>
    <definedName name="gi.100.2.9" localSheetId="18">#REF!</definedName>
    <definedName name="gi.100.2.9" localSheetId="17">#REF!</definedName>
    <definedName name="gi.100.2.9" localSheetId="16">#REF!</definedName>
    <definedName name="gi.100.2.9" localSheetId="15">#REF!</definedName>
    <definedName name="gi.100.2.9" localSheetId="14">#REF!</definedName>
    <definedName name="gi.100.2.9" localSheetId="25">#REF!</definedName>
    <definedName name="gi.100.2.9" localSheetId="24">#REF!</definedName>
    <definedName name="gi.100.2.9" localSheetId="23">#REF!</definedName>
    <definedName name="gi.100.2.9" localSheetId="22">#REF!</definedName>
    <definedName name="gi.100.2.9" localSheetId="21">#REF!</definedName>
    <definedName name="gi.100.2.9" localSheetId="20">#REF!</definedName>
    <definedName name="gi.100.2.9" localSheetId="13">#REF!</definedName>
    <definedName name="gi.100.2.9" localSheetId="12">#REF!</definedName>
    <definedName name="gi.100.2.9" localSheetId="11">#REF!</definedName>
    <definedName name="gi.100.2.9" localSheetId="10">#REF!</definedName>
    <definedName name="gi.100.2.9" localSheetId="9">#REF!</definedName>
    <definedName name="gi.100.2.9" localSheetId="8">#REF!</definedName>
    <definedName name="gi.100.4" localSheetId="19">#REF!</definedName>
    <definedName name="gi.100.4" localSheetId="18">#REF!</definedName>
    <definedName name="gi.100.4" localSheetId="17">#REF!</definedName>
    <definedName name="gi.100.4" localSheetId="16">#REF!</definedName>
    <definedName name="gi.100.4" localSheetId="15">#REF!</definedName>
    <definedName name="gi.100.4" localSheetId="14">#REF!</definedName>
    <definedName name="gi.100.4" localSheetId="25">#REF!</definedName>
    <definedName name="gi.100.4" localSheetId="24">#REF!</definedName>
    <definedName name="gi.100.4" localSheetId="23">#REF!</definedName>
    <definedName name="gi.100.4" localSheetId="22">#REF!</definedName>
    <definedName name="gi.100.4" localSheetId="21">#REF!</definedName>
    <definedName name="gi.100.4" localSheetId="20">#REF!</definedName>
    <definedName name="gi.100.4" localSheetId="13">#REF!</definedName>
    <definedName name="gi.100.4" localSheetId="12">#REF!</definedName>
    <definedName name="gi.100.4" localSheetId="11">#REF!</definedName>
    <definedName name="gi.100.4" localSheetId="10">#REF!</definedName>
    <definedName name="gi.100.4" localSheetId="9">#REF!</definedName>
    <definedName name="gi.100.4" localSheetId="8">#REF!</definedName>
    <definedName name="gi.100.5" localSheetId="19">#REF!</definedName>
    <definedName name="gi.100.5" localSheetId="18">#REF!</definedName>
    <definedName name="gi.100.5" localSheetId="17">#REF!</definedName>
    <definedName name="gi.100.5" localSheetId="16">#REF!</definedName>
    <definedName name="gi.100.5" localSheetId="15">#REF!</definedName>
    <definedName name="gi.100.5" localSheetId="14">#REF!</definedName>
    <definedName name="gi.100.5" localSheetId="25">#REF!</definedName>
    <definedName name="gi.100.5" localSheetId="24">#REF!</definedName>
    <definedName name="gi.100.5" localSheetId="23">#REF!</definedName>
    <definedName name="gi.100.5" localSheetId="22">#REF!</definedName>
    <definedName name="gi.100.5" localSheetId="21">#REF!</definedName>
    <definedName name="gi.100.5" localSheetId="20">#REF!</definedName>
    <definedName name="gi.100.5" localSheetId="13">#REF!</definedName>
    <definedName name="gi.100.5" localSheetId="12">#REF!</definedName>
    <definedName name="gi.100.5" localSheetId="11">#REF!</definedName>
    <definedName name="gi.100.5" localSheetId="10">#REF!</definedName>
    <definedName name="gi.100.5" localSheetId="9">#REF!</definedName>
    <definedName name="gi.100.5" localSheetId="8">#REF!</definedName>
    <definedName name="gi.100.8" localSheetId="19">#REF!</definedName>
    <definedName name="gi.100.8" localSheetId="18">#REF!</definedName>
    <definedName name="gi.100.8" localSheetId="17">#REF!</definedName>
    <definedName name="gi.100.8" localSheetId="16">#REF!</definedName>
    <definedName name="gi.100.8" localSheetId="15">#REF!</definedName>
    <definedName name="gi.100.8" localSheetId="14">#REF!</definedName>
    <definedName name="gi.100.8" localSheetId="25">#REF!</definedName>
    <definedName name="gi.100.8" localSheetId="24">#REF!</definedName>
    <definedName name="gi.100.8" localSheetId="23">#REF!</definedName>
    <definedName name="gi.100.8" localSheetId="22">#REF!</definedName>
    <definedName name="gi.100.8" localSheetId="21">#REF!</definedName>
    <definedName name="gi.100.8" localSheetId="20">#REF!</definedName>
    <definedName name="gi.100.8" localSheetId="13">#REF!</definedName>
    <definedName name="gi.100.8" localSheetId="12">#REF!</definedName>
    <definedName name="gi.100.8" localSheetId="11">#REF!</definedName>
    <definedName name="gi.100.8" localSheetId="10">#REF!</definedName>
    <definedName name="gi.100.8" localSheetId="9">#REF!</definedName>
    <definedName name="gi.100.8" localSheetId="8">#REF!</definedName>
    <definedName name="Gnt.pejaten" localSheetId="19">#REF!</definedName>
    <definedName name="Gnt.pejaten" localSheetId="18">#REF!</definedName>
    <definedName name="Gnt.pejaten" localSheetId="17">#REF!</definedName>
    <definedName name="Gnt.pejaten" localSheetId="16">#REF!</definedName>
    <definedName name="Gnt.pejaten" localSheetId="15">#REF!</definedName>
    <definedName name="Gnt.pejaten" localSheetId="14">#REF!</definedName>
    <definedName name="Gnt.pejaten" localSheetId="25">#REF!</definedName>
    <definedName name="Gnt.pejaten" localSheetId="24">#REF!</definedName>
    <definedName name="Gnt.pejaten" localSheetId="23">#REF!</definedName>
    <definedName name="Gnt.pejaten" localSheetId="22">#REF!</definedName>
    <definedName name="Gnt.pejaten" localSheetId="21">#REF!</definedName>
    <definedName name="Gnt.pejaten" localSheetId="20">#REF!</definedName>
    <definedName name="Gnt.pejaten" localSheetId="13">#REF!</definedName>
    <definedName name="Gnt.pejaten" localSheetId="12">#REF!</definedName>
    <definedName name="Gnt.pejaten" localSheetId="11">#REF!</definedName>
    <definedName name="Gnt.pejaten" localSheetId="10">#REF!</definedName>
    <definedName name="Gnt.pejaten" localSheetId="9">#REF!</definedName>
    <definedName name="Gnt.pejaten" localSheetId="8">#REF!</definedName>
    <definedName name="gr.4" localSheetId="19">#REF!</definedName>
    <definedName name="gr.4" localSheetId="18">#REF!</definedName>
    <definedName name="gr.4" localSheetId="17">#REF!</definedName>
    <definedName name="gr.4" localSheetId="16">#REF!</definedName>
    <definedName name="gr.4" localSheetId="15">#REF!</definedName>
    <definedName name="gr.4" localSheetId="14">#REF!</definedName>
    <definedName name="gr.4" localSheetId="25">#REF!</definedName>
    <definedName name="gr.4" localSheetId="24">#REF!</definedName>
    <definedName name="gr.4" localSheetId="23">#REF!</definedName>
    <definedName name="gr.4" localSheetId="22">#REF!</definedName>
    <definedName name="gr.4" localSheetId="21">#REF!</definedName>
    <definedName name="gr.4" localSheetId="20">#REF!</definedName>
    <definedName name="gr.4" localSheetId="13">#REF!</definedName>
    <definedName name="gr.4" localSheetId="12">#REF!</definedName>
    <definedName name="gr.4" localSheetId="11">#REF!</definedName>
    <definedName name="gr.4" localSheetId="10">#REF!</definedName>
    <definedName name="gr.4" localSheetId="9">#REF!</definedName>
    <definedName name="gr.4" localSheetId="8">#REF!</definedName>
    <definedName name="gr.5" localSheetId="19">#REF!</definedName>
    <definedName name="gr.5" localSheetId="18">#REF!</definedName>
    <definedName name="gr.5" localSheetId="17">#REF!</definedName>
    <definedName name="gr.5" localSheetId="16">#REF!</definedName>
    <definedName name="gr.5" localSheetId="15">#REF!</definedName>
    <definedName name="gr.5" localSheetId="14">#REF!</definedName>
    <definedName name="gr.5" localSheetId="25">#REF!</definedName>
    <definedName name="gr.5" localSheetId="24">#REF!</definedName>
    <definedName name="gr.5" localSheetId="23">#REF!</definedName>
    <definedName name="gr.5" localSheetId="22">#REF!</definedName>
    <definedName name="gr.5" localSheetId="21">#REF!</definedName>
    <definedName name="gr.5" localSheetId="20">#REF!</definedName>
    <definedName name="gr.5" localSheetId="13">#REF!</definedName>
    <definedName name="gr.5" localSheetId="12">#REF!</definedName>
    <definedName name="gr.5" localSheetId="11">#REF!</definedName>
    <definedName name="gr.5" localSheetId="10">#REF!</definedName>
    <definedName name="gr.5" localSheetId="9">#REF!</definedName>
    <definedName name="gr.5" localSheetId="8">#REF!</definedName>
    <definedName name="Grendel.besar" localSheetId="19">#REF!</definedName>
    <definedName name="Grendel.besar" localSheetId="18">#REF!</definedName>
    <definedName name="Grendel.besar" localSheetId="17">#REF!</definedName>
    <definedName name="Grendel.besar" localSheetId="16">#REF!</definedName>
    <definedName name="Grendel.besar" localSheetId="15">#REF!</definedName>
    <definedName name="Grendel.besar" localSheetId="14">#REF!</definedName>
    <definedName name="Grendel.besar" localSheetId="25">#REF!</definedName>
    <definedName name="Grendel.besar" localSheetId="24">#REF!</definedName>
    <definedName name="Grendel.besar" localSheetId="23">#REF!</definedName>
    <definedName name="Grendel.besar" localSheetId="22">#REF!</definedName>
    <definedName name="Grendel.besar" localSheetId="21">#REF!</definedName>
    <definedName name="Grendel.besar" localSheetId="20">#REF!</definedName>
    <definedName name="Grendel.besar" localSheetId="13">#REF!</definedName>
    <definedName name="Grendel.besar" localSheetId="12">#REF!</definedName>
    <definedName name="Grendel.besar" localSheetId="11">#REF!</definedName>
    <definedName name="Grendel.besar" localSheetId="10">#REF!</definedName>
    <definedName name="Grendel.besar" localSheetId="9">#REF!</definedName>
    <definedName name="Grendel.besar" localSheetId="8">#REF!</definedName>
    <definedName name="Grendel.kecil" localSheetId="19">#REF!</definedName>
    <definedName name="Grendel.kecil" localSheetId="18">#REF!</definedName>
    <definedName name="Grendel.kecil" localSheetId="17">#REF!</definedName>
    <definedName name="Grendel.kecil" localSheetId="16">#REF!</definedName>
    <definedName name="Grendel.kecil" localSheetId="15">#REF!</definedName>
    <definedName name="Grendel.kecil" localSheetId="14">#REF!</definedName>
    <definedName name="Grendel.kecil" localSheetId="25">#REF!</definedName>
    <definedName name="Grendel.kecil" localSheetId="24">#REF!</definedName>
    <definedName name="Grendel.kecil" localSheetId="23">#REF!</definedName>
    <definedName name="Grendel.kecil" localSheetId="22">#REF!</definedName>
    <definedName name="Grendel.kecil" localSheetId="21">#REF!</definedName>
    <definedName name="Grendel.kecil" localSheetId="20">#REF!</definedName>
    <definedName name="Grendel.kecil" localSheetId="13">#REF!</definedName>
    <definedName name="Grendel.kecil" localSheetId="12">#REF!</definedName>
    <definedName name="Grendel.kecil" localSheetId="11">#REF!</definedName>
    <definedName name="Grendel.kecil" localSheetId="10">#REF!</definedName>
    <definedName name="Grendel.kecil" localSheetId="9">#REF!</definedName>
    <definedName name="Grendel.kecil" localSheetId="8">#REF!</definedName>
    <definedName name="gt.5" localSheetId="19">#REF!</definedName>
    <definedName name="gt.5" localSheetId="18">#REF!</definedName>
    <definedName name="gt.5" localSheetId="17">#REF!</definedName>
    <definedName name="gt.5" localSheetId="16">#REF!</definedName>
    <definedName name="gt.5" localSheetId="15">#REF!</definedName>
    <definedName name="gt.5" localSheetId="14">#REF!</definedName>
    <definedName name="gt.5" localSheetId="25">#REF!</definedName>
    <definedName name="gt.5" localSheetId="24">#REF!</definedName>
    <definedName name="gt.5" localSheetId="23">#REF!</definedName>
    <definedName name="gt.5" localSheetId="22">#REF!</definedName>
    <definedName name="gt.5" localSheetId="21">#REF!</definedName>
    <definedName name="gt.5" localSheetId="20">#REF!</definedName>
    <definedName name="gt.5" localSheetId="13">#REF!</definedName>
    <definedName name="gt.5" localSheetId="12">#REF!</definedName>
    <definedName name="gt.5" localSheetId="11">#REF!</definedName>
    <definedName name="gt.5" localSheetId="10">#REF!</definedName>
    <definedName name="gt.5" localSheetId="9">#REF!</definedName>
    <definedName name="gt.5" localSheetId="8">#REF!</definedName>
    <definedName name="gt.6" localSheetId="19">#REF!</definedName>
    <definedName name="gt.6" localSheetId="18">#REF!</definedName>
    <definedName name="gt.6" localSheetId="17">#REF!</definedName>
    <definedName name="gt.6" localSheetId="16">#REF!</definedName>
    <definedName name="gt.6" localSheetId="15">#REF!</definedName>
    <definedName name="gt.6" localSheetId="14">#REF!</definedName>
    <definedName name="gt.6" localSheetId="25">#REF!</definedName>
    <definedName name="gt.6" localSheetId="24">#REF!</definedName>
    <definedName name="gt.6" localSheetId="23">#REF!</definedName>
    <definedName name="gt.6" localSheetId="22">#REF!</definedName>
    <definedName name="gt.6" localSheetId="21">#REF!</definedName>
    <definedName name="gt.6" localSheetId="20">#REF!</definedName>
    <definedName name="gt.6" localSheetId="13">#REF!</definedName>
    <definedName name="gt.6" localSheetId="12">#REF!</definedName>
    <definedName name="gt.6" localSheetId="11">#REF!</definedName>
    <definedName name="gt.6" localSheetId="10">#REF!</definedName>
    <definedName name="gt.6" localSheetId="9">#REF!</definedName>
    <definedName name="gt.6" localSheetId="8">#REF!</definedName>
    <definedName name="h.10.a" localSheetId="19">#REF!</definedName>
    <definedName name="h.10.a" localSheetId="18">#REF!</definedName>
    <definedName name="h.10.a" localSheetId="17">#REF!</definedName>
    <definedName name="h.10.a" localSheetId="16">#REF!</definedName>
    <definedName name="h.10.a" localSheetId="15">#REF!</definedName>
    <definedName name="h.10.a" localSheetId="14">#REF!</definedName>
    <definedName name="h.10.a" localSheetId="25">#REF!</definedName>
    <definedName name="h.10.a" localSheetId="24">#REF!</definedName>
    <definedName name="h.10.a" localSheetId="23">#REF!</definedName>
    <definedName name="h.10.a" localSheetId="22">#REF!</definedName>
    <definedName name="h.10.a" localSheetId="21">#REF!</definedName>
    <definedName name="h.10.a" localSheetId="20">#REF!</definedName>
    <definedName name="h.10.a" localSheetId="13">#REF!</definedName>
    <definedName name="h.10.a" localSheetId="12">#REF!</definedName>
    <definedName name="h.10.a" localSheetId="11">#REF!</definedName>
    <definedName name="h.10.a" localSheetId="10">#REF!</definedName>
    <definedName name="h.10.a" localSheetId="9">#REF!</definedName>
    <definedName name="h.10.a" localSheetId="8">#REF!</definedName>
    <definedName name="h.15" localSheetId="19">#REF!</definedName>
    <definedName name="h.15" localSheetId="18">#REF!</definedName>
    <definedName name="h.15" localSheetId="17">#REF!</definedName>
    <definedName name="h.15" localSheetId="16">#REF!</definedName>
    <definedName name="h.15" localSheetId="15">#REF!</definedName>
    <definedName name="h.15" localSheetId="14">#REF!</definedName>
    <definedName name="h.15" localSheetId="25">#REF!</definedName>
    <definedName name="h.15" localSheetId="24">#REF!</definedName>
    <definedName name="h.15" localSheetId="23">#REF!</definedName>
    <definedName name="h.15" localSheetId="22">#REF!</definedName>
    <definedName name="h.15" localSheetId="21">#REF!</definedName>
    <definedName name="h.15" localSheetId="20">#REF!</definedName>
    <definedName name="h.15" localSheetId="13">#REF!</definedName>
    <definedName name="h.15" localSheetId="12">#REF!</definedName>
    <definedName name="h.15" localSheetId="11">#REF!</definedName>
    <definedName name="h.15" localSheetId="10">#REF!</definedName>
    <definedName name="h.15" localSheetId="9">#REF!</definedName>
    <definedName name="h.15" localSheetId="8">#REF!</definedName>
    <definedName name="h.2" localSheetId="19">#REF!</definedName>
    <definedName name="h.2" localSheetId="18">#REF!</definedName>
    <definedName name="h.2" localSheetId="17">#REF!</definedName>
    <definedName name="h.2" localSheetId="16">#REF!</definedName>
    <definedName name="h.2" localSheetId="15">#REF!</definedName>
    <definedName name="h.2" localSheetId="14">#REF!</definedName>
    <definedName name="h.2" localSheetId="25">#REF!</definedName>
    <definedName name="h.2" localSheetId="24">#REF!</definedName>
    <definedName name="h.2" localSheetId="23">#REF!</definedName>
    <definedName name="h.2" localSheetId="22">#REF!</definedName>
    <definedName name="h.2" localSheetId="21">#REF!</definedName>
    <definedName name="h.2" localSheetId="20">#REF!</definedName>
    <definedName name="h.2" localSheetId="13">#REF!</definedName>
    <definedName name="h.2" localSheetId="12">#REF!</definedName>
    <definedName name="h.2" localSheetId="11">#REF!</definedName>
    <definedName name="h.2" localSheetId="10">#REF!</definedName>
    <definedName name="h.2" localSheetId="9">#REF!</definedName>
    <definedName name="h.2" localSheetId="8">#REF!</definedName>
    <definedName name="h.3" localSheetId="19">#REF!</definedName>
    <definedName name="h.3" localSheetId="18">#REF!</definedName>
    <definedName name="h.3" localSheetId="17">#REF!</definedName>
    <definedName name="h.3" localSheetId="16">#REF!</definedName>
    <definedName name="h.3" localSheetId="15">#REF!</definedName>
    <definedName name="h.3" localSheetId="14">#REF!</definedName>
    <definedName name="h.3" localSheetId="25">#REF!</definedName>
    <definedName name="h.3" localSheetId="24">#REF!</definedName>
    <definedName name="h.3" localSheetId="23">#REF!</definedName>
    <definedName name="h.3" localSheetId="22">#REF!</definedName>
    <definedName name="h.3" localSheetId="21">#REF!</definedName>
    <definedName name="h.3" localSheetId="20">#REF!</definedName>
    <definedName name="h.3" localSheetId="13">#REF!</definedName>
    <definedName name="h.3" localSheetId="12">#REF!</definedName>
    <definedName name="h.3" localSheetId="11">#REF!</definedName>
    <definedName name="h.3" localSheetId="10">#REF!</definedName>
    <definedName name="h.3" localSheetId="9">#REF!</definedName>
    <definedName name="h.3" localSheetId="8">#REF!</definedName>
    <definedName name="h.4" localSheetId="19">#REF!</definedName>
    <definedName name="h.4" localSheetId="18">#REF!</definedName>
    <definedName name="h.4" localSheetId="17">#REF!</definedName>
    <definedName name="h.4" localSheetId="16">#REF!</definedName>
    <definedName name="h.4" localSheetId="15">#REF!</definedName>
    <definedName name="h.4" localSheetId="14">#REF!</definedName>
    <definedName name="h.4" localSheetId="25">#REF!</definedName>
    <definedName name="h.4" localSheetId="24">#REF!</definedName>
    <definedName name="h.4" localSheetId="23">#REF!</definedName>
    <definedName name="h.4" localSheetId="22">#REF!</definedName>
    <definedName name="h.4" localSheetId="21">#REF!</definedName>
    <definedName name="h.4" localSheetId="20">#REF!</definedName>
    <definedName name="h.4" localSheetId="13">#REF!</definedName>
    <definedName name="h.4" localSheetId="12">#REF!</definedName>
    <definedName name="h.4" localSheetId="11">#REF!</definedName>
    <definedName name="h.4" localSheetId="10">#REF!</definedName>
    <definedName name="h.4" localSheetId="9">#REF!</definedName>
    <definedName name="h.4" localSheetId="8">#REF!</definedName>
    <definedName name="h.5" localSheetId="19">#REF!</definedName>
    <definedName name="h.5" localSheetId="18">#REF!</definedName>
    <definedName name="h.5" localSheetId="17">#REF!</definedName>
    <definedName name="h.5" localSheetId="16">#REF!</definedName>
    <definedName name="h.5" localSheetId="15">#REF!</definedName>
    <definedName name="h.5" localSheetId="14">#REF!</definedName>
    <definedName name="h.5" localSheetId="25">#REF!</definedName>
    <definedName name="h.5" localSheetId="24">#REF!</definedName>
    <definedName name="h.5" localSheetId="23">#REF!</definedName>
    <definedName name="h.5" localSheetId="22">#REF!</definedName>
    <definedName name="h.5" localSheetId="21">#REF!</definedName>
    <definedName name="h.5" localSheetId="20">#REF!</definedName>
    <definedName name="h.5" localSheetId="13">#REF!</definedName>
    <definedName name="h.5" localSheetId="12">#REF!</definedName>
    <definedName name="h.5" localSheetId="11">#REF!</definedName>
    <definedName name="h.5" localSheetId="10">#REF!</definedName>
    <definedName name="h.5" localSheetId="9">#REF!</definedName>
    <definedName name="h.5" localSheetId="8">#REF!</definedName>
    <definedName name="h.9" localSheetId="19">#REF!</definedName>
    <definedName name="h.9" localSheetId="18">#REF!</definedName>
    <definedName name="h.9" localSheetId="17">#REF!</definedName>
    <definedName name="h.9" localSheetId="16">#REF!</definedName>
    <definedName name="h.9" localSheetId="15">#REF!</definedName>
    <definedName name="h.9" localSheetId="14">#REF!</definedName>
    <definedName name="h.9" localSheetId="25">#REF!</definedName>
    <definedName name="h.9" localSheetId="24">#REF!</definedName>
    <definedName name="h.9" localSheetId="23">#REF!</definedName>
    <definedName name="h.9" localSheetId="22">#REF!</definedName>
    <definedName name="h.9" localSheetId="21">#REF!</definedName>
    <definedName name="h.9" localSheetId="20">#REF!</definedName>
    <definedName name="h.9" localSheetId="13">#REF!</definedName>
    <definedName name="h.9" localSheetId="12">#REF!</definedName>
    <definedName name="h.9" localSheetId="11">#REF!</definedName>
    <definedName name="h.9" localSheetId="10">#REF!</definedName>
    <definedName name="h.9" localSheetId="9">#REF!</definedName>
    <definedName name="h.9" localSheetId="8">#REF!</definedName>
    <definedName name="h.9.a" localSheetId="19">#REF!</definedName>
    <definedName name="h.9.a" localSheetId="18">#REF!</definedName>
    <definedName name="h.9.a" localSheetId="17">#REF!</definedName>
    <definedName name="h.9.a" localSheetId="16">#REF!</definedName>
    <definedName name="h.9.a" localSheetId="15">#REF!</definedName>
    <definedName name="h.9.a" localSheetId="14">#REF!</definedName>
    <definedName name="h.9.a" localSheetId="25">#REF!</definedName>
    <definedName name="h.9.a" localSheetId="24">#REF!</definedName>
    <definedName name="h.9.a" localSheetId="23">#REF!</definedName>
    <definedName name="h.9.a" localSheetId="22">#REF!</definedName>
    <definedName name="h.9.a" localSheetId="21">#REF!</definedName>
    <definedName name="h.9.a" localSheetId="20">#REF!</definedName>
    <definedName name="h.9.a" localSheetId="13">#REF!</definedName>
    <definedName name="h.9.a" localSheetId="12">#REF!</definedName>
    <definedName name="h.9.a" localSheetId="11">#REF!</definedName>
    <definedName name="h.9.a" localSheetId="10">#REF!</definedName>
    <definedName name="h.9.a" localSheetId="9">#REF!</definedName>
    <definedName name="h.9.a" localSheetId="8">#REF!</definedName>
    <definedName name="h.gi" localSheetId="19">#REF!</definedName>
    <definedName name="h.gi" localSheetId="18">#REF!</definedName>
    <definedName name="h.gi" localSheetId="17">#REF!</definedName>
    <definedName name="h.gi" localSheetId="16">#REF!</definedName>
    <definedName name="h.gi" localSheetId="15">#REF!</definedName>
    <definedName name="h.gi" localSheetId="14">#REF!</definedName>
    <definedName name="h.gi" localSheetId="25">#REF!</definedName>
    <definedName name="h.gi" localSheetId="24">#REF!</definedName>
    <definedName name="h.gi" localSheetId="23">#REF!</definedName>
    <definedName name="h.gi" localSheetId="22">#REF!</definedName>
    <definedName name="h.gi" localSheetId="21">#REF!</definedName>
    <definedName name="h.gi" localSheetId="20">#REF!</definedName>
    <definedName name="h.gi" localSheetId="13">#REF!</definedName>
    <definedName name="h.gi" localSheetId="12">#REF!</definedName>
    <definedName name="h.gi" localSheetId="11">#REF!</definedName>
    <definedName name="h.gi" localSheetId="10">#REF!</definedName>
    <definedName name="h.gi" localSheetId="9">#REF!</definedName>
    <definedName name="h.gi" localSheetId="8">#REF!</definedName>
    <definedName name="h15.a" localSheetId="19">#REF!</definedName>
    <definedName name="h15.a" localSheetId="18">#REF!</definedName>
    <definedName name="h15.a" localSheetId="17">#REF!</definedName>
    <definedName name="h15.a" localSheetId="16">#REF!</definedName>
    <definedName name="h15.a" localSheetId="15">#REF!</definedName>
    <definedName name="h15.a" localSheetId="14">#REF!</definedName>
    <definedName name="h15.a" localSheetId="25">#REF!</definedName>
    <definedName name="h15.a" localSheetId="24">#REF!</definedName>
    <definedName name="h15.a" localSheetId="23">#REF!</definedName>
    <definedName name="h15.a" localSheetId="22">#REF!</definedName>
    <definedName name="h15.a" localSheetId="21">#REF!</definedName>
    <definedName name="h15.a" localSheetId="20">#REF!</definedName>
    <definedName name="h15.a" localSheetId="13">#REF!</definedName>
    <definedName name="h15.a" localSheetId="12">#REF!</definedName>
    <definedName name="h15.a" localSheetId="11">#REF!</definedName>
    <definedName name="h15.a" localSheetId="10">#REF!</definedName>
    <definedName name="h15.a" localSheetId="9">#REF!</definedName>
    <definedName name="h15.a" localSheetId="8">#REF!</definedName>
    <definedName name="Haag.angin" localSheetId="19">#REF!</definedName>
    <definedName name="Haag.angin" localSheetId="18">#REF!</definedName>
    <definedName name="Haag.angin" localSheetId="17">#REF!</definedName>
    <definedName name="Haag.angin" localSheetId="16">#REF!</definedName>
    <definedName name="Haag.angin" localSheetId="15">#REF!</definedName>
    <definedName name="Haag.angin" localSheetId="14">#REF!</definedName>
    <definedName name="Haag.angin" localSheetId="25">#REF!</definedName>
    <definedName name="Haag.angin" localSheetId="24">#REF!</definedName>
    <definedName name="Haag.angin" localSheetId="23">#REF!</definedName>
    <definedName name="Haag.angin" localSheetId="22">#REF!</definedName>
    <definedName name="Haag.angin" localSheetId="21">#REF!</definedName>
    <definedName name="Haag.angin" localSheetId="20">#REF!</definedName>
    <definedName name="Haag.angin" localSheetId="13">#REF!</definedName>
    <definedName name="Haag.angin" localSheetId="12">#REF!</definedName>
    <definedName name="Haag.angin" localSheetId="11">#REF!</definedName>
    <definedName name="Haag.angin" localSheetId="10">#REF!</definedName>
    <definedName name="Haag.angin" localSheetId="9">#REF!</definedName>
    <definedName name="Haag.angin" localSheetId="8">#REF!</definedName>
    <definedName name="i.2.a" localSheetId="19">#REF!</definedName>
    <definedName name="i.2.a" localSheetId="18">#REF!</definedName>
    <definedName name="i.2.a" localSheetId="17">#REF!</definedName>
    <definedName name="i.2.a" localSheetId="16">#REF!</definedName>
    <definedName name="i.2.a" localSheetId="15">#REF!</definedName>
    <definedName name="i.2.a" localSheetId="14">#REF!</definedName>
    <definedName name="i.2.a" localSheetId="25">#REF!</definedName>
    <definedName name="i.2.a" localSheetId="24">#REF!</definedName>
    <definedName name="i.2.a" localSheetId="23">#REF!</definedName>
    <definedName name="i.2.a" localSheetId="22">#REF!</definedName>
    <definedName name="i.2.a" localSheetId="21">#REF!</definedName>
    <definedName name="i.2.a" localSheetId="20">#REF!</definedName>
    <definedName name="i.2.a" localSheetId="13">#REF!</definedName>
    <definedName name="i.2.a" localSheetId="12">#REF!</definedName>
    <definedName name="i.2.a" localSheetId="11">#REF!</definedName>
    <definedName name="i.2.a" localSheetId="10">#REF!</definedName>
    <definedName name="i.2.a" localSheetId="9">#REF!</definedName>
    <definedName name="i.2.a" localSheetId="8">#REF!</definedName>
    <definedName name="ijuk" localSheetId="19">#REF!</definedName>
    <definedName name="ijuk" localSheetId="18">#REF!</definedName>
    <definedName name="ijuk" localSheetId="17">#REF!</definedName>
    <definedName name="ijuk" localSheetId="16">#REF!</definedName>
    <definedName name="ijuk" localSheetId="15">#REF!</definedName>
    <definedName name="ijuk" localSheetId="14">#REF!</definedName>
    <definedName name="ijuk" localSheetId="25">#REF!</definedName>
    <definedName name="ijuk" localSheetId="24">#REF!</definedName>
    <definedName name="ijuk" localSheetId="23">#REF!</definedName>
    <definedName name="ijuk" localSheetId="22">#REF!</definedName>
    <definedName name="ijuk" localSheetId="21">#REF!</definedName>
    <definedName name="ijuk" localSheetId="20">#REF!</definedName>
    <definedName name="ijuk" localSheetId="13">#REF!</definedName>
    <definedName name="ijuk" localSheetId="12">#REF!</definedName>
    <definedName name="ijuk" localSheetId="11">#REF!</definedName>
    <definedName name="ijuk" localSheetId="10">#REF!</definedName>
    <definedName name="ijuk" localSheetId="9">#REF!</definedName>
    <definedName name="ijuk" localSheetId="8">#REF!</definedName>
    <definedName name="Jaga.Malam" localSheetId="19">#REF!</definedName>
    <definedName name="Jaga.Malam" localSheetId="18">#REF!</definedName>
    <definedName name="Jaga.Malam" localSheetId="17">#REF!</definedName>
    <definedName name="Jaga.Malam" localSheetId="16">#REF!</definedName>
    <definedName name="Jaga.Malam" localSheetId="15">#REF!</definedName>
    <definedName name="Jaga.Malam" localSheetId="14">#REF!</definedName>
    <definedName name="Jaga.Malam" localSheetId="25">#REF!</definedName>
    <definedName name="Jaga.Malam" localSheetId="24">#REF!</definedName>
    <definedName name="Jaga.Malam" localSheetId="23">#REF!</definedName>
    <definedName name="Jaga.Malam" localSheetId="22">#REF!</definedName>
    <definedName name="Jaga.Malam" localSheetId="21">#REF!</definedName>
    <definedName name="Jaga.Malam" localSheetId="20">#REF!</definedName>
    <definedName name="Jaga.Malam" localSheetId="13">#REF!</definedName>
    <definedName name="Jaga.Malam" localSheetId="12">#REF!</definedName>
    <definedName name="Jaga.Malam" localSheetId="11">#REF!</definedName>
    <definedName name="Jaga.Malam" localSheetId="10">#REF!</definedName>
    <definedName name="Jaga.Malam" localSheetId="9">#REF!</definedName>
    <definedName name="Jaga.Malam" localSheetId="8">#REF!</definedName>
    <definedName name="JM.5" localSheetId="19">#REF!</definedName>
    <definedName name="JM.5" localSheetId="18">#REF!</definedName>
    <definedName name="JM.5" localSheetId="17">#REF!</definedName>
    <definedName name="JM.5" localSheetId="16">#REF!</definedName>
    <definedName name="JM.5" localSheetId="15">#REF!</definedName>
    <definedName name="JM.5" localSheetId="14">#REF!</definedName>
    <definedName name="JM.5" localSheetId="25">#REF!</definedName>
    <definedName name="JM.5" localSheetId="24">#REF!</definedName>
    <definedName name="JM.5" localSheetId="23">#REF!</definedName>
    <definedName name="JM.5" localSheetId="22">#REF!</definedName>
    <definedName name="JM.5" localSheetId="21">#REF!</definedName>
    <definedName name="JM.5" localSheetId="20">#REF!</definedName>
    <definedName name="JM.5" localSheetId="13">#REF!</definedName>
    <definedName name="JM.5" localSheetId="12">#REF!</definedName>
    <definedName name="JM.5" localSheetId="11">#REF!</definedName>
    <definedName name="JM.5" localSheetId="10">#REF!</definedName>
    <definedName name="JM.5" localSheetId="9">#REF!</definedName>
    <definedName name="JM.5" localSheetId="8">#REF!</definedName>
    <definedName name="JML_BS" localSheetId="13">[5]KEL!$N$11:$N$1995</definedName>
    <definedName name="JML_BS" localSheetId="12">[5]KEL!$N$11:$N$1995</definedName>
    <definedName name="JML_BS" localSheetId="11">[5]KEL!$N$11:$N$1995</definedName>
    <definedName name="JML_BS" localSheetId="10">[5]KEL!$N$11:$N$1995</definedName>
    <definedName name="JML_BS" localSheetId="9">[5]KEL!$N$11:$N$1995</definedName>
    <definedName name="JML_BS" localSheetId="8">[5]KEL!$N$11:$N$1995</definedName>
    <definedName name="JML_BS">[6]KEL!$N$11:$N$1995</definedName>
    <definedName name="JML_KMH" localSheetId="13">[5]KEL!$O$11:$O$1995</definedName>
    <definedName name="JML_KMH" localSheetId="12">[5]KEL!$O$11:$O$1995</definedName>
    <definedName name="JML_KMH" localSheetId="11">[5]KEL!$O$11:$O$1995</definedName>
    <definedName name="JML_KMH" localSheetId="10">[5]KEL!$O$11:$O$1995</definedName>
    <definedName name="JML_KMH" localSheetId="9">[5]KEL!$O$11:$O$1995</definedName>
    <definedName name="JML_KMH" localSheetId="8">[5]KEL!$O$11:$O$1995</definedName>
    <definedName name="JML_KMH">[6]KEL!$O$11:$O$1995</definedName>
    <definedName name="k.125" localSheetId="19">#REF!</definedName>
    <definedName name="k.125" localSheetId="18">#REF!</definedName>
    <definedName name="k.125" localSheetId="17">#REF!</definedName>
    <definedName name="k.125" localSheetId="16">#REF!</definedName>
    <definedName name="k.125" localSheetId="15">#REF!</definedName>
    <definedName name="k.125" localSheetId="14">#REF!</definedName>
    <definedName name="k.125" localSheetId="25">#REF!</definedName>
    <definedName name="k.125" localSheetId="24">#REF!</definedName>
    <definedName name="k.125" localSheetId="23">#REF!</definedName>
    <definedName name="k.125" localSheetId="22">#REF!</definedName>
    <definedName name="k.125" localSheetId="21">#REF!</definedName>
    <definedName name="k.125" localSheetId="20">#REF!</definedName>
    <definedName name="k.125" localSheetId="13">#REF!</definedName>
    <definedName name="k.125" localSheetId="12">#REF!</definedName>
    <definedName name="k.125" localSheetId="11">#REF!</definedName>
    <definedName name="k.125" localSheetId="10">#REF!</definedName>
    <definedName name="k.125" localSheetId="9">#REF!</definedName>
    <definedName name="k.125" localSheetId="8">#REF!</definedName>
    <definedName name="k.175" localSheetId="19">#REF!</definedName>
    <definedName name="k.175" localSheetId="18">#REF!</definedName>
    <definedName name="k.175" localSheetId="17">#REF!</definedName>
    <definedName name="k.175" localSheetId="16">#REF!</definedName>
    <definedName name="k.175" localSheetId="15">#REF!</definedName>
    <definedName name="k.175" localSheetId="14">#REF!</definedName>
    <definedName name="k.175" localSheetId="25">#REF!</definedName>
    <definedName name="k.175" localSheetId="24">#REF!</definedName>
    <definedName name="k.175" localSheetId="23">#REF!</definedName>
    <definedName name="k.175" localSheetId="22">#REF!</definedName>
    <definedName name="k.175" localSheetId="21">#REF!</definedName>
    <definedName name="k.175" localSheetId="20">#REF!</definedName>
    <definedName name="k.175" localSheetId="13">#REF!</definedName>
    <definedName name="k.175" localSheetId="12">#REF!</definedName>
    <definedName name="k.175" localSheetId="11">#REF!</definedName>
    <definedName name="k.175" localSheetId="10">#REF!</definedName>
    <definedName name="k.175" localSheetId="9">#REF!</definedName>
    <definedName name="k.175" localSheetId="8">#REF!</definedName>
    <definedName name="k.225" localSheetId="19">#REF!</definedName>
    <definedName name="k.225" localSheetId="18">#REF!</definedName>
    <definedName name="k.225" localSheetId="17">#REF!</definedName>
    <definedName name="k.225" localSheetId="16">#REF!</definedName>
    <definedName name="k.225" localSheetId="15">#REF!</definedName>
    <definedName name="k.225" localSheetId="14">#REF!</definedName>
    <definedName name="k.225" localSheetId="25">#REF!</definedName>
    <definedName name="k.225" localSheetId="24">#REF!</definedName>
    <definedName name="k.225" localSheetId="23">#REF!</definedName>
    <definedName name="k.225" localSheetId="22">#REF!</definedName>
    <definedName name="k.225" localSheetId="21">#REF!</definedName>
    <definedName name="k.225" localSheetId="20">#REF!</definedName>
    <definedName name="k.225" localSheetId="13">#REF!</definedName>
    <definedName name="k.225" localSheetId="12">#REF!</definedName>
    <definedName name="k.225" localSheetId="11">#REF!</definedName>
    <definedName name="k.225" localSheetId="10">#REF!</definedName>
    <definedName name="k.225" localSheetId="9">#REF!</definedName>
    <definedName name="k.225" localSheetId="8">#REF!</definedName>
    <definedName name="k.35" localSheetId="19">#REF!</definedName>
    <definedName name="k.35" localSheetId="18">#REF!</definedName>
    <definedName name="k.35" localSheetId="17">#REF!</definedName>
    <definedName name="k.35" localSheetId="16">#REF!</definedName>
    <definedName name="k.35" localSheetId="15">#REF!</definedName>
    <definedName name="k.35" localSheetId="14">#REF!</definedName>
    <definedName name="k.35" localSheetId="25">#REF!</definedName>
    <definedName name="k.35" localSheetId="24">#REF!</definedName>
    <definedName name="k.35" localSheetId="23">#REF!</definedName>
    <definedName name="k.35" localSheetId="22">#REF!</definedName>
    <definedName name="k.35" localSheetId="21">#REF!</definedName>
    <definedName name="k.35" localSheetId="20">#REF!</definedName>
    <definedName name="k.35" localSheetId="13">#REF!</definedName>
    <definedName name="k.35" localSheetId="12">#REF!</definedName>
    <definedName name="k.35" localSheetId="11">#REF!</definedName>
    <definedName name="k.35" localSheetId="10">#REF!</definedName>
    <definedName name="k.35" localSheetId="9">#REF!</definedName>
    <definedName name="k.35" localSheetId="8">#REF!</definedName>
    <definedName name="k.6" localSheetId="19">#REF!</definedName>
    <definedName name="k.6" localSheetId="18">#REF!</definedName>
    <definedName name="k.6" localSheetId="17">#REF!</definedName>
    <definedName name="k.6" localSheetId="16">#REF!</definedName>
    <definedName name="k.6" localSheetId="15">#REF!</definedName>
    <definedName name="k.6" localSheetId="14">#REF!</definedName>
    <definedName name="k.6" localSheetId="25">#REF!</definedName>
    <definedName name="k.6" localSheetId="24">#REF!</definedName>
    <definedName name="k.6" localSheetId="23">#REF!</definedName>
    <definedName name="k.6" localSheetId="22">#REF!</definedName>
    <definedName name="k.6" localSheetId="21">#REF!</definedName>
    <definedName name="k.6" localSheetId="20">#REF!</definedName>
    <definedName name="k.6" localSheetId="13">#REF!</definedName>
    <definedName name="k.6" localSheetId="12">#REF!</definedName>
    <definedName name="k.6" localSheetId="11">#REF!</definedName>
    <definedName name="k.6" localSheetId="10">#REF!</definedName>
    <definedName name="k.6" localSheetId="9">#REF!</definedName>
    <definedName name="k.6" localSheetId="8">#REF!</definedName>
    <definedName name="k.7" localSheetId="19">#REF!</definedName>
    <definedName name="k.7" localSheetId="18">#REF!</definedName>
    <definedName name="k.7" localSheetId="17">#REF!</definedName>
    <definedName name="k.7" localSheetId="16">#REF!</definedName>
    <definedName name="k.7" localSheetId="15">#REF!</definedName>
    <definedName name="k.7" localSheetId="14">#REF!</definedName>
    <definedName name="k.7" localSheetId="25">#REF!</definedName>
    <definedName name="k.7" localSheetId="24">#REF!</definedName>
    <definedName name="k.7" localSheetId="23">#REF!</definedName>
    <definedName name="k.7" localSheetId="22">#REF!</definedName>
    <definedName name="k.7" localSheetId="21">#REF!</definedName>
    <definedName name="k.7" localSheetId="20">#REF!</definedName>
    <definedName name="k.7" localSheetId="13">#REF!</definedName>
    <definedName name="k.7" localSheetId="12">#REF!</definedName>
    <definedName name="k.7" localSheetId="11">#REF!</definedName>
    <definedName name="k.7" localSheetId="10">#REF!</definedName>
    <definedName name="k.7" localSheetId="9">#REF!</definedName>
    <definedName name="k.7" localSheetId="8">#REF!</definedName>
    <definedName name="k.9" localSheetId="19">#REF!</definedName>
    <definedName name="k.9" localSheetId="18">#REF!</definedName>
    <definedName name="k.9" localSheetId="17">#REF!</definedName>
    <definedName name="k.9" localSheetId="16">#REF!</definedName>
    <definedName name="k.9" localSheetId="15">#REF!</definedName>
    <definedName name="k.9" localSheetId="14">#REF!</definedName>
    <definedName name="k.9" localSheetId="25">#REF!</definedName>
    <definedName name="k.9" localSheetId="24">#REF!</definedName>
    <definedName name="k.9" localSheetId="23">#REF!</definedName>
    <definedName name="k.9" localSheetId="22">#REF!</definedName>
    <definedName name="k.9" localSheetId="21">#REF!</definedName>
    <definedName name="k.9" localSheetId="20">#REF!</definedName>
    <definedName name="k.9" localSheetId="13">#REF!</definedName>
    <definedName name="k.9" localSheetId="12">#REF!</definedName>
    <definedName name="k.9" localSheetId="11">#REF!</definedName>
    <definedName name="k.9" localSheetId="10">#REF!</definedName>
    <definedName name="k.9" localSheetId="9">#REF!</definedName>
    <definedName name="k.9" localSheetId="8">#REF!</definedName>
    <definedName name="k.9.a" localSheetId="19">#REF!</definedName>
    <definedName name="k.9.a" localSheetId="18">#REF!</definedName>
    <definedName name="k.9.a" localSheetId="17">#REF!</definedName>
    <definedName name="k.9.a" localSheetId="16">#REF!</definedName>
    <definedName name="k.9.a" localSheetId="15">#REF!</definedName>
    <definedName name="k.9.a" localSheetId="14">#REF!</definedName>
    <definedName name="k.9.a" localSheetId="25">#REF!</definedName>
    <definedName name="k.9.a" localSheetId="24">#REF!</definedName>
    <definedName name="k.9.a" localSheetId="23">#REF!</definedName>
    <definedName name="k.9.a" localSheetId="22">#REF!</definedName>
    <definedName name="k.9.a" localSheetId="21">#REF!</definedName>
    <definedName name="k.9.a" localSheetId="20">#REF!</definedName>
    <definedName name="k.9.a" localSheetId="13">#REF!</definedName>
    <definedName name="k.9.a" localSheetId="12">#REF!</definedName>
    <definedName name="k.9.a" localSheetId="11">#REF!</definedName>
    <definedName name="k.9.a" localSheetId="10">#REF!</definedName>
    <definedName name="k.9.a" localSheetId="9">#REF!</definedName>
    <definedName name="k.9.a" localSheetId="8">#REF!</definedName>
    <definedName name="kaca.3mm" localSheetId="19">#REF!</definedName>
    <definedName name="kaca.3mm" localSheetId="18">#REF!</definedName>
    <definedName name="kaca.3mm" localSheetId="17">#REF!</definedName>
    <definedName name="kaca.3mm" localSheetId="16">#REF!</definedName>
    <definedName name="kaca.3mm" localSheetId="15">#REF!</definedName>
    <definedName name="kaca.3mm" localSheetId="14">#REF!</definedName>
    <definedName name="kaca.3mm" localSheetId="25">#REF!</definedName>
    <definedName name="kaca.3mm" localSheetId="24">#REF!</definedName>
    <definedName name="kaca.3mm" localSheetId="23">#REF!</definedName>
    <definedName name="kaca.3mm" localSheetId="22">#REF!</definedName>
    <definedName name="kaca.3mm" localSheetId="21">#REF!</definedName>
    <definedName name="kaca.3mm" localSheetId="20">#REF!</definedName>
    <definedName name="kaca.3mm" localSheetId="13">#REF!</definedName>
    <definedName name="kaca.3mm" localSheetId="12">#REF!</definedName>
    <definedName name="kaca.3mm" localSheetId="11">#REF!</definedName>
    <definedName name="kaca.3mm" localSheetId="10">#REF!</definedName>
    <definedName name="kaca.3mm" localSheetId="9">#REF!</definedName>
    <definedName name="kaca.3mm" localSheetId="8">#REF!</definedName>
    <definedName name="kaca.5mm" localSheetId="19">#REF!</definedName>
    <definedName name="kaca.5mm" localSheetId="18">#REF!</definedName>
    <definedName name="kaca.5mm" localSheetId="17">#REF!</definedName>
    <definedName name="kaca.5mm" localSheetId="16">#REF!</definedName>
    <definedName name="kaca.5mm" localSheetId="15">#REF!</definedName>
    <definedName name="kaca.5mm" localSheetId="14">#REF!</definedName>
    <definedName name="kaca.5mm" localSheetId="25">#REF!</definedName>
    <definedName name="kaca.5mm" localSheetId="24">#REF!</definedName>
    <definedName name="kaca.5mm" localSheetId="23">#REF!</definedName>
    <definedName name="kaca.5mm" localSheetId="22">#REF!</definedName>
    <definedName name="kaca.5mm" localSheetId="21">#REF!</definedName>
    <definedName name="kaca.5mm" localSheetId="20">#REF!</definedName>
    <definedName name="kaca.5mm" localSheetId="13">#REF!</definedName>
    <definedName name="kaca.5mm" localSheetId="12">#REF!</definedName>
    <definedName name="kaca.5mm" localSheetId="11">#REF!</definedName>
    <definedName name="kaca.5mm" localSheetId="10">#REF!</definedName>
    <definedName name="kaca.5mm" localSheetId="9">#REF!</definedName>
    <definedName name="kaca.5mm" localSheetId="8">#REF!</definedName>
    <definedName name="kaca.riben3" localSheetId="19">#REF!</definedName>
    <definedName name="kaca.riben3" localSheetId="18">#REF!</definedName>
    <definedName name="kaca.riben3" localSheetId="17">#REF!</definedName>
    <definedName name="kaca.riben3" localSheetId="16">#REF!</definedName>
    <definedName name="kaca.riben3" localSheetId="15">#REF!</definedName>
    <definedName name="kaca.riben3" localSheetId="14">#REF!</definedName>
    <definedName name="kaca.riben3" localSheetId="25">#REF!</definedName>
    <definedName name="kaca.riben3" localSheetId="24">#REF!</definedName>
    <definedName name="kaca.riben3" localSheetId="23">#REF!</definedName>
    <definedName name="kaca.riben3" localSheetId="22">#REF!</definedName>
    <definedName name="kaca.riben3" localSheetId="21">#REF!</definedName>
    <definedName name="kaca.riben3" localSheetId="20">#REF!</definedName>
    <definedName name="kaca.riben3" localSheetId="13">#REF!</definedName>
    <definedName name="kaca.riben3" localSheetId="12">#REF!</definedName>
    <definedName name="kaca.riben3" localSheetId="11">#REF!</definedName>
    <definedName name="kaca.riben3" localSheetId="10">#REF!</definedName>
    <definedName name="kaca.riben3" localSheetId="9">#REF!</definedName>
    <definedName name="kaca.riben3" localSheetId="8">#REF!</definedName>
    <definedName name="kaca.riben5" localSheetId="19">#REF!</definedName>
    <definedName name="kaca.riben5" localSheetId="18">#REF!</definedName>
    <definedName name="kaca.riben5" localSheetId="17">#REF!</definedName>
    <definedName name="kaca.riben5" localSheetId="16">#REF!</definedName>
    <definedName name="kaca.riben5" localSheetId="15">#REF!</definedName>
    <definedName name="kaca.riben5" localSheetId="14">#REF!</definedName>
    <definedName name="kaca.riben5" localSheetId="25">#REF!</definedName>
    <definedName name="kaca.riben5" localSheetId="24">#REF!</definedName>
    <definedName name="kaca.riben5" localSheetId="23">#REF!</definedName>
    <definedName name="kaca.riben5" localSheetId="22">#REF!</definedName>
    <definedName name="kaca.riben5" localSheetId="21">#REF!</definedName>
    <definedName name="kaca.riben5" localSheetId="20">#REF!</definedName>
    <definedName name="kaca.riben5" localSheetId="13">#REF!</definedName>
    <definedName name="kaca.riben5" localSheetId="12">#REF!</definedName>
    <definedName name="kaca.riben5" localSheetId="11">#REF!</definedName>
    <definedName name="kaca.riben5" localSheetId="10">#REF!</definedName>
    <definedName name="kaca.riben5" localSheetId="9">#REF!</definedName>
    <definedName name="kaca.riben5" localSheetId="8">#REF!</definedName>
    <definedName name="Kaporit" localSheetId="19">#REF!</definedName>
    <definedName name="Kaporit" localSheetId="18">#REF!</definedName>
    <definedName name="Kaporit" localSheetId="17">#REF!</definedName>
    <definedName name="Kaporit" localSheetId="16">#REF!</definedName>
    <definedName name="Kaporit" localSheetId="15">#REF!</definedName>
    <definedName name="Kaporit" localSheetId="14">#REF!</definedName>
    <definedName name="Kaporit" localSheetId="25">#REF!</definedName>
    <definedName name="Kaporit" localSheetId="24">#REF!</definedName>
    <definedName name="Kaporit" localSheetId="23">#REF!</definedName>
    <definedName name="Kaporit" localSheetId="22">#REF!</definedName>
    <definedName name="Kaporit" localSheetId="21">#REF!</definedName>
    <definedName name="Kaporit" localSheetId="20">#REF!</definedName>
    <definedName name="Kaporit" localSheetId="13">#REF!</definedName>
    <definedName name="Kaporit" localSheetId="12">#REF!</definedName>
    <definedName name="Kaporit" localSheetId="11">#REF!</definedName>
    <definedName name="Kaporit" localSheetId="10">#REF!</definedName>
    <definedName name="Kaporit" localSheetId="9">#REF!</definedName>
    <definedName name="Kaporit" localSheetId="8">#REF!</definedName>
    <definedName name="kawat.3.4" localSheetId="19">#REF!</definedName>
    <definedName name="kawat.3.4" localSheetId="18">#REF!</definedName>
    <definedName name="kawat.3.4" localSheetId="17">#REF!</definedName>
    <definedName name="kawat.3.4" localSheetId="16">#REF!</definedName>
    <definedName name="kawat.3.4" localSheetId="15">#REF!</definedName>
    <definedName name="kawat.3.4" localSheetId="14">#REF!</definedName>
    <definedName name="kawat.3.4" localSheetId="25">#REF!</definedName>
    <definedName name="kawat.3.4" localSheetId="24">#REF!</definedName>
    <definedName name="kawat.3.4" localSheetId="23">#REF!</definedName>
    <definedName name="kawat.3.4" localSheetId="22">#REF!</definedName>
    <definedName name="kawat.3.4" localSheetId="21">#REF!</definedName>
    <definedName name="kawat.3.4" localSheetId="20">#REF!</definedName>
    <definedName name="kawat.3.4" localSheetId="13">#REF!</definedName>
    <definedName name="kawat.3.4" localSheetId="12">#REF!</definedName>
    <definedName name="kawat.3.4" localSheetId="11">#REF!</definedName>
    <definedName name="kawat.3.4" localSheetId="10">#REF!</definedName>
    <definedName name="kawat.3.4" localSheetId="9">#REF!</definedName>
    <definedName name="kawat.3.4" localSheetId="8">#REF!</definedName>
    <definedName name="kawat.beton" localSheetId="19">#REF!</definedName>
    <definedName name="kawat.beton" localSheetId="18">#REF!</definedName>
    <definedName name="kawat.beton" localSheetId="17">#REF!</definedName>
    <definedName name="kawat.beton" localSheetId="16">#REF!</definedName>
    <definedName name="kawat.beton" localSheetId="15">#REF!</definedName>
    <definedName name="kawat.beton" localSheetId="14">#REF!</definedName>
    <definedName name="kawat.beton" localSheetId="25">#REF!</definedName>
    <definedName name="kawat.beton" localSheetId="24">#REF!</definedName>
    <definedName name="kawat.beton" localSheetId="23">#REF!</definedName>
    <definedName name="kawat.beton" localSheetId="22">#REF!</definedName>
    <definedName name="kawat.beton" localSheetId="21">#REF!</definedName>
    <definedName name="kawat.beton" localSheetId="20">#REF!</definedName>
    <definedName name="kawat.beton" localSheetId="13">#REF!</definedName>
    <definedName name="kawat.beton" localSheetId="12">#REF!</definedName>
    <definedName name="kawat.beton" localSheetId="11">#REF!</definedName>
    <definedName name="kawat.beton" localSheetId="10">#REF!</definedName>
    <definedName name="kawat.beton" localSheetId="9">#REF!</definedName>
    <definedName name="kawat.beton" localSheetId="8">#REF!</definedName>
    <definedName name="kawat.las" localSheetId="19">#REF!</definedName>
    <definedName name="kawat.las" localSheetId="18">#REF!</definedName>
    <definedName name="kawat.las" localSheetId="17">#REF!</definedName>
    <definedName name="kawat.las" localSheetId="16">#REF!</definedName>
    <definedName name="kawat.las" localSheetId="15">#REF!</definedName>
    <definedName name="kawat.las" localSheetId="14">#REF!</definedName>
    <definedName name="kawat.las" localSheetId="25">#REF!</definedName>
    <definedName name="kawat.las" localSheetId="24">#REF!</definedName>
    <definedName name="kawat.las" localSheetId="23">#REF!</definedName>
    <definedName name="kawat.las" localSheetId="22">#REF!</definedName>
    <definedName name="kawat.las" localSheetId="21">#REF!</definedName>
    <definedName name="kawat.las" localSheetId="20">#REF!</definedName>
    <definedName name="kawat.las" localSheetId="13">#REF!</definedName>
    <definedName name="kawat.las" localSheetId="12">#REF!</definedName>
    <definedName name="kawat.las" localSheetId="11">#REF!</definedName>
    <definedName name="kawat.las" localSheetId="10">#REF!</definedName>
    <definedName name="kawat.las" localSheetId="9">#REF!</definedName>
    <definedName name="kawat.las" localSheetId="8">#REF!</definedName>
    <definedName name="kayu.bakar" localSheetId="19">#REF!</definedName>
    <definedName name="kayu.bakar" localSheetId="18">#REF!</definedName>
    <definedName name="kayu.bakar" localSheetId="17">#REF!</definedName>
    <definedName name="kayu.bakar" localSheetId="16">#REF!</definedName>
    <definedName name="kayu.bakar" localSheetId="15">#REF!</definedName>
    <definedName name="kayu.bakar" localSheetId="14">#REF!</definedName>
    <definedName name="kayu.bakar" localSheetId="25">#REF!</definedName>
    <definedName name="kayu.bakar" localSheetId="24">#REF!</definedName>
    <definedName name="kayu.bakar" localSheetId="23">#REF!</definedName>
    <definedName name="kayu.bakar" localSheetId="22">#REF!</definedName>
    <definedName name="kayu.bakar" localSheetId="21">#REF!</definedName>
    <definedName name="kayu.bakar" localSheetId="20">#REF!</definedName>
    <definedName name="kayu.bakar" localSheetId="13">#REF!</definedName>
    <definedName name="kayu.bakar" localSheetId="12">#REF!</definedName>
    <definedName name="kayu.bakar" localSheetId="11">#REF!</definedName>
    <definedName name="kayu.bakar" localSheetId="10">#REF!</definedName>
    <definedName name="kayu.bakar" localSheetId="9">#REF!</definedName>
    <definedName name="kayu.bakar" localSheetId="8">#REF!</definedName>
    <definedName name="keg" localSheetId="18">'[9]{master}'!$H$4:$H$101</definedName>
    <definedName name="keg" localSheetId="17">'[10]{master}'!$H$4:$H$101</definedName>
    <definedName name="keg" localSheetId="16">'[11]{master}'!$H$4:$H$101</definedName>
    <definedName name="keg">'[12]{master}'!$H$4:$H$101</definedName>
    <definedName name="Kegiatan" localSheetId="13">[13]Parameter!$B$3:$B$96</definedName>
    <definedName name="Kegiatan" localSheetId="12">[13]Parameter!$B$3:$B$96</definedName>
    <definedName name="Kegiatan" localSheetId="11">[13]Parameter!$B$3:$B$96</definedName>
    <definedName name="Kegiatan" localSheetId="10">[13]Parameter!$B$3:$B$96</definedName>
    <definedName name="Kegiatan" localSheetId="9">[13]Parameter!$B$3:$B$96</definedName>
    <definedName name="Kegiatan" localSheetId="8">[13]Parameter!$B$3:$B$96</definedName>
    <definedName name="Kegiatan">[14]Parameter!$B$3:$B$96</definedName>
    <definedName name="kep.penganyam" localSheetId="19">#REF!</definedName>
    <definedName name="kep.penganyam" localSheetId="18">#REF!</definedName>
    <definedName name="kep.penganyam" localSheetId="17">#REF!</definedName>
    <definedName name="kep.penganyam" localSheetId="16">#REF!</definedName>
    <definedName name="kep.penganyam" localSheetId="15">#REF!</definedName>
    <definedName name="kep.penganyam" localSheetId="14">#REF!</definedName>
    <definedName name="kep.penganyam" localSheetId="25">#REF!</definedName>
    <definedName name="kep.penganyam" localSheetId="24">#REF!</definedName>
    <definedName name="kep.penganyam" localSheetId="23">#REF!</definedName>
    <definedName name="kep.penganyam" localSheetId="22">#REF!</definedName>
    <definedName name="kep.penganyam" localSheetId="21">#REF!</definedName>
    <definedName name="kep.penganyam" localSheetId="20">#REF!</definedName>
    <definedName name="kep.penganyam" localSheetId="13">#REF!</definedName>
    <definedName name="kep.penganyam" localSheetId="12">#REF!</definedName>
    <definedName name="kep.penganyam" localSheetId="11">#REF!</definedName>
    <definedName name="kep.penganyam" localSheetId="10">#REF!</definedName>
    <definedName name="kep.penganyam" localSheetId="9">#REF!</definedName>
    <definedName name="kep.penganyam" localSheetId="8">#REF!</definedName>
    <definedName name="kep.tk" localSheetId="19">#REF!</definedName>
    <definedName name="kep.tk" localSheetId="18">#REF!</definedName>
    <definedName name="kep.tk" localSheetId="17">#REF!</definedName>
    <definedName name="kep.tk" localSheetId="16">#REF!</definedName>
    <definedName name="kep.tk" localSheetId="15">#REF!</definedName>
    <definedName name="kep.tk" localSheetId="14">#REF!</definedName>
    <definedName name="kep.tk" localSheetId="25">#REF!</definedName>
    <definedName name="kep.tk" localSheetId="24">#REF!</definedName>
    <definedName name="kep.tk" localSheetId="23">#REF!</definedName>
    <definedName name="kep.tk" localSheetId="22">#REF!</definedName>
    <definedName name="kep.tk" localSheetId="21">#REF!</definedName>
    <definedName name="kep.tk" localSheetId="20">#REF!</definedName>
    <definedName name="kep.tk" localSheetId="13">#REF!</definedName>
    <definedName name="kep.tk" localSheetId="12">#REF!</definedName>
    <definedName name="kep.tk" localSheetId="11">#REF!</definedName>
    <definedName name="kep.tk" localSheetId="10">#REF!</definedName>
    <definedName name="kep.tk" localSheetId="9">#REF!</definedName>
    <definedName name="kep.tk" localSheetId="8">#REF!</definedName>
    <definedName name="kep.tk.batu" localSheetId="19">#REF!</definedName>
    <definedName name="kep.tk.batu" localSheetId="18">#REF!</definedName>
    <definedName name="kep.tk.batu" localSheetId="17">#REF!</definedName>
    <definedName name="kep.tk.batu" localSheetId="16">#REF!</definedName>
    <definedName name="kep.tk.batu" localSheetId="15">#REF!</definedName>
    <definedName name="kep.tk.batu" localSheetId="14">#REF!</definedName>
    <definedName name="kep.tk.batu" localSheetId="25">#REF!</definedName>
    <definedName name="kep.tk.batu" localSheetId="24">#REF!</definedName>
    <definedName name="kep.tk.batu" localSheetId="23">#REF!</definedName>
    <definedName name="kep.tk.batu" localSheetId="22">#REF!</definedName>
    <definedName name="kep.tk.batu" localSheetId="21">#REF!</definedName>
    <definedName name="kep.tk.batu" localSheetId="20">#REF!</definedName>
    <definedName name="kep.tk.batu" localSheetId="13">#REF!</definedName>
    <definedName name="kep.tk.batu" localSheetId="12">#REF!</definedName>
    <definedName name="kep.tk.batu" localSheetId="11">#REF!</definedName>
    <definedName name="kep.tk.batu" localSheetId="10">#REF!</definedName>
    <definedName name="kep.tk.batu" localSheetId="9">#REF!</definedName>
    <definedName name="kep.tk.batu" localSheetId="8">#REF!</definedName>
    <definedName name="kep.tk.besi" localSheetId="19">#REF!</definedName>
    <definedName name="kep.tk.besi" localSheetId="18">#REF!</definedName>
    <definedName name="kep.tk.besi" localSheetId="17">#REF!</definedName>
    <definedName name="kep.tk.besi" localSheetId="16">#REF!</definedName>
    <definedName name="kep.tk.besi" localSheetId="15">#REF!</definedName>
    <definedName name="kep.tk.besi" localSheetId="14">#REF!</definedName>
    <definedName name="kep.tk.besi" localSheetId="25">#REF!</definedName>
    <definedName name="kep.tk.besi" localSheetId="24">#REF!</definedName>
    <definedName name="kep.tk.besi" localSheetId="23">#REF!</definedName>
    <definedName name="kep.tk.besi" localSheetId="22">#REF!</definedName>
    <definedName name="kep.tk.besi" localSheetId="21">#REF!</definedName>
    <definedName name="kep.tk.besi" localSheetId="20">#REF!</definedName>
    <definedName name="kep.tk.besi" localSheetId="13">#REF!</definedName>
    <definedName name="kep.tk.besi" localSheetId="12">#REF!</definedName>
    <definedName name="kep.tk.besi" localSheetId="11">#REF!</definedName>
    <definedName name="kep.tk.besi" localSheetId="10">#REF!</definedName>
    <definedName name="kep.tk.besi" localSheetId="9">#REF!</definedName>
    <definedName name="kep.tk.besi" localSheetId="8">#REF!</definedName>
    <definedName name="kep.tk.kayu" localSheetId="19">#REF!</definedName>
    <definedName name="kep.tk.kayu" localSheetId="18">#REF!</definedName>
    <definedName name="kep.tk.kayu" localSheetId="17">#REF!</definedName>
    <definedName name="kep.tk.kayu" localSheetId="16">#REF!</definedName>
    <definedName name="kep.tk.kayu" localSheetId="15">#REF!</definedName>
    <definedName name="kep.tk.kayu" localSheetId="14">#REF!</definedName>
    <definedName name="kep.tk.kayu" localSheetId="25">#REF!</definedName>
    <definedName name="kep.tk.kayu" localSheetId="24">#REF!</definedName>
    <definedName name="kep.tk.kayu" localSheetId="23">#REF!</definedName>
    <definedName name="kep.tk.kayu" localSheetId="22">#REF!</definedName>
    <definedName name="kep.tk.kayu" localSheetId="21">#REF!</definedName>
    <definedName name="kep.tk.kayu" localSheetId="20">#REF!</definedName>
    <definedName name="kep.tk.kayu" localSheetId="13">#REF!</definedName>
    <definedName name="kep.tk.kayu" localSheetId="12">#REF!</definedName>
    <definedName name="kep.tk.kayu" localSheetId="11">#REF!</definedName>
    <definedName name="kep.tk.kayu" localSheetId="10">#REF!</definedName>
    <definedName name="kep.tk.kayu" localSheetId="9">#REF!</definedName>
    <definedName name="kep.tk.kayu" localSheetId="8">#REF!</definedName>
    <definedName name="kep.tk.las" localSheetId="19">#REF!</definedName>
    <definedName name="kep.tk.las" localSheetId="18">#REF!</definedName>
    <definedName name="kep.tk.las" localSheetId="17">#REF!</definedName>
    <definedName name="kep.tk.las" localSheetId="16">#REF!</definedName>
    <definedName name="kep.tk.las" localSheetId="15">#REF!</definedName>
    <definedName name="kep.tk.las" localSheetId="14">#REF!</definedName>
    <definedName name="kep.tk.las" localSheetId="25">#REF!</definedName>
    <definedName name="kep.tk.las" localSheetId="24">#REF!</definedName>
    <definedName name="kep.tk.las" localSheetId="23">#REF!</definedName>
    <definedName name="kep.tk.las" localSheetId="22">#REF!</definedName>
    <definedName name="kep.tk.las" localSheetId="21">#REF!</definedName>
    <definedName name="kep.tk.las" localSheetId="20">#REF!</definedName>
    <definedName name="kep.tk.las" localSheetId="13">#REF!</definedName>
    <definedName name="kep.tk.las" localSheetId="12">#REF!</definedName>
    <definedName name="kep.tk.las" localSheetId="11">#REF!</definedName>
    <definedName name="kep.tk.las" localSheetId="10">#REF!</definedName>
    <definedName name="kep.tk.las" localSheetId="9">#REF!</definedName>
    <definedName name="kep.tk.las" localSheetId="8">#REF!</definedName>
    <definedName name="kep.tk.pipa" localSheetId="19">#REF!</definedName>
    <definedName name="kep.tk.pipa" localSheetId="18">#REF!</definedName>
    <definedName name="kep.tk.pipa" localSheetId="17">#REF!</definedName>
    <definedName name="kep.tk.pipa" localSheetId="16">#REF!</definedName>
    <definedName name="kep.tk.pipa" localSheetId="15">#REF!</definedName>
    <definedName name="kep.tk.pipa" localSheetId="14">#REF!</definedName>
    <definedName name="kep.tk.pipa" localSheetId="25">#REF!</definedName>
    <definedName name="kep.tk.pipa" localSheetId="24">#REF!</definedName>
    <definedName name="kep.tk.pipa" localSheetId="23">#REF!</definedName>
    <definedName name="kep.tk.pipa" localSheetId="22">#REF!</definedName>
    <definedName name="kep.tk.pipa" localSheetId="21">#REF!</definedName>
    <definedName name="kep.tk.pipa" localSheetId="20">#REF!</definedName>
    <definedName name="kep.tk.pipa" localSheetId="13">#REF!</definedName>
    <definedName name="kep.tk.pipa" localSheetId="12">#REF!</definedName>
    <definedName name="kep.tk.pipa" localSheetId="11">#REF!</definedName>
    <definedName name="kep.tk.pipa" localSheetId="10">#REF!</definedName>
    <definedName name="kep.tk.pipa" localSheetId="9">#REF!</definedName>
    <definedName name="kep.tk.pipa" localSheetId="8">#REF!</definedName>
    <definedName name="keramik.1" localSheetId="19">#REF!</definedName>
    <definedName name="keramik.1" localSheetId="18">#REF!</definedName>
    <definedName name="keramik.1" localSheetId="17">#REF!</definedName>
    <definedName name="keramik.1" localSheetId="16">#REF!</definedName>
    <definedName name="keramik.1" localSheetId="15">#REF!</definedName>
    <definedName name="keramik.1" localSheetId="14">#REF!</definedName>
    <definedName name="keramik.1" localSheetId="25">#REF!</definedName>
    <definedName name="keramik.1" localSheetId="24">#REF!</definedName>
    <definedName name="keramik.1" localSheetId="23">#REF!</definedName>
    <definedName name="keramik.1" localSheetId="22">#REF!</definedName>
    <definedName name="keramik.1" localSheetId="21">#REF!</definedName>
    <definedName name="keramik.1" localSheetId="20">#REF!</definedName>
    <definedName name="keramik.1" localSheetId="13">#REF!</definedName>
    <definedName name="keramik.1" localSheetId="12">#REF!</definedName>
    <definedName name="keramik.1" localSheetId="11">#REF!</definedName>
    <definedName name="keramik.1" localSheetId="10">#REF!</definedName>
    <definedName name="keramik.1" localSheetId="9">#REF!</definedName>
    <definedName name="keramik.1" localSheetId="8">#REF!</definedName>
    <definedName name="keramik.2" localSheetId="19">#REF!</definedName>
    <definedName name="keramik.2" localSheetId="18">#REF!</definedName>
    <definedName name="keramik.2" localSheetId="17">#REF!</definedName>
    <definedName name="keramik.2" localSheetId="16">#REF!</definedName>
    <definedName name="keramik.2" localSheetId="15">#REF!</definedName>
    <definedName name="keramik.2" localSheetId="14">#REF!</definedName>
    <definedName name="keramik.2" localSheetId="25">#REF!</definedName>
    <definedName name="keramik.2" localSheetId="24">#REF!</definedName>
    <definedName name="keramik.2" localSheetId="23">#REF!</definedName>
    <definedName name="keramik.2" localSheetId="22">#REF!</definedName>
    <definedName name="keramik.2" localSheetId="21">#REF!</definedName>
    <definedName name="keramik.2" localSheetId="20">#REF!</definedName>
    <definedName name="keramik.2" localSheetId="13">#REF!</definedName>
    <definedName name="keramik.2" localSheetId="12">#REF!</definedName>
    <definedName name="keramik.2" localSheetId="11">#REF!</definedName>
    <definedName name="keramik.2" localSheetId="10">#REF!</definedName>
    <definedName name="keramik.2" localSheetId="9">#REF!</definedName>
    <definedName name="keramik.2" localSheetId="8">#REF!</definedName>
    <definedName name="keramik.dinding" localSheetId="19">#REF!</definedName>
    <definedName name="keramik.dinding" localSheetId="18">#REF!</definedName>
    <definedName name="keramik.dinding" localSheetId="17">#REF!</definedName>
    <definedName name="keramik.dinding" localSheetId="16">#REF!</definedName>
    <definedName name="keramik.dinding" localSheetId="15">#REF!</definedName>
    <definedName name="keramik.dinding" localSheetId="14">#REF!</definedName>
    <definedName name="keramik.dinding" localSheetId="25">#REF!</definedName>
    <definedName name="keramik.dinding" localSheetId="24">#REF!</definedName>
    <definedName name="keramik.dinding" localSheetId="23">#REF!</definedName>
    <definedName name="keramik.dinding" localSheetId="22">#REF!</definedName>
    <definedName name="keramik.dinding" localSheetId="21">#REF!</definedName>
    <definedName name="keramik.dinding" localSheetId="20">#REF!</definedName>
    <definedName name="keramik.dinding" localSheetId="13">#REF!</definedName>
    <definedName name="keramik.dinding" localSheetId="12">#REF!</definedName>
    <definedName name="keramik.dinding" localSheetId="11">#REF!</definedName>
    <definedName name="keramik.dinding" localSheetId="10">#REF!</definedName>
    <definedName name="keramik.dinding" localSheetId="9">#REF!</definedName>
    <definedName name="keramik.dinding" localSheetId="8">#REF!</definedName>
    <definedName name="kerikil.2" localSheetId="19">#REF!</definedName>
    <definedName name="kerikil.2" localSheetId="18">#REF!</definedName>
    <definedName name="kerikil.2" localSheetId="17">#REF!</definedName>
    <definedName name="kerikil.2" localSheetId="16">#REF!</definedName>
    <definedName name="kerikil.2" localSheetId="15">#REF!</definedName>
    <definedName name="kerikil.2" localSheetId="14">#REF!</definedName>
    <definedName name="kerikil.2" localSheetId="25">#REF!</definedName>
    <definedName name="kerikil.2" localSheetId="24">#REF!</definedName>
    <definedName name="kerikil.2" localSheetId="23">#REF!</definedName>
    <definedName name="kerikil.2" localSheetId="22">#REF!</definedName>
    <definedName name="kerikil.2" localSheetId="21">#REF!</definedName>
    <definedName name="kerikil.2" localSheetId="20">#REF!</definedName>
    <definedName name="kerikil.2" localSheetId="13">#REF!</definedName>
    <definedName name="kerikil.2" localSheetId="12">#REF!</definedName>
    <definedName name="kerikil.2" localSheetId="11">#REF!</definedName>
    <definedName name="kerikil.2" localSheetId="10">#REF!</definedName>
    <definedName name="kerikil.2" localSheetId="9">#REF!</definedName>
    <definedName name="kerikil.2" localSheetId="8">#REF!</definedName>
    <definedName name="kerikil.k.0.8" localSheetId="19">#REF!</definedName>
    <definedName name="kerikil.k.0.8" localSheetId="18">#REF!</definedName>
    <definedName name="kerikil.k.0.8" localSheetId="17">#REF!</definedName>
    <definedName name="kerikil.k.0.8" localSheetId="16">#REF!</definedName>
    <definedName name="kerikil.k.0.8" localSheetId="15">#REF!</definedName>
    <definedName name="kerikil.k.0.8" localSheetId="14">#REF!</definedName>
    <definedName name="kerikil.k.0.8" localSheetId="25">#REF!</definedName>
    <definedName name="kerikil.k.0.8" localSheetId="24">#REF!</definedName>
    <definedName name="kerikil.k.0.8" localSheetId="23">#REF!</definedName>
    <definedName name="kerikil.k.0.8" localSheetId="22">#REF!</definedName>
    <definedName name="kerikil.k.0.8" localSheetId="21">#REF!</definedName>
    <definedName name="kerikil.k.0.8" localSheetId="20">#REF!</definedName>
    <definedName name="kerikil.k.0.8" localSheetId="13">#REF!</definedName>
    <definedName name="kerikil.k.0.8" localSheetId="12">#REF!</definedName>
    <definedName name="kerikil.k.0.8" localSheetId="11">#REF!</definedName>
    <definedName name="kerikil.k.0.8" localSheetId="10">#REF!</definedName>
    <definedName name="kerikil.k.0.8" localSheetId="9">#REF!</definedName>
    <definedName name="kerikil.k.0.8" localSheetId="8">#REF!</definedName>
    <definedName name="kernet" localSheetId="19">#REF!</definedName>
    <definedName name="kernet" localSheetId="18">#REF!</definedName>
    <definedName name="kernet" localSheetId="17">#REF!</definedName>
    <definedName name="kernet" localSheetId="16">#REF!</definedName>
    <definedName name="kernet" localSheetId="15">#REF!</definedName>
    <definedName name="kernet" localSheetId="14">#REF!</definedName>
    <definedName name="kernet" localSheetId="25">#REF!</definedName>
    <definedName name="kernet" localSheetId="24">#REF!</definedName>
    <definedName name="kernet" localSheetId="23">#REF!</definedName>
    <definedName name="kernet" localSheetId="22">#REF!</definedName>
    <definedName name="kernet" localSheetId="21">#REF!</definedName>
    <definedName name="kernet" localSheetId="20">#REF!</definedName>
    <definedName name="kernet" localSheetId="13">#REF!</definedName>
    <definedName name="kernet" localSheetId="12">#REF!</definedName>
    <definedName name="kernet" localSheetId="11">#REF!</definedName>
    <definedName name="kernet" localSheetId="10">#REF!</definedName>
    <definedName name="kernet" localSheetId="9">#REF!</definedName>
    <definedName name="kernet" localSheetId="8">#REF!</definedName>
    <definedName name="kimer" localSheetId="19">#REF!</definedName>
    <definedName name="kimer" localSheetId="18">#REF!</definedName>
    <definedName name="kimer" localSheetId="17">#REF!</definedName>
    <definedName name="kimer" localSheetId="16">#REF!</definedName>
    <definedName name="kimer" localSheetId="15">#REF!</definedName>
    <definedName name="kimer" localSheetId="14">#REF!</definedName>
    <definedName name="kimer" localSheetId="25">#REF!</definedName>
    <definedName name="kimer" localSheetId="24">#REF!</definedName>
    <definedName name="kimer" localSheetId="23">#REF!</definedName>
    <definedName name="kimer" localSheetId="22">#REF!</definedName>
    <definedName name="kimer" localSheetId="21">#REF!</definedName>
    <definedName name="kimer" localSheetId="20">#REF!</definedName>
    <definedName name="kimer" localSheetId="13">#REF!</definedName>
    <definedName name="kimer" localSheetId="12">#REF!</definedName>
    <definedName name="kimer" localSheetId="11">#REF!</definedName>
    <definedName name="kimer" localSheetId="10">#REF!</definedName>
    <definedName name="kimer" localSheetId="9">#REF!</definedName>
    <definedName name="kimer" localSheetId="8">#REF!</definedName>
    <definedName name="kjkjkjkjkjkjkjkjkjkj" localSheetId="19">#REF!</definedName>
    <definedName name="kjkjkjkjkjkjkjkjkjkj" localSheetId="18">#REF!</definedName>
    <definedName name="kjkjkjkjkjkjkjkjkjkj" localSheetId="17">#REF!</definedName>
    <definedName name="kjkjkjkjkjkjkjkjkjkj" localSheetId="16">#REF!</definedName>
    <definedName name="kjkjkjkjkjkjkjkjkjkj" localSheetId="15">#REF!</definedName>
    <definedName name="kjkjkjkjkjkjkjkjkjkj" localSheetId="14">#REF!</definedName>
    <definedName name="kjkjkjkjkjkjkjkjkjkj" localSheetId="25">#REF!</definedName>
    <definedName name="kjkjkjkjkjkjkjkjkjkj" localSheetId="24">#REF!</definedName>
    <definedName name="kjkjkjkjkjkjkjkjkjkj" localSheetId="23">#REF!</definedName>
    <definedName name="kjkjkjkjkjkjkjkjkjkj" localSheetId="22">#REF!</definedName>
    <definedName name="kjkjkjkjkjkjkjkjkjkj" localSheetId="21">#REF!</definedName>
    <definedName name="kjkjkjkjkjkjkjkjkjkj" localSheetId="20">#REF!</definedName>
    <definedName name="kjkjkjkjkjkjkjkjkjkj" localSheetId="13">#REF!</definedName>
    <definedName name="kjkjkjkjkjkjkjkjkjkj" localSheetId="12">#REF!</definedName>
    <definedName name="kjkjkjkjkjkjkjkjkjkj" localSheetId="11">#REF!</definedName>
    <definedName name="kjkjkjkjkjkjkjkjkjkj" localSheetId="10">#REF!</definedName>
    <definedName name="kjkjkjkjkjkjkjkjkjkj" localSheetId="9">#REF!</definedName>
    <definedName name="kjkjkjkjkjkjkjkjkjkj" localSheetId="8">#REF!</definedName>
    <definedName name="kkkk" localSheetId="19">#REF!</definedName>
    <definedName name="kkkk" localSheetId="18">#REF!</definedName>
    <definedName name="kkkk" localSheetId="17">#REF!</definedName>
    <definedName name="kkkk" localSheetId="16">#REF!</definedName>
    <definedName name="kkkk" localSheetId="15">#REF!</definedName>
    <definedName name="kkkk" localSheetId="14">#REF!</definedName>
    <definedName name="kkkk" localSheetId="25">#REF!</definedName>
    <definedName name="kkkk" localSheetId="24">#REF!</definedName>
    <definedName name="kkkk" localSheetId="23">#REF!</definedName>
    <definedName name="kkkk" localSheetId="22">#REF!</definedName>
    <definedName name="kkkk" localSheetId="21">#REF!</definedName>
    <definedName name="kkkk" localSheetId="20">#REF!</definedName>
    <definedName name="kkkk" localSheetId="13">#REF!</definedName>
    <definedName name="kkkk" localSheetId="12">#REF!</definedName>
    <definedName name="kkkk" localSheetId="11">#REF!</definedName>
    <definedName name="kkkk" localSheetId="10">#REF!</definedName>
    <definedName name="kkkk" localSheetId="9">#REF!</definedName>
    <definedName name="kkkk" localSheetId="8">#REF!</definedName>
    <definedName name="klklklklkl" localSheetId="19">#REF!</definedName>
    <definedName name="klklklklkl" localSheetId="18">#REF!</definedName>
    <definedName name="klklklklkl" localSheetId="17">#REF!</definedName>
    <definedName name="klklklklkl" localSheetId="16">#REF!</definedName>
    <definedName name="klklklklkl" localSheetId="15">#REF!</definedName>
    <definedName name="klklklklkl" localSheetId="14">#REF!</definedName>
    <definedName name="klklklklkl" localSheetId="25">#REF!</definedName>
    <definedName name="klklklklkl" localSheetId="24">#REF!</definedName>
    <definedName name="klklklklkl" localSheetId="23">#REF!</definedName>
    <definedName name="klklklklkl" localSheetId="22">#REF!</definedName>
    <definedName name="klklklklkl" localSheetId="21">#REF!</definedName>
    <definedName name="klklklklkl" localSheetId="20">#REF!</definedName>
    <definedName name="klklklklkl" localSheetId="13">#REF!</definedName>
    <definedName name="klklklklkl" localSheetId="12">#REF!</definedName>
    <definedName name="klklklklkl" localSheetId="11">#REF!</definedName>
    <definedName name="klklklklkl" localSheetId="10">#REF!</definedName>
    <definedName name="klklklklkl" localSheetId="9">#REF!</definedName>
    <definedName name="klklklklkl" localSheetId="8">#REF!</definedName>
    <definedName name="KmpUppKode" localSheetId="13" hidden="1">[15]Kel!$F$1</definedName>
    <definedName name="KmpUppKode" localSheetId="12" hidden="1">[15]Kel!$F$1</definedName>
    <definedName name="KmpUppKode" localSheetId="11" hidden="1">[15]Kel!$F$1</definedName>
    <definedName name="KmpUppKode" localSheetId="10" hidden="1">[15]Kel!$F$1</definedName>
    <definedName name="KmpUppKode" localSheetId="9" hidden="1">[15]Kel!$F$1</definedName>
    <definedName name="KmpUppKode" localSheetId="8" hidden="1">[15]Kel!$F$1</definedName>
    <definedName name="KmpUppKode" hidden="1">[16]Kel!$F$1</definedName>
    <definedName name="kode" localSheetId="19">#REF!</definedName>
    <definedName name="kode" localSheetId="18">#REF!</definedName>
    <definedName name="kode" localSheetId="17">#REF!</definedName>
    <definedName name="kode" localSheetId="16">#REF!</definedName>
    <definedName name="kode" localSheetId="15">#REF!</definedName>
    <definedName name="kode" localSheetId="14">#REF!</definedName>
    <definedName name="kode" localSheetId="25">#REF!</definedName>
    <definedName name="kode" localSheetId="24">#REF!</definedName>
    <definedName name="kode" localSheetId="23">#REF!</definedName>
    <definedName name="kode" localSheetId="22">#REF!</definedName>
    <definedName name="kode" localSheetId="21">#REF!</definedName>
    <definedName name="kode" localSheetId="20">#REF!</definedName>
    <definedName name="kode" localSheetId="13">#REF!</definedName>
    <definedName name="kode" localSheetId="12">#REF!</definedName>
    <definedName name="kode" localSheetId="11">#REF!</definedName>
    <definedName name="kode" localSheetId="10">#REF!</definedName>
    <definedName name="kode" localSheetId="9">#REF!</definedName>
    <definedName name="kode" localSheetId="8">#REF!</definedName>
    <definedName name="krikil.k.3.0" localSheetId="19">#REF!</definedName>
    <definedName name="krikil.k.3.0" localSheetId="18">#REF!</definedName>
    <definedName name="krikil.k.3.0" localSheetId="17">#REF!</definedName>
    <definedName name="krikil.k.3.0" localSheetId="16">#REF!</definedName>
    <definedName name="krikil.k.3.0" localSheetId="15">#REF!</definedName>
    <definedName name="krikil.k.3.0" localSheetId="14">#REF!</definedName>
    <definedName name="krikil.k.3.0" localSheetId="25">#REF!</definedName>
    <definedName name="krikil.k.3.0" localSheetId="24">#REF!</definedName>
    <definedName name="krikil.k.3.0" localSheetId="23">#REF!</definedName>
    <definedName name="krikil.k.3.0" localSheetId="22">#REF!</definedName>
    <definedName name="krikil.k.3.0" localSheetId="21">#REF!</definedName>
    <definedName name="krikil.k.3.0" localSheetId="20">#REF!</definedName>
    <definedName name="krikil.k.3.0" localSheetId="13">#REF!</definedName>
    <definedName name="krikil.k.3.0" localSheetId="12">#REF!</definedName>
    <definedName name="krikil.k.3.0" localSheetId="11">#REF!</definedName>
    <definedName name="krikil.k.3.0" localSheetId="10">#REF!</definedName>
    <definedName name="krikil.k.3.0" localSheetId="9">#REF!</definedName>
    <definedName name="krikil.k.3.0" localSheetId="8">#REF!</definedName>
    <definedName name="Krl.alam2" localSheetId="19">#REF!</definedName>
    <definedName name="Krl.alam2" localSheetId="18">#REF!</definedName>
    <definedName name="Krl.alam2" localSheetId="17">#REF!</definedName>
    <definedName name="Krl.alam2" localSheetId="16">#REF!</definedName>
    <definedName name="Krl.alam2" localSheetId="15">#REF!</definedName>
    <definedName name="Krl.alam2" localSheetId="14">#REF!</definedName>
    <definedName name="Krl.alam2" localSheetId="25">#REF!</definedName>
    <definedName name="Krl.alam2" localSheetId="24">#REF!</definedName>
    <definedName name="Krl.alam2" localSheetId="23">#REF!</definedName>
    <definedName name="Krl.alam2" localSheetId="22">#REF!</definedName>
    <definedName name="Krl.alam2" localSheetId="21">#REF!</definedName>
    <definedName name="Krl.alam2" localSheetId="20">#REF!</definedName>
    <definedName name="Krl.alam2" localSheetId="13">#REF!</definedName>
    <definedName name="Krl.alam2" localSheetId="12">#REF!</definedName>
    <definedName name="Krl.alam2" localSheetId="11">#REF!</definedName>
    <definedName name="Krl.alam2" localSheetId="10">#REF!</definedName>
    <definedName name="Krl.alam2" localSheetId="9">#REF!</definedName>
    <definedName name="Krl.alam2" localSheetId="8">#REF!</definedName>
    <definedName name="krl.alam23" localSheetId="19">#REF!</definedName>
    <definedName name="krl.alam23" localSheetId="18">#REF!</definedName>
    <definedName name="krl.alam23" localSheetId="17">#REF!</definedName>
    <definedName name="krl.alam23" localSheetId="16">#REF!</definedName>
    <definedName name="krl.alam23" localSheetId="15">#REF!</definedName>
    <definedName name="krl.alam23" localSheetId="14">#REF!</definedName>
    <definedName name="krl.alam23" localSheetId="25">#REF!</definedName>
    <definedName name="krl.alam23" localSheetId="24">#REF!</definedName>
    <definedName name="krl.alam23" localSheetId="23">#REF!</definedName>
    <definedName name="krl.alam23" localSheetId="22">#REF!</definedName>
    <definedName name="krl.alam23" localSheetId="21">#REF!</definedName>
    <definedName name="krl.alam23" localSheetId="20">#REF!</definedName>
    <definedName name="krl.alam23" localSheetId="13">#REF!</definedName>
    <definedName name="krl.alam23" localSheetId="12">#REF!</definedName>
    <definedName name="krl.alam23" localSheetId="11">#REF!</definedName>
    <definedName name="krl.alam23" localSheetId="10">#REF!</definedName>
    <definedName name="krl.alam23" localSheetId="9">#REF!</definedName>
    <definedName name="krl.alam23" localSheetId="8">#REF!</definedName>
    <definedName name="krl.alam57" localSheetId="19">#REF!</definedName>
    <definedName name="krl.alam57" localSheetId="18">#REF!</definedName>
    <definedName name="krl.alam57" localSheetId="17">#REF!</definedName>
    <definedName name="krl.alam57" localSheetId="16">#REF!</definedName>
    <definedName name="krl.alam57" localSheetId="15">#REF!</definedName>
    <definedName name="krl.alam57" localSheetId="14">#REF!</definedName>
    <definedName name="krl.alam57" localSheetId="25">#REF!</definedName>
    <definedName name="krl.alam57" localSheetId="24">#REF!</definedName>
    <definedName name="krl.alam57" localSheetId="23">#REF!</definedName>
    <definedName name="krl.alam57" localSheetId="22">#REF!</definedName>
    <definedName name="krl.alam57" localSheetId="21">#REF!</definedName>
    <definedName name="krl.alam57" localSheetId="20">#REF!</definedName>
    <definedName name="krl.alam57" localSheetId="13">#REF!</definedName>
    <definedName name="krl.alam57" localSheetId="12">#REF!</definedName>
    <definedName name="krl.alam57" localSheetId="11">#REF!</definedName>
    <definedName name="krl.alam57" localSheetId="10">#REF!</definedName>
    <definedName name="krl.alam57" localSheetId="9">#REF!</definedName>
    <definedName name="krl.alam57" localSheetId="8">#REF!</definedName>
    <definedName name="krl.pecah.1.2" localSheetId="19">#REF!</definedName>
    <definedName name="krl.pecah.1.2" localSheetId="18">#REF!</definedName>
    <definedName name="krl.pecah.1.2" localSheetId="17">#REF!</definedName>
    <definedName name="krl.pecah.1.2" localSheetId="16">#REF!</definedName>
    <definedName name="krl.pecah.1.2" localSheetId="15">#REF!</definedName>
    <definedName name="krl.pecah.1.2" localSheetId="14">#REF!</definedName>
    <definedName name="krl.pecah.1.2" localSheetId="25">#REF!</definedName>
    <definedName name="krl.pecah.1.2" localSheetId="24">#REF!</definedName>
    <definedName name="krl.pecah.1.2" localSheetId="23">#REF!</definedName>
    <definedName name="krl.pecah.1.2" localSheetId="22">#REF!</definedName>
    <definedName name="krl.pecah.1.2" localSheetId="21">#REF!</definedName>
    <definedName name="krl.pecah.1.2" localSheetId="20">#REF!</definedName>
    <definedName name="krl.pecah.1.2" localSheetId="13">#REF!</definedName>
    <definedName name="krl.pecah.1.2" localSheetId="12">#REF!</definedName>
    <definedName name="krl.pecah.1.2" localSheetId="11">#REF!</definedName>
    <definedName name="krl.pecah.1.2" localSheetId="10">#REF!</definedName>
    <definedName name="krl.pecah.1.2" localSheetId="9">#REF!</definedName>
    <definedName name="krl.pecah.1.2" localSheetId="8">#REF!</definedName>
    <definedName name="Krl.Pecah1" localSheetId="19">#REF!</definedName>
    <definedName name="Krl.Pecah1" localSheetId="18">#REF!</definedName>
    <definedName name="Krl.Pecah1" localSheetId="17">#REF!</definedName>
    <definedName name="Krl.Pecah1" localSheetId="16">#REF!</definedName>
    <definedName name="Krl.Pecah1" localSheetId="15">#REF!</definedName>
    <definedName name="Krl.Pecah1" localSheetId="14">#REF!</definedName>
    <definedName name="Krl.Pecah1" localSheetId="25">#REF!</definedName>
    <definedName name="Krl.Pecah1" localSheetId="24">#REF!</definedName>
    <definedName name="Krl.Pecah1" localSheetId="23">#REF!</definedName>
    <definedName name="Krl.Pecah1" localSheetId="22">#REF!</definedName>
    <definedName name="Krl.Pecah1" localSheetId="21">#REF!</definedName>
    <definedName name="Krl.Pecah1" localSheetId="20">#REF!</definedName>
    <definedName name="Krl.Pecah1" localSheetId="13">#REF!</definedName>
    <definedName name="Krl.Pecah1" localSheetId="12">#REF!</definedName>
    <definedName name="Krl.Pecah1" localSheetId="11">#REF!</definedName>
    <definedName name="Krl.Pecah1" localSheetId="10">#REF!</definedName>
    <definedName name="Krl.Pecah1" localSheetId="9">#REF!</definedName>
    <definedName name="Krl.Pecah1" localSheetId="8">#REF!</definedName>
    <definedName name="Krl.Pecah23" localSheetId="19">#REF!</definedName>
    <definedName name="Krl.Pecah23" localSheetId="18">#REF!</definedName>
    <definedName name="Krl.Pecah23" localSheetId="17">#REF!</definedName>
    <definedName name="Krl.Pecah23" localSheetId="16">#REF!</definedName>
    <definedName name="Krl.Pecah23" localSheetId="15">#REF!</definedName>
    <definedName name="Krl.Pecah23" localSheetId="14">#REF!</definedName>
    <definedName name="Krl.Pecah23" localSheetId="25">#REF!</definedName>
    <definedName name="Krl.Pecah23" localSheetId="24">#REF!</definedName>
    <definedName name="Krl.Pecah23" localSheetId="23">#REF!</definedName>
    <definedName name="Krl.Pecah23" localSheetId="22">#REF!</definedName>
    <definedName name="Krl.Pecah23" localSheetId="21">#REF!</definedName>
    <definedName name="Krl.Pecah23" localSheetId="20">#REF!</definedName>
    <definedName name="Krl.Pecah23" localSheetId="13">#REF!</definedName>
    <definedName name="Krl.Pecah23" localSheetId="12">#REF!</definedName>
    <definedName name="Krl.Pecah23" localSheetId="11">#REF!</definedName>
    <definedName name="Krl.Pecah23" localSheetId="10">#REF!</definedName>
    <definedName name="Krl.Pecah23" localSheetId="9">#REF!</definedName>
    <definedName name="Krl.Pecah23" localSheetId="8">#REF!</definedName>
    <definedName name="Krl.Pecah35" localSheetId="19">#REF!</definedName>
    <definedName name="Krl.Pecah35" localSheetId="18">#REF!</definedName>
    <definedName name="Krl.Pecah35" localSheetId="17">#REF!</definedName>
    <definedName name="Krl.Pecah35" localSheetId="16">#REF!</definedName>
    <definedName name="Krl.Pecah35" localSheetId="15">#REF!</definedName>
    <definedName name="Krl.Pecah35" localSheetId="14">#REF!</definedName>
    <definedName name="Krl.Pecah35" localSheetId="25">#REF!</definedName>
    <definedName name="Krl.Pecah35" localSheetId="24">#REF!</definedName>
    <definedName name="Krl.Pecah35" localSheetId="23">#REF!</definedName>
    <definedName name="Krl.Pecah35" localSheetId="22">#REF!</definedName>
    <definedName name="Krl.Pecah35" localSheetId="21">#REF!</definedName>
    <definedName name="Krl.Pecah35" localSheetId="20">#REF!</definedName>
    <definedName name="Krl.Pecah35" localSheetId="13">#REF!</definedName>
    <definedName name="Krl.Pecah35" localSheetId="12">#REF!</definedName>
    <definedName name="Krl.Pecah35" localSheetId="11">#REF!</definedName>
    <definedName name="Krl.Pecah35" localSheetId="10">#REF!</definedName>
    <definedName name="Krl.Pecah35" localSheetId="9">#REF!</definedName>
    <definedName name="Krl.Pecah35" localSheetId="8">#REF!</definedName>
    <definedName name="Krl.Pecah57" localSheetId="19">#REF!</definedName>
    <definedName name="Krl.Pecah57" localSheetId="18">#REF!</definedName>
    <definedName name="Krl.Pecah57" localSheetId="17">#REF!</definedName>
    <definedName name="Krl.Pecah57" localSheetId="16">#REF!</definedName>
    <definedName name="Krl.Pecah57" localSheetId="15">#REF!</definedName>
    <definedName name="Krl.Pecah57" localSheetId="14">#REF!</definedName>
    <definedName name="Krl.Pecah57" localSheetId="25">#REF!</definedName>
    <definedName name="Krl.Pecah57" localSheetId="24">#REF!</definedName>
    <definedName name="Krl.Pecah57" localSheetId="23">#REF!</definedName>
    <definedName name="Krl.Pecah57" localSheetId="22">#REF!</definedName>
    <definedName name="Krl.Pecah57" localSheetId="21">#REF!</definedName>
    <definedName name="Krl.Pecah57" localSheetId="20">#REF!</definedName>
    <definedName name="Krl.Pecah57" localSheetId="13">#REF!</definedName>
    <definedName name="Krl.Pecah57" localSheetId="12">#REF!</definedName>
    <definedName name="Krl.Pecah57" localSheetId="11">#REF!</definedName>
    <definedName name="Krl.Pecah57" localSheetId="10">#REF!</definedName>
    <definedName name="Krl.Pecah57" localSheetId="9">#REF!</definedName>
    <definedName name="Krl.Pecah57" localSheetId="8">#REF!</definedName>
    <definedName name="kuas.bsr" localSheetId="19">#REF!</definedName>
    <definedName name="kuas.bsr" localSheetId="18">#REF!</definedName>
    <definedName name="kuas.bsr" localSheetId="17">#REF!</definedName>
    <definedName name="kuas.bsr" localSheetId="16">#REF!</definedName>
    <definedName name="kuas.bsr" localSheetId="15">#REF!</definedName>
    <definedName name="kuas.bsr" localSheetId="14">#REF!</definedName>
    <definedName name="kuas.bsr" localSheetId="25">#REF!</definedName>
    <definedName name="kuas.bsr" localSheetId="24">#REF!</definedName>
    <definedName name="kuas.bsr" localSheetId="23">#REF!</definedName>
    <definedName name="kuas.bsr" localSheetId="22">#REF!</definedName>
    <definedName name="kuas.bsr" localSheetId="21">#REF!</definedName>
    <definedName name="kuas.bsr" localSheetId="20">#REF!</definedName>
    <definedName name="kuas.bsr" localSheetId="13">#REF!</definedName>
    <definedName name="kuas.bsr" localSheetId="12">#REF!</definedName>
    <definedName name="kuas.bsr" localSheetId="11">#REF!</definedName>
    <definedName name="kuas.bsr" localSheetId="10">#REF!</definedName>
    <definedName name="kuas.bsr" localSheetId="9">#REF!</definedName>
    <definedName name="kuas.bsr" localSheetId="8">#REF!</definedName>
    <definedName name="kuas.kcl" localSheetId="19">#REF!</definedName>
    <definedName name="kuas.kcl" localSheetId="18">#REF!</definedName>
    <definedName name="kuas.kcl" localSheetId="17">#REF!</definedName>
    <definedName name="kuas.kcl" localSheetId="16">#REF!</definedName>
    <definedName name="kuas.kcl" localSheetId="15">#REF!</definedName>
    <definedName name="kuas.kcl" localSheetId="14">#REF!</definedName>
    <definedName name="kuas.kcl" localSheetId="25">#REF!</definedName>
    <definedName name="kuas.kcl" localSheetId="24">#REF!</definedName>
    <definedName name="kuas.kcl" localSheetId="23">#REF!</definedName>
    <definedName name="kuas.kcl" localSheetId="22">#REF!</definedName>
    <definedName name="kuas.kcl" localSheetId="21">#REF!</definedName>
    <definedName name="kuas.kcl" localSheetId="20">#REF!</definedName>
    <definedName name="kuas.kcl" localSheetId="13">#REF!</definedName>
    <definedName name="kuas.kcl" localSheetId="12">#REF!</definedName>
    <definedName name="kuas.kcl" localSheetId="11">#REF!</definedName>
    <definedName name="kuas.kcl" localSheetId="10">#REF!</definedName>
    <definedName name="kuas.kcl" localSheetId="9">#REF!</definedName>
    <definedName name="kuas.kcl" localSheetId="8">#REF!</definedName>
    <definedName name="Kuda.ter.besar" localSheetId="19">#REF!</definedName>
    <definedName name="Kuda.ter.besar" localSheetId="18">#REF!</definedName>
    <definedName name="Kuda.ter.besar" localSheetId="17">#REF!</definedName>
    <definedName name="Kuda.ter.besar" localSheetId="16">#REF!</definedName>
    <definedName name="Kuda.ter.besar" localSheetId="15">#REF!</definedName>
    <definedName name="Kuda.ter.besar" localSheetId="14">#REF!</definedName>
    <definedName name="Kuda.ter.besar" localSheetId="25">#REF!</definedName>
    <definedName name="Kuda.ter.besar" localSheetId="24">#REF!</definedName>
    <definedName name="Kuda.ter.besar" localSheetId="23">#REF!</definedName>
    <definedName name="Kuda.ter.besar" localSheetId="22">#REF!</definedName>
    <definedName name="Kuda.ter.besar" localSheetId="21">#REF!</definedName>
    <definedName name="Kuda.ter.besar" localSheetId="20">#REF!</definedName>
    <definedName name="Kuda.ter.besar" localSheetId="13">#REF!</definedName>
    <definedName name="Kuda.ter.besar" localSheetId="12">#REF!</definedName>
    <definedName name="Kuda.ter.besar" localSheetId="11">#REF!</definedName>
    <definedName name="Kuda.ter.besar" localSheetId="10">#REF!</definedName>
    <definedName name="Kuda.ter.besar" localSheetId="9">#REF!</definedName>
    <definedName name="Kuda.ter.besar" localSheetId="8">#REF!</definedName>
    <definedName name="Kuda.Ter.kecil" localSheetId="19">#REF!</definedName>
    <definedName name="Kuda.Ter.kecil" localSheetId="18">#REF!</definedName>
    <definedName name="Kuda.Ter.kecil" localSheetId="17">#REF!</definedName>
    <definedName name="Kuda.Ter.kecil" localSheetId="16">#REF!</definedName>
    <definedName name="Kuda.Ter.kecil" localSheetId="15">#REF!</definedName>
    <definedName name="Kuda.Ter.kecil" localSheetId="14">#REF!</definedName>
    <definedName name="Kuda.Ter.kecil" localSheetId="25">#REF!</definedName>
    <definedName name="Kuda.Ter.kecil" localSheetId="24">#REF!</definedName>
    <definedName name="Kuda.Ter.kecil" localSheetId="23">#REF!</definedName>
    <definedName name="Kuda.Ter.kecil" localSheetId="22">#REF!</definedName>
    <definedName name="Kuda.Ter.kecil" localSheetId="21">#REF!</definedName>
    <definedName name="Kuda.Ter.kecil" localSheetId="20">#REF!</definedName>
    <definedName name="Kuda.Ter.kecil" localSheetId="13">#REF!</definedName>
    <definedName name="Kuda.Ter.kecil" localSheetId="12">#REF!</definedName>
    <definedName name="Kuda.Ter.kecil" localSheetId="11">#REF!</definedName>
    <definedName name="Kuda.Ter.kecil" localSheetId="10">#REF!</definedName>
    <definedName name="Kuda.Ter.kecil" localSheetId="9">#REF!</definedName>
    <definedName name="Kuda.Ter.kecil" localSheetId="8">#REF!</definedName>
    <definedName name="kwt.bronjong" localSheetId="19">#REF!</definedName>
    <definedName name="kwt.bronjong" localSheetId="18">#REF!</definedName>
    <definedName name="kwt.bronjong" localSheetId="17">#REF!</definedName>
    <definedName name="kwt.bronjong" localSheetId="16">#REF!</definedName>
    <definedName name="kwt.bronjong" localSheetId="15">#REF!</definedName>
    <definedName name="kwt.bronjong" localSheetId="14">#REF!</definedName>
    <definedName name="kwt.bronjong" localSheetId="25">#REF!</definedName>
    <definedName name="kwt.bronjong" localSheetId="24">#REF!</definedName>
    <definedName name="kwt.bronjong" localSheetId="23">#REF!</definedName>
    <definedName name="kwt.bronjong" localSheetId="22">#REF!</definedName>
    <definedName name="kwt.bronjong" localSheetId="21">#REF!</definedName>
    <definedName name="kwt.bronjong" localSheetId="20">#REF!</definedName>
    <definedName name="kwt.bronjong" localSheetId="13">#REF!</definedName>
    <definedName name="kwt.bronjong" localSheetId="12">#REF!</definedName>
    <definedName name="kwt.bronjong" localSheetId="11">#REF!</definedName>
    <definedName name="kwt.bronjong" localSheetId="10">#REF!</definedName>
    <definedName name="kwt.bronjong" localSheetId="9">#REF!</definedName>
    <definedName name="kwt.bronjong" localSheetId="8">#REF!</definedName>
    <definedName name="kwt.duri" localSheetId="19">#REF!</definedName>
    <definedName name="kwt.duri" localSheetId="18">#REF!</definedName>
    <definedName name="kwt.duri" localSheetId="17">#REF!</definedName>
    <definedName name="kwt.duri" localSheetId="16">#REF!</definedName>
    <definedName name="kwt.duri" localSheetId="15">#REF!</definedName>
    <definedName name="kwt.duri" localSheetId="14">#REF!</definedName>
    <definedName name="kwt.duri" localSheetId="25">#REF!</definedName>
    <definedName name="kwt.duri" localSheetId="24">#REF!</definedName>
    <definedName name="kwt.duri" localSheetId="23">#REF!</definedName>
    <definedName name="kwt.duri" localSheetId="22">#REF!</definedName>
    <definedName name="kwt.duri" localSheetId="21">#REF!</definedName>
    <definedName name="kwt.duri" localSheetId="20">#REF!</definedName>
    <definedName name="kwt.duri" localSheetId="13">#REF!</definedName>
    <definedName name="kwt.duri" localSheetId="12">#REF!</definedName>
    <definedName name="kwt.duri" localSheetId="11">#REF!</definedName>
    <definedName name="kwt.duri" localSheetId="10">#REF!</definedName>
    <definedName name="kwt.duri" localSheetId="9">#REF!</definedName>
    <definedName name="kwt.duri" localSheetId="8">#REF!</definedName>
    <definedName name="kwt.nyamuk.plastik" localSheetId="19">#REF!</definedName>
    <definedName name="kwt.nyamuk.plastik" localSheetId="18">#REF!</definedName>
    <definedName name="kwt.nyamuk.plastik" localSheetId="17">#REF!</definedName>
    <definedName name="kwt.nyamuk.plastik" localSheetId="16">#REF!</definedName>
    <definedName name="kwt.nyamuk.plastik" localSheetId="15">#REF!</definedName>
    <definedName name="kwt.nyamuk.plastik" localSheetId="14">#REF!</definedName>
    <definedName name="kwt.nyamuk.plastik" localSheetId="25">#REF!</definedName>
    <definedName name="kwt.nyamuk.plastik" localSheetId="24">#REF!</definedName>
    <definedName name="kwt.nyamuk.plastik" localSheetId="23">#REF!</definedName>
    <definedName name="kwt.nyamuk.plastik" localSheetId="22">#REF!</definedName>
    <definedName name="kwt.nyamuk.plastik" localSheetId="21">#REF!</definedName>
    <definedName name="kwt.nyamuk.plastik" localSheetId="20">#REF!</definedName>
    <definedName name="kwt.nyamuk.plastik" localSheetId="13">#REF!</definedName>
    <definedName name="kwt.nyamuk.plastik" localSheetId="12">#REF!</definedName>
    <definedName name="kwt.nyamuk.plastik" localSheetId="11">#REF!</definedName>
    <definedName name="kwt.nyamuk.plastik" localSheetId="10">#REF!</definedName>
    <definedName name="kwt.nyamuk.plastik" localSheetId="9">#REF!</definedName>
    <definedName name="kwt.nyamuk.plastik" localSheetId="8">#REF!</definedName>
    <definedName name="kwt.saringan.pasir" localSheetId="19">#REF!</definedName>
    <definedName name="kwt.saringan.pasir" localSheetId="18">#REF!</definedName>
    <definedName name="kwt.saringan.pasir" localSheetId="17">#REF!</definedName>
    <definedName name="kwt.saringan.pasir" localSheetId="16">#REF!</definedName>
    <definedName name="kwt.saringan.pasir" localSheetId="15">#REF!</definedName>
    <definedName name="kwt.saringan.pasir" localSheetId="14">#REF!</definedName>
    <definedName name="kwt.saringan.pasir" localSheetId="25">#REF!</definedName>
    <definedName name="kwt.saringan.pasir" localSheetId="24">#REF!</definedName>
    <definedName name="kwt.saringan.pasir" localSheetId="23">#REF!</definedName>
    <definedName name="kwt.saringan.pasir" localSheetId="22">#REF!</definedName>
    <definedName name="kwt.saringan.pasir" localSheetId="21">#REF!</definedName>
    <definedName name="kwt.saringan.pasir" localSheetId="20">#REF!</definedName>
    <definedName name="kwt.saringan.pasir" localSheetId="13">#REF!</definedName>
    <definedName name="kwt.saringan.pasir" localSheetId="12">#REF!</definedName>
    <definedName name="kwt.saringan.pasir" localSheetId="11">#REF!</definedName>
    <definedName name="kwt.saringan.pasir" localSheetId="10">#REF!</definedName>
    <definedName name="kwt.saringan.pasir" localSheetId="9">#REF!</definedName>
    <definedName name="kwt.saringan.pasir" localSheetId="8">#REF!</definedName>
    <definedName name="L.1" localSheetId="19">#REF!</definedName>
    <definedName name="L.1" localSheetId="18">#REF!</definedName>
    <definedName name="L.1" localSheetId="17">#REF!</definedName>
    <definedName name="L.1" localSheetId="16">#REF!</definedName>
    <definedName name="L.1" localSheetId="15">#REF!</definedName>
    <definedName name="L.1" localSheetId="14">#REF!</definedName>
    <definedName name="L.1" localSheetId="25">#REF!</definedName>
    <definedName name="L.1" localSheetId="24">#REF!</definedName>
    <definedName name="L.1" localSheetId="23">#REF!</definedName>
    <definedName name="L.1" localSheetId="22">#REF!</definedName>
    <definedName name="L.1" localSheetId="21">#REF!</definedName>
    <definedName name="L.1" localSheetId="20">#REF!</definedName>
    <definedName name="L.1" localSheetId="13">#REF!</definedName>
    <definedName name="L.1" localSheetId="12">#REF!</definedName>
    <definedName name="L.1" localSheetId="11">#REF!</definedName>
    <definedName name="L.1" localSheetId="10">#REF!</definedName>
    <definedName name="L.1" localSheetId="9">#REF!</definedName>
    <definedName name="L.1" localSheetId="8">#REF!</definedName>
    <definedName name="L.2" localSheetId="19">#REF!</definedName>
    <definedName name="L.2" localSheetId="18">#REF!</definedName>
    <definedName name="L.2" localSheetId="17">#REF!</definedName>
    <definedName name="L.2" localSheetId="16">#REF!</definedName>
    <definedName name="L.2" localSheetId="15">#REF!</definedName>
    <definedName name="L.2" localSheetId="14">#REF!</definedName>
    <definedName name="L.2" localSheetId="25">#REF!</definedName>
    <definedName name="L.2" localSheetId="24">#REF!</definedName>
    <definedName name="L.2" localSheetId="23">#REF!</definedName>
    <definedName name="L.2" localSheetId="22">#REF!</definedName>
    <definedName name="L.2" localSheetId="21">#REF!</definedName>
    <definedName name="L.2" localSheetId="20">#REF!</definedName>
    <definedName name="L.2" localSheetId="13">#REF!</definedName>
    <definedName name="L.2" localSheetId="12">#REF!</definedName>
    <definedName name="L.2" localSheetId="11">#REF!</definedName>
    <definedName name="L.2" localSheetId="10">#REF!</definedName>
    <definedName name="L.2" localSheetId="9">#REF!</definedName>
    <definedName name="L.2" localSheetId="8">#REF!</definedName>
    <definedName name="lem.kayu" localSheetId="19">#REF!</definedName>
    <definedName name="lem.kayu" localSheetId="18">#REF!</definedName>
    <definedName name="lem.kayu" localSheetId="17">#REF!</definedName>
    <definedName name="lem.kayu" localSheetId="16">#REF!</definedName>
    <definedName name="lem.kayu" localSheetId="15">#REF!</definedName>
    <definedName name="lem.kayu" localSheetId="14">#REF!</definedName>
    <definedName name="lem.kayu" localSheetId="25">#REF!</definedName>
    <definedName name="lem.kayu" localSheetId="24">#REF!</definedName>
    <definedName name="lem.kayu" localSheetId="23">#REF!</definedName>
    <definedName name="lem.kayu" localSheetId="22">#REF!</definedName>
    <definedName name="lem.kayu" localSheetId="21">#REF!</definedName>
    <definedName name="lem.kayu" localSheetId="20">#REF!</definedName>
    <definedName name="lem.kayu" localSheetId="13">#REF!</definedName>
    <definedName name="lem.kayu" localSheetId="12">#REF!</definedName>
    <definedName name="lem.kayu" localSheetId="11">#REF!</definedName>
    <definedName name="lem.kayu" localSheetId="10">#REF!</definedName>
    <definedName name="lem.kayu" localSheetId="9">#REF!</definedName>
    <definedName name="lem.kayu" localSheetId="8">#REF!</definedName>
    <definedName name="lem.pvc" localSheetId="19">#REF!</definedName>
    <definedName name="lem.pvc" localSheetId="18">#REF!</definedName>
    <definedName name="lem.pvc" localSheetId="17">#REF!</definedName>
    <definedName name="lem.pvc" localSheetId="16">#REF!</definedName>
    <definedName name="lem.pvc" localSheetId="15">#REF!</definedName>
    <definedName name="lem.pvc" localSheetId="14">#REF!</definedName>
    <definedName name="lem.pvc" localSheetId="25">#REF!</definedName>
    <definedName name="lem.pvc" localSheetId="24">#REF!</definedName>
    <definedName name="lem.pvc" localSheetId="23">#REF!</definedName>
    <definedName name="lem.pvc" localSheetId="22">#REF!</definedName>
    <definedName name="lem.pvc" localSheetId="21">#REF!</definedName>
    <definedName name="lem.pvc" localSheetId="20">#REF!</definedName>
    <definedName name="lem.pvc" localSheetId="13">#REF!</definedName>
    <definedName name="lem.pvc" localSheetId="12">#REF!</definedName>
    <definedName name="lem.pvc" localSheetId="11">#REF!</definedName>
    <definedName name="lem.pvc" localSheetId="10">#REF!</definedName>
    <definedName name="lem.pvc" localSheetId="9">#REF!</definedName>
    <definedName name="lem.pvc" localSheetId="8">#REF!</definedName>
    <definedName name="lis.kaca" localSheetId="19">#REF!</definedName>
    <definedName name="lis.kaca" localSheetId="18">#REF!</definedName>
    <definedName name="lis.kaca" localSheetId="17">#REF!</definedName>
    <definedName name="lis.kaca" localSheetId="16">#REF!</definedName>
    <definedName name="lis.kaca" localSheetId="15">#REF!</definedName>
    <definedName name="lis.kaca" localSheetId="14">#REF!</definedName>
    <definedName name="lis.kaca" localSheetId="25">#REF!</definedName>
    <definedName name="lis.kaca" localSheetId="24">#REF!</definedName>
    <definedName name="lis.kaca" localSheetId="23">#REF!</definedName>
    <definedName name="lis.kaca" localSheetId="22">#REF!</definedName>
    <definedName name="lis.kaca" localSheetId="21">#REF!</definedName>
    <definedName name="lis.kaca" localSheetId="20">#REF!</definedName>
    <definedName name="lis.kaca" localSheetId="13">#REF!</definedName>
    <definedName name="lis.kaca" localSheetId="12">#REF!</definedName>
    <definedName name="lis.kaca" localSheetId="11">#REF!</definedName>
    <definedName name="lis.kaca" localSheetId="10">#REF!</definedName>
    <definedName name="lis.kaca" localSheetId="9">#REF!</definedName>
    <definedName name="lis.kaca" localSheetId="8">#REF!</definedName>
    <definedName name="lubang.angin.10.20" localSheetId="19">#REF!</definedName>
    <definedName name="lubang.angin.10.20" localSheetId="18">#REF!</definedName>
    <definedName name="lubang.angin.10.20" localSheetId="17">#REF!</definedName>
    <definedName name="lubang.angin.10.20" localSheetId="16">#REF!</definedName>
    <definedName name="lubang.angin.10.20" localSheetId="15">#REF!</definedName>
    <definedName name="lubang.angin.10.20" localSheetId="14">#REF!</definedName>
    <definedName name="lubang.angin.10.20" localSheetId="25">#REF!</definedName>
    <definedName name="lubang.angin.10.20" localSheetId="24">#REF!</definedName>
    <definedName name="lubang.angin.10.20" localSheetId="23">#REF!</definedName>
    <definedName name="lubang.angin.10.20" localSheetId="22">#REF!</definedName>
    <definedName name="lubang.angin.10.20" localSheetId="21">#REF!</definedName>
    <definedName name="lubang.angin.10.20" localSheetId="20">#REF!</definedName>
    <definedName name="lubang.angin.10.20" localSheetId="13">#REF!</definedName>
    <definedName name="lubang.angin.10.20" localSheetId="12">#REF!</definedName>
    <definedName name="lubang.angin.10.20" localSheetId="11">#REF!</definedName>
    <definedName name="lubang.angin.10.20" localSheetId="10">#REF!</definedName>
    <definedName name="lubang.angin.10.20" localSheetId="9">#REF!</definedName>
    <definedName name="lubang.angin.10.20" localSheetId="8">#REF!</definedName>
    <definedName name="Lubrican" localSheetId="19">#REF!</definedName>
    <definedName name="Lubrican" localSheetId="18">#REF!</definedName>
    <definedName name="Lubrican" localSheetId="17">#REF!</definedName>
    <definedName name="Lubrican" localSheetId="16">#REF!</definedName>
    <definedName name="Lubrican" localSheetId="15">#REF!</definedName>
    <definedName name="Lubrican" localSheetId="14">#REF!</definedName>
    <definedName name="Lubrican" localSheetId="25">#REF!</definedName>
    <definedName name="Lubrican" localSheetId="24">#REF!</definedName>
    <definedName name="Lubrican" localSheetId="23">#REF!</definedName>
    <definedName name="Lubrican" localSheetId="22">#REF!</definedName>
    <definedName name="Lubrican" localSheetId="21">#REF!</definedName>
    <definedName name="Lubrican" localSheetId="20">#REF!</definedName>
    <definedName name="Lubrican" localSheetId="13">#REF!</definedName>
    <definedName name="Lubrican" localSheetId="12">#REF!</definedName>
    <definedName name="Lubrican" localSheetId="11">#REF!</definedName>
    <definedName name="Lubrican" localSheetId="10">#REF!</definedName>
    <definedName name="Lubrican" localSheetId="9">#REF!</definedName>
    <definedName name="Lubrican" localSheetId="8">#REF!</definedName>
    <definedName name="Mandor" localSheetId="19">#REF!</definedName>
    <definedName name="Mandor" localSheetId="18">#REF!</definedName>
    <definedName name="Mandor" localSheetId="17">#REF!</definedName>
    <definedName name="Mandor" localSheetId="16">#REF!</definedName>
    <definedName name="Mandor" localSheetId="15">#REF!</definedName>
    <definedName name="Mandor" localSheetId="14">#REF!</definedName>
    <definedName name="Mandor" localSheetId="25">#REF!</definedName>
    <definedName name="Mandor" localSheetId="24">#REF!</definedName>
    <definedName name="Mandor" localSheetId="23">#REF!</definedName>
    <definedName name="Mandor" localSheetId="22">#REF!</definedName>
    <definedName name="Mandor" localSheetId="21">#REF!</definedName>
    <definedName name="Mandor" localSheetId="20">#REF!</definedName>
    <definedName name="Mandor" localSheetId="13">#REF!</definedName>
    <definedName name="Mandor" localSheetId="12">#REF!</definedName>
    <definedName name="Mandor" localSheetId="11">#REF!</definedName>
    <definedName name="Mandor" localSheetId="10">#REF!</definedName>
    <definedName name="Mandor" localSheetId="9">#REF!</definedName>
    <definedName name="Mandor" localSheetId="8">#REF!</definedName>
    <definedName name="mekanik" localSheetId="19">#REF!</definedName>
    <definedName name="mekanik" localSheetId="18">#REF!</definedName>
    <definedName name="mekanik" localSheetId="17">#REF!</definedName>
    <definedName name="mekanik" localSheetId="16">#REF!</definedName>
    <definedName name="mekanik" localSheetId="15">#REF!</definedName>
    <definedName name="mekanik" localSheetId="14">#REF!</definedName>
    <definedName name="mekanik" localSheetId="25">#REF!</definedName>
    <definedName name="mekanik" localSheetId="24">#REF!</definedName>
    <definedName name="mekanik" localSheetId="23">#REF!</definedName>
    <definedName name="mekanik" localSheetId="22">#REF!</definedName>
    <definedName name="mekanik" localSheetId="21">#REF!</definedName>
    <definedName name="mekanik" localSheetId="20">#REF!</definedName>
    <definedName name="mekanik" localSheetId="13">#REF!</definedName>
    <definedName name="mekanik" localSheetId="12">#REF!</definedName>
    <definedName name="mekanik" localSheetId="11">#REF!</definedName>
    <definedName name="mekanik" localSheetId="10">#REF!</definedName>
    <definedName name="mekanik" localSheetId="9">#REF!</definedName>
    <definedName name="mekanik" localSheetId="8">#REF!</definedName>
    <definedName name="meni.besi" localSheetId="19">#REF!</definedName>
    <definedName name="meni.besi" localSheetId="18">#REF!</definedName>
    <definedName name="meni.besi" localSheetId="17">#REF!</definedName>
    <definedName name="meni.besi" localSheetId="16">#REF!</definedName>
    <definedName name="meni.besi" localSheetId="15">#REF!</definedName>
    <definedName name="meni.besi" localSheetId="14">#REF!</definedName>
    <definedName name="meni.besi" localSheetId="25">#REF!</definedName>
    <definedName name="meni.besi" localSheetId="24">#REF!</definedName>
    <definedName name="meni.besi" localSheetId="23">#REF!</definedName>
    <definedName name="meni.besi" localSheetId="22">#REF!</definedName>
    <definedName name="meni.besi" localSheetId="21">#REF!</definedName>
    <definedName name="meni.besi" localSheetId="20">#REF!</definedName>
    <definedName name="meni.besi" localSheetId="13">#REF!</definedName>
    <definedName name="meni.besi" localSheetId="12">#REF!</definedName>
    <definedName name="meni.besi" localSheetId="11">#REF!</definedName>
    <definedName name="meni.besi" localSheetId="10">#REF!</definedName>
    <definedName name="meni.besi" localSheetId="9">#REF!</definedName>
    <definedName name="meni.besi" localSheetId="8">#REF!</definedName>
    <definedName name="meni.kayu" localSheetId="19">#REF!</definedName>
    <definedName name="meni.kayu" localSheetId="18">#REF!</definedName>
    <definedName name="meni.kayu" localSheetId="17">#REF!</definedName>
    <definedName name="meni.kayu" localSheetId="16">#REF!</definedName>
    <definedName name="meni.kayu" localSheetId="15">#REF!</definedName>
    <definedName name="meni.kayu" localSheetId="14">#REF!</definedName>
    <definedName name="meni.kayu" localSheetId="25">#REF!</definedName>
    <definedName name="meni.kayu" localSheetId="24">#REF!</definedName>
    <definedName name="meni.kayu" localSheetId="23">#REF!</definedName>
    <definedName name="meni.kayu" localSheetId="22">#REF!</definedName>
    <definedName name="meni.kayu" localSheetId="21">#REF!</definedName>
    <definedName name="meni.kayu" localSheetId="20">#REF!</definedName>
    <definedName name="meni.kayu" localSheetId="13">#REF!</definedName>
    <definedName name="meni.kayu" localSheetId="12">#REF!</definedName>
    <definedName name="meni.kayu" localSheetId="11">#REF!</definedName>
    <definedName name="meni.kayu" localSheetId="10">#REF!</definedName>
    <definedName name="meni.kayu" localSheetId="9">#REF!</definedName>
    <definedName name="meni.kayu" localSheetId="8">#REF!</definedName>
    <definedName name="mesin.las" localSheetId="19">#REF!</definedName>
    <definedName name="mesin.las" localSheetId="18">#REF!</definedName>
    <definedName name="mesin.las" localSheetId="17">#REF!</definedName>
    <definedName name="mesin.las" localSheetId="16">#REF!</definedName>
    <definedName name="mesin.las" localSheetId="15">#REF!</definedName>
    <definedName name="mesin.las" localSheetId="14">#REF!</definedName>
    <definedName name="mesin.las" localSheetId="25">#REF!</definedName>
    <definedName name="mesin.las" localSheetId="24">#REF!</definedName>
    <definedName name="mesin.las" localSheetId="23">#REF!</definedName>
    <definedName name="mesin.las" localSheetId="22">#REF!</definedName>
    <definedName name="mesin.las" localSheetId="21">#REF!</definedName>
    <definedName name="mesin.las" localSheetId="20">#REF!</definedName>
    <definedName name="mesin.las" localSheetId="13">#REF!</definedName>
    <definedName name="mesin.las" localSheetId="12">#REF!</definedName>
    <definedName name="mesin.las" localSheetId="11">#REF!</definedName>
    <definedName name="mesin.las" localSheetId="10">#REF!</definedName>
    <definedName name="mesin.las" localSheetId="9">#REF!</definedName>
    <definedName name="mesin.las" localSheetId="8">#REF!</definedName>
    <definedName name="mesin.pompa" localSheetId="19">#REF!</definedName>
    <definedName name="mesin.pompa" localSheetId="18">#REF!</definedName>
    <definedName name="mesin.pompa" localSheetId="17">#REF!</definedName>
    <definedName name="mesin.pompa" localSheetId="16">#REF!</definedName>
    <definedName name="mesin.pompa" localSheetId="15">#REF!</definedName>
    <definedName name="mesin.pompa" localSheetId="14">#REF!</definedName>
    <definedName name="mesin.pompa" localSheetId="25">#REF!</definedName>
    <definedName name="mesin.pompa" localSheetId="24">#REF!</definedName>
    <definedName name="mesin.pompa" localSheetId="23">#REF!</definedName>
    <definedName name="mesin.pompa" localSheetId="22">#REF!</definedName>
    <definedName name="mesin.pompa" localSheetId="21">#REF!</definedName>
    <definedName name="mesin.pompa" localSheetId="20">#REF!</definedName>
    <definedName name="mesin.pompa" localSheetId="13">#REF!</definedName>
    <definedName name="mesin.pompa" localSheetId="12">#REF!</definedName>
    <definedName name="mesin.pompa" localSheetId="11">#REF!</definedName>
    <definedName name="mesin.pompa" localSheetId="10">#REF!</definedName>
    <definedName name="mesin.pompa" localSheetId="9">#REF!</definedName>
    <definedName name="mesin.pompa" localSheetId="8">#REF!</definedName>
    <definedName name="mesin.tes" localSheetId="19">#REF!</definedName>
    <definedName name="mesin.tes" localSheetId="18">#REF!</definedName>
    <definedName name="mesin.tes" localSheetId="17">#REF!</definedName>
    <definedName name="mesin.tes" localSheetId="16">#REF!</definedName>
    <definedName name="mesin.tes" localSheetId="15">#REF!</definedName>
    <definedName name="mesin.tes" localSheetId="14">#REF!</definedName>
    <definedName name="mesin.tes" localSheetId="25">#REF!</definedName>
    <definedName name="mesin.tes" localSheetId="24">#REF!</definedName>
    <definedName name="mesin.tes" localSheetId="23">#REF!</definedName>
    <definedName name="mesin.tes" localSheetId="22">#REF!</definedName>
    <definedName name="mesin.tes" localSheetId="21">#REF!</definedName>
    <definedName name="mesin.tes" localSheetId="20">#REF!</definedName>
    <definedName name="mesin.tes" localSheetId="13">#REF!</definedName>
    <definedName name="mesin.tes" localSheetId="12">#REF!</definedName>
    <definedName name="mesin.tes" localSheetId="11">#REF!</definedName>
    <definedName name="mesin.tes" localSheetId="10">#REF!</definedName>
    <definedName name="mesin.tes" localSheetId="9">#REF!</definedName>
    <definedName name="mesin.tes" localSheetId="8">#REF!</definedName>
    <definedName name="mesinlas.pe" localSheetId="19">#REF!</definedName>
    <definedName name="mesinlas.pe" localSheetId="18">#REF!</definedName>
    <definedName name="mesinlas.pe" localSheetId="17">#REF!</definedName>
    <definedName name="mesinlas.pe" localSheetId="16">#REF!</definedName>
    <definedName name="mesinlas.pe" localSheetId="15">#REF!</definedName>
    <definedName name="mesinlas.pe" localSheetId="14">#REF!</definedName>
    <definedName name="mesinlas.pe" localSheetId="25">#REF!</definedName>
    <definedName name="mesinlas.pe" localSheetId="24">#REF!</definedName>
    <definedName name="mesinlas.pe" localSheetId="23">#REF!</definedName>
    <definedName name="mesinlas.pe" localSheetId="22">#REF!</definedName>
    <definedName name="mesinlas.pe" localSheetId="21">#REF!</definedName>
    <definedName name="mesinlas.pe" localSheetId="20">#REF!</definedName>
    <definedName name="mesinlas.pe" localSheetId="13">#REF!</definedName>
    <definedName name="mesinlas.pe" localSheetId="12">#REF!</definedName>
    <definedName name="mesinlas.pe" localSheetId="11">#REF!</definedName>
    <definedName name="mesinlas.pe" localSheetId="10">#REF!</definedName>
    <definedName name="mesinlas.pe" localSheetId="9">#REF!</definedName>
    <definedName name="mesinlas.pe" localSheetId="8">#REF!</definedName>
    <definedName name="minyak.begisting" localSheetId="19">#REF!</definedName>
    <definedName name="minyak.begisting" localSheetId="18">#REF!</definedName>
    <definedName name="minyak.begisting" localSheetId="17">#REF!</definedName>
    <definedName name="minyak.begisting" localSheetId="16">#REF!</definedName>
    <definedName name="minyak.begisting" localSheetId="15">#REF!</definedName>
    <definedName name="minyak.begisting" localSheetId="14">#REF!</definedName>
    <definedName name="minyak.begisting" localSheetId="25">#REF!</definedName>
    <definedName name="minyak.begisting" localSheetId="24">#REF!</definedName>
    <definedName name="minyak.begisting" localSheetId="23">#REF!</definedName>
    <definedName name="minyak.begisting" localSheetId="22">#REF!</definedName>
    <definedName name="minyak.begisting" localSheetId="21">#REF!</definedName>
    <definedName name="minyak.begisting" localSheetId="20">#REF!</definedName>
    <definedName name="minyak.begisting" localSheetId="13">#REF!</definedName>
    <definedName name="minyak.begisting" localSheetId="12">#REF!</definedName>
    <definedName name="minyak.begisting" localSheetId="11">#REF!</definedName>
    <definedName name="minyak.begisting" localSheetId="10">#REF!</definedName>
    <definedName name="minyak.begisting" localSheetId="9">#REF!</definedName>
    <definedName name="minyak.begisting" localSheetId="8">#REF!</definedName>
    <definedName name="minyak.cat" localSheetId="19">#REF!</definedName>
    <definedName name="minyak.cat" localSheetId="18">#REF!</definedName>
    <definedName name="minyak.cat" localSheetId="17">#REF!</definedName>
    <definedName name="minyak.cat" localSheetId="16">#REF!</definedName>
    <definedName name="minyak.cat" localSheetId="15">#REF!</definedName>
    <definedName name="minyak.cat" localSheetId="14">#REF!</definedName>
    <definedName name="minyak.cat" localSheetId="25">#REF!</definedName>
    <definedName name="minyak.cat" localSheetId="24">#REF!</definedName>
    <definedName name="minyak.cat" localSheetId="23">#REF!</definedName>
    <definedName name="minyak.cat" localSheetId="22">#REF!</definedName>
    <definedName name="minyak.cat" localSheetId="21">#REF!</definedName>
    <definedName name="minyak.cat" localSheetId="20">#REF!</definedName>
    <definedName name="minyak.cat" localSheetId="13">#REF!</definedName>
    <definedName name="minyak.cat" localSheetId="12">#REF!</definedName>
    <definedName name="minyak.cat" localSheetId="11">#REF!</definedName>
    <definedName name="minyak.cat" localSheetId="10">#REF!</definedName>
    <definedName name="minyak.cat" localSheetId="9">#REF!</definedName>
    <definedName name="minyak.cat" localSheetId="8">#REF!</definedName>
    <definedName name="molen" localSheetId="19">#REF!</definedName>
    <definedName name="molen" localSheetId="18">#REF!</definedName>
    <definedName name="molen" localSheetId="17">#REF!</definedName>
    <definedName name="molen" localSheetId="16">#REF!</definedName>
    <definedName name="molen" localSheetId="15">#REF!</definedName>
    <definedName name="molen" localSheetId="14">#REF!</definedName>
    <definedName name="molen" localSheetId="25">#REF!</definedName>
    <definedName name="molen" localSheetId="24">#REF!</definedName>
    <definedName name="molen" localSheetId="23">#REF!</definedName>
    <definedName name="molen" localSheetId="22">#REF!</definedName>
    <definedName name="molen" localSheetId="21">#REF!</definedName>
    <definedName name="molen" localSheetId="20">#REF!</definedName>
    <definedName name="molen" localSheetId="13">#REF!</definedName>
    <definedName name="molen" localSheetId="12">#REF!</definedName>
    <definedName name="molen" localSheetId="11">#REF!</definedName>
    <definedName name="molen" localSheetId="10">#REF!</definedName>
    <definedName name="molen" localSheetId="9">#REF!</definedName>
    <definedName name="molen" localSheetId="8">#REF!</definedName>
    <definedName name="multiplek.18" localSheetId="19">#REF!</definedName>
    <definedName name="multiplek.18" localSheetId="18">#REF!</definedName>
    <definedName name="multiplek.18" localSheetId="17">#REF!</definedName>
    <definedName name="multiplek.18" localSheetId="16">#REF!</definedName>
    <definedName name="multiplek.18" localSheetId="15">#REF!</definedName>
    <definedName name="multiplek.18" localSheetId="14">#REF!</definedName>
    <definedName name="multiplek.18" localSheetId="25">#REF!</definedName>
    <definedName name="multiplek.18" localSheetId="24">#REF!</definedName>
    <definedName name="multiplek.18" localSheetId="23">#REF!</definedName>
    <definedName name="multiplek.18" localSheetId="22">#REF!</definedName>
    <definedName name="multiplek.18" localSheetId="21">#REF!</definedName>
    <definedName name="multiplek.18" localSheetId="20">#REF!</definedName>
    <definedName name="multiplek.18" localSheetId="13">#REF!</definedName>
    <definedName name="multiplek.18" localSheetId="12">#REF!</definedName>
    <definedName name="multiplek.18" localSheetId="11">#REF!</definedName>
    <definedName name="multiplek.18" localSheetId="10">#REF!</definedName>
    <definedName name="multiplek.18" localSheetId="9">#REF!</definedName>
    <definedName name="multiplek.18" localSheetId="8">#REF!</definedName>
    <definedName name="nako" localSheetId="19">#REF!</definedName>
    <definedName name="nako" localSheetId="18">#REF!</definedName>
    <definedName name="nako" localSheetId="17">#REF!</definedName>
    <definedName name="nako" localSheetId="16">#REF!</definedName>
    <definedName name="nako" localSheetId="15">#REF!</definedName>
    <definedName name="nako" localSheetId="14">#REF!</definedName>
    <definedName name="nako" localSheetId="25">#REF!</definedName>
    <definedName name="nako" localSheetId="24">#REF!</definedName>
    <definedName name="nako" localSheetId="23">#REF!</definedName>
    <definedName name="nako" localSheetId="22">#REF!</definedName>
    <definedName name="nako" localSheetId="21">#REF!</definedName>
    <definedName name="nako" localSheetId="20">#REF!</definedName>
    <definedName name="nako" localSheetId="13">#REF!</definedName>
    <definedName name="nako" localSheetId="12">#REF!</definedName>
    <definedName name="nako" localSheetId="11">#REF!</definedName>
    <definedName name="nako" localSheetId="10">#REF!</definedName>
    <definedName name="nako" localSheetId="9">#REF!</definedName>
    <definedName name="nako" localSheetId="8">#REF!</definedName>
    <definedName name="NAMA_BKM" localSheetId="13">[5]KEL!$G$11:$G$1995</definedName>
    <definedName name="NAMA_BKM" localSheetId="12">[5]KEL!$G$11:$G$1995</definedName>
    <definedName name="NAMA_BKM" localSheetId="11">[5]KEL!$G$11:$G$1995</definedName>
    <definedName name="NAMA_BKM" localSheetId="10">[5]KEL!$G$11:$G$1995</definedName>
    <definedName name="NAMA_BKM" localSheetId="9">[5]KEL!$G$11:$G$1995</definedName>
    <definedName name="NAMA_BKM" localSheetId="8">[5]KEL!$G$11:$G$1995</definedName>
    <definedName name="NAMA_BKM">[6]KEL!$G$11:$G$1995</definedName>
    <definedName name="NAMA_KOTA" localSheetId="13">[5]KEL!$B$11:$B$1995</definedName>
    <definedName name="NAMA_KOTA" localSheetId="12">[5]KEL!$B$11:$B$1995</definedName>
    <definedName name="NAMA_KOTA" localSheetId="11">[5]KEL!$B$11:$B$1995</definedName>
    <definedName name="NAMA_KOTA" localSheetId="10">[5]KEL!$B$11:$B$1995</definedName>
    <definedName name="NAMA_KOTA" localSheetId="9">[5]KEL!$B$11:$B$1995</definedName>
    <definedName name="NAMA_KOTA" localSheetId="8">[5]KEL!$B$11:$B$1995</definedName>
    <definedName name="NAMA_KOTA">[6]KEL!$B$11:$B$1995</definedName>
    <definedName name="no" localSheetId="19">[17]SubGiatMak!#REF!</definedName>
    <definedName name="no" localSheetId="18">[17]SubGiatMak!#REF!</definedName>
    <definedName name="no" localSheetId="17">[17]SubGiatMak!#REF!</definedName>
    <definedName name="no" localSheetId="16">[17]SubGiatMak!#REF!</definedName>
    <definedName name="no" localSheetId="15">[17]SubGiatMak!#REF!</definedName>
    <definedName name="no" localSheetId="14">[17]SubGiatMak!#REF!</definedName>
    <definedName name="no" localSheetId="25">[17]SubGiatMak!#REF!</definedName>
    <definedName name="no" localSheetId="24">[17]SubGiatMak!#REF!</definedName>
    <definedName name="no" localSheetId="23">[17]SubGiatMak!#REF!</definedName>
    <definedName name="no" localSheetId="22">[17]SubGiatMak!#REF!</definedName>
    <definedName name="no" localSheetId="21">[17]SubGiatMak!#REF!</definedName>
    <definedName name="no" localSheetId="20">[17]SubGiatMak!#REF!</definedName>
    <definedName name="no" localSheetId="13">[18]SubGiatMak!#REF!</definedName>
    <definedName name="no" localSheetId="12">[18]SubGiatMak!#REF!</definedName>
    <definedName name="no" localSheetId="11">[18]SubGiatMak!#REF!</definedName>
    <definedName name="no" localSheetId="10">[18]SubGiatMak!#REF!</definedName>
    <definedName name="no" localSheetId="9">[18]SubGiatMak!#REF!</definedName>
    <definedName name="no" localSheetId="8">[18]SubGiatMak!#REF!</definedName>
    <definedName name="oli.100" localSheetId="19">#REF!</definedName>
    <definedName name="oli.100" localSheetId="18">#REF!</definedName>
    <definedName name="oli.100" localSheetId="17">#REF!</definedName>
    <definedName name="oli.100" localSheetId="16">#REF!</definedName>
    <definedName name="oli.100" localSheetId="15">#REF!</definedName>
    <definedName name="oli.100" localSheetId="14">#REF!</definedName>
    <definedName name="oli.100" localSheetId="25">#REF!</definedName>
    <definedName name="oli.100" localSheetId="24">#REF!</definedName>
    <definedName name="oli.100" localSheetId="23">#REF!</definedName>
    <definedName name="oli.100" localSheetId="22">#REF!</definedName>
    <definedName name="oli.100" localSheetId="21">#REF!</definedName>
    <definedName name="oli.100" localSheetId="20">#REF!</definedName>
    <definedName name="oli.100" localSheetId="13">#REF!</definedName>
    <definedName name="oli.100" localSheetId="12">#REF!</definedName>
    <definedName name="oli.100" localSheetId="11">#REF!</definedName>
    <definedName name="oli.100" localSheetId="10">#REF!</definedName>
    <definedName name="oli.100" localSheetId="9">#REF!</definedName>
    <definedName name="oli.100" localSheetId="8">#REF!</definedName>
    <definedName name="oli.30" localSheetId="19">#REF!</definedName>
    <definedName name="oli.30" localSheetId="18">#REF!</definedName>
    <definedName name="oli.30" localSheetId="17">#REF!</definedName>
    <definedName name="oli.30" localSheetId="16">#REF!</definedName>
    <definedName name="oli.30" localSheetId="15">#REF!</definedName>
    <definedName name="oli.30" localSheetId="14">#REF!</definedName>
    <definedName name="oli.30" localSheetId="25">#REF!</definedName>
    <definedName name="oli.30" localSheetId="24">#REF!</definedName>
    <definedName name="oli.30" localSheetId="23">#REF!</definedName>
    <definedName name="oli.30" localSheetId="22">#REF!</definedName>
    <definedName name="oli.30" localSheetId="21">#REF!</definedName>
    <definedName name="oli.30" localSheetId="20">#REF!</definedName>
    <definedName name="oli.30" localSheetId="13">#REF!</definedName>
    <definedName name="oli.30" localSheetId="12">#REF!</definedName>
    <definedName name="oli.30" localSheetId="11">#REF!</definedName>
    <definedName name="oli.30" localSheetId="10">#REF!</definedName>
    <definedName name="oli.30" localSheetId="9">#REF!</definedName>
    <definedName name="oli.30" localSheetId="8">#REF!</definedName>
    <definedName name="oli.40" localSheetId="19">#REF!</definedName>
    <definedName name="oli.40" localSheetId="18">#REF!</definedName>
    <definedName name="oli.40" localSheetId="17">#REF!</definedName>
    <definedName name="oli.40" localSheetId="16">#REF!</definedName>
    <definedName name="oli.40" localSheetId="15">#REF!</definedName>
    <definedName name="oli.40" localSheetId="14">#REF!</definedName>
    <definedName name="oli.40" localSheetId="25">#REF!</definedName>
    <definedName name="oli.40" localSheetId="24">#REF!</definedName>
    <definedName name="oli.40" localSheetId="23">#REF!</definedName>
    <definedName name="oli.40" localSheetId="22">#REF!</definedName>
    <definedName name="oli.40" localSheetId="21">#REF!</definedName>
    <definedName name="oli.40" localSheetId="20">#REF!</definedName>
    <definedName name="oli.40" localSheetId="13">#REF!</definedName>
    <definedName name="oli.40" localSheetId="12">#REF!</definedName>
    <definedName name="oli.40" localSheetId="11">#REF!</definedName>
    <definedName name="oli.40" localSheetId="10">#REF!</definedName>
    <definedName name="oli.40" localSheetId="9">#REF!</definedName>
    <definedName name="oli.40" localSheetId="8">#REF!</definedName>
    <definedName name="oli.90" localSheetId="19">#REF!</definedName>
    <definedName name="oli.90" localSheetId="18">#REF!</definedName>
    <definedName name="oli.90" localSheetId="17">#REF!</definedName>
    <definedName name="oli.90" localSheetId="16">#REF!</definedName>
    <definedName name="oli.90" localSheetId="15">#REF!</definedName>
    <definedName name="oli.90" localSheetId="14">#REF!</definedName>
    <definedName name="oli.90" localSheetId="25">#REF!</definedName>
    <definedName name="oli.90" localSheetId="24">#REF!</definedName>
    <definedName name="oli.90" localSheetId="23">#REF!</definedName>
    <definedName name="oli.90" localSheetId="22">#REF!</definedName>
    <definedName name="oli.90" localSheetId="21">#REF!</definedName>
    <definedName name="oli.90" localSheetId="20">#REF!</definedName>
    <definedName name="oli.90" localSheetId="13">#REF!</definedName>
    <definedName name="oli.90" localSheetId="12">#REF!</definedName>
    <definedName name="oli.90" localSheetId="11">#REF!</definedName>
    <definedName name="oli.90" localSheetId="10">#REF!</definedName>
    <definedName name="oli.90" localSheetId="9">#REF!</definedName>
    <definedName name="oli.90" localSheetId="8">#REF!</definedName>
    <definedName name="op.berat" localSheetId="19">#REF!</definedName>
    <definedName name="op.berat" localSheetId="18">#REF!</definedName>
    <definedName name="op.berat" localSheetId="17">#REF!</definedName>
    <definedName name="op.berat" localSheetId="16">#REF!</definedName>
    <definedName name="op.berat" localSheetId="15">#REF!</definedName>
    <definedName name="op.berat" localSheetId="14">#REF!</definedName>
    <definedName name="op.berat" localSheetId="25">#REF!</definedName>
    <definedName name="op.berat" localSheetId="24">#REF!</definedName>
    <definedName name="op.berat" localSheetId="23">#REF!</definedName>
    <definedName name="op.berat" localSheetId="22">#REF!</definedName>
    <definedName name="op.berat" localSheetId="21">#REF!</definedName>
    <definedName name="op.berat" localSheetId="20">#REF!</definedName>
    <definedName name="op.berat" localSheetId="13">#REF!</definedName>
    <definedName name="op.berat" localSheetId="12">#REF!</definedName>
    <definedName name="op.berat" localSheetId="11">#REF!</definedName>
    <definedName name="op.berat" localSheetId="10">#REF!</definedName>
    <definedName name="op.berat" localSheetId="9">#REF!</definedName>
    <definedName name="op.berat" localSheetId="8">#REF!</definedName>
    <definedName name="op.pompa" localSheetId="19">#REF!</definedName>
    <definedName name="op.pompa" localSheetId="18">#REF!</definedName>
    <definedName name="op.pompa" localSheetId="17">#REF!</definedName>
    <definedName name="op.pompa" localSheetId="16">#REF!</definedName>
    <definedName name="op.pompa" localSheetId="15">#REF!</definedName>
    <definedName name="op.pompa" localSheetId="14">#REF!</definedName>
    <definedName name="op.pompa" localSheetId="25">#REF!</definedName>
    <definedName name="op.pompa" localSheetId="24">#REF!</definedName>
    <definedName name="op.pompa" localSheetId="23">#REF!</definedName>
    <definedName name="op.pompa" localSheetId="22">#REF!</definedName>
    <definedName name="op.pompa" localSheetId="21">#REF!</definedName>
    <definedName name="op.pompa" localSheetId="20">#REF!</definedName>
    <definedName name="op.pompa" localSheetId="13">#REF!</definedName>
    <definedName name="op.pompa" localSheetId="12">#REF!</definedName>
    <definedName name="op.pompa" localSheetId="11">#REF!</definedName>
    <definedName name="op.pompa" localSheetId="10">#REF!</definedName>
    <definedName name="op.pompa" localSheetId="9">#REF!</definedName>
    <definedName name="op.pompa" localSheetId="8">#REF!</definedName>
    <definedName name="Operator.Ringan" localSheetId="19">#REF!</definedName>
    <definedName name="Operator.Ringan" localSheetId="18">#REF!</definedName>
    <definedName name="Operator.Ringan" localSheetId="17">#REF!</definedName>
    <definedName name="Operator.Ringan" localSheetId="16">#REF!</definedName>
    <definedName name="Operator.Ringan" localSheetId="15">#REF!</definedName>
    <definedName name="Operator.Ringan" localSheetId="14">#REF!</definedName>
    <definedName name="Operator.Ringan" localSheetId="25">#REF!</definedName>
    <definedName name="Operator.Ringan" localSheetId="24">#REF!</definedName>
    <definedName name="Operator.Ringan" localSheetId="23">#REF!</definedName>
    <definedName name="Operator.Ringan" localSheetId="22">#REF!</definedName>
    <definedName name="Operator.Ringan" localSheetId="21">#REF!</definedName>
    <definedName name="Operator.Ringan" localSheetId="20">#REF!</definedName>
    <definedName name="Operator.Ringan" localSheetId="13">#REF!</definedName>
    <definedName name="Operator.Ringan" localSheetId="12">#REF!</definedName>
    <definedName name="Operator.Ringan" localSheetId="11">#REF!</definedName>
    <definedName name="Operator.Ringan" localSheetId="10">#REF!</definedName>
    <definedName name="Operator.Ringan" localSheetId="9">#REF!</definedName>
    <definedName name="Operator.Ringan" localSheetId="8">#REF!</definedName>
    <definedName name="paku" localSheetId="19">#REF!</definedName>
    <definedName name="paku" localSheetId="18">#REF!</definedName>
    <definedName name="paku" localSheetId="17">#REF!</definedName>
    <definedName name="paku" localSheetId="16">#REF!</definedName>
    <definedName name="paku" localSheetId="15">#REF!</definedName>
    <definedName name="paku" localSheetId="14">#REF!</definedName>
    <definedName name="paku" localSheetId="25">#REF!</definedName>
    <definedName name="paku" localSheetId="24">#REF!</definedName>
    <definedName name="paku" localSheetId="23">#REF!</definedName>
    <definedName name="paku" localSheetId="22">#REF!</definedName>
    <definedName name="paku" localSheetId="21">#REF!</definedName>
    <definedName name="paku" localSheetId="20">#REF!</definedName>
    <definedName name="paku" localSheetId="13">#REF!</definedName>
    <definedName name="paku" localSheetId="12">#REF!</definedName>
    <definedName name="paku" localSheetId="11">#REF!</definedName>
    <definedName name="paku" localSheetId="10">#REF!</definedName>
    <definedName name="paku" localSheetId="9">#REF!</definedName>
    <definedName name="paku" localSheetId="8">#REF!</definedName>
    <definedName name="paku.kait" localSheetId="19">#REF!</definedName>
    <definedName name="paku.kait" localSheetId="18">#REF!</definedName>
    <definedName name="paku.kait" localSheetId="17">#REF!</definedName>
    <definedName name="paku.kait" localSheetId="16">#REF!</definedName>
    <definedName name="paku.kait" localSheetId="15">#REF!</definedName>
    <definedName name="paku.kait" localSheetId="14">#REF!</definedName>
    <definedName name="paku.kait" localSheetId="25">#REF!</definedName>
    <definedName name="paku.kait" localSheetId="24">#REF!</definedName>
    <definedName name="paku.kait" localSheetId="23">#REF!</definedName>
    <definedName name="paku.kait" localSheetId="22">#REF!</definedName>
    <definedName name="paku.kait" localSheetId="21">#REF!</definedName>
    <definedName name="paku.kait" localSheetId="20">#REF!</definedName>
    <definedName name="paku.kait" localSheetId="13">#REF!</definedName>
    <definedName name="paku.kait" localSheetId="12">#REF!</definedName>
    <definedName name="paku.kait" localSheetId="11">#REF!</definedName>
    <definedName name="paku.kait" localSheetId="10">#REF!</definedName>
    <definedName name="paku.kait" localSheetId="9">#REF!</definedName>
    <definedName name="paku.kait" localSheetId="8">#REF!</definedName>
    <definedName name="paku.reng" localSheetId="19">#REF!</definedName>
    <definedName name="paku.reng" localSheetId="18">#REF!</definedName>
    <definedName name="paku.reng" localSheetId="17">#REF!</definedName>
    <definedName name="paku.reng" localSheetId="16">#REF!</definedName>
    <definedName name="paku.reng" localSheetId="15">#REF!</definedName>
    <definedName name="paku.reng" localSheetId="14">#REF!</definedName>
    <definedName name="paku.reng" localSheetId="25">#REF!</definedName>
    <definedName name="paku.reng" localSheetId="24">#REF!</definedName>
    <definedName name="paku.reng" localSheetId="23">#REF!</definedName>
    <definedName name="paku.reng" localSheetId="22">#REF!</definedName>
    <definedName name="paku.reng" localSheetId="21">#REF!</definedName>
    <definedName name="paku.reng" localSheetId="20">#REF!</definedName>
    <definedName name="paku.reng" localSheetId="13">#REF!</definedName>
    <definedName name="paku.reng" localSheetId="12">#REF!</definedName>
    <definedName name="paku.reng" localSheetId="11">#REF!</definedName>
    <definedName name="paku.reng" localSheetId="10">#REF!</definedName>
    <definedName name="paku.reng" localSheetId="9">#REF!</definedName>
    <definedName name="paku.reng" localSheetId="8">#REF!</definedName>
    <definedName name="paku.seng" localSheetId="19">#REF!</definedName>
    <definedName name="paku.seng" localSheetId="18">#REF!</definedName>
    <definedName name="paku.seng" localSheetId="17">#REF!</definedName>
    <definedName name="paku.seng" localSheetId="16">#REF!</definedName>
    <definedName name="paku.seng" localSheetId="15">#REF!</definedName>
    <definedName name="paku.seng" localSheetId="14">#REF!</definedName>
    <definedName name="paku.seng" localSheetId="25">#REF!</definedName>
    <definedName name="paku.seng" localSheetId="24">#REF!</definedName>
    <definedName name="paku.seng" localSheetId="23">#REF!</definedName>
    <definedName name="paku.seng" localSheetId="22">#REF!</definedName>
    <definedName name="paku.seng" localSheetId="21">#REF!</definedName>
    <definedName name="paku.seng" localSheetId="20">#REF!</definedName>
    <definedName name="paku.seng" localSheetId="13">#REF!</definedName>
    <definedName name="paku.seng" localSheetId="12">#REF!</definedName>
    <definedName name="paku.seng" localSheetId="11">#REF!</definedName>
    <definedName name="paku.seng" localSheetId="10">#REF!</definedName>
    <definedName name="paku.seng" localSheetId="9">#REF!</definedName>
    <definedName name="paku.seng" localSheetId="8">#REF!</definedName>
    <definedName name="paku.usuk" localSheetId="19">#REF!</definedName>
    <definedName name="paku.usuk" localSheetId="18">#REF!</definedName>
    <definedName name="paku.usuk" localSheetId="17">#REF!</definedName>
    <definedName name="paku.usuk" localSheetId="16">#REF!</definedName>
    <definedName name="paku.usuk" localSheetId="15">#REF!</definedName>
    <definedName name="paku.usuk" localSheetId="14">#REF!</definedName>
    <definedName name="paku.usuk" localSheetId="25">#REF!</definedName>
    <definedName name="paku.usuk" localSheetId="24">#REF!</definedName>
    <definedName name="paku.usuk" localSheetId="23">#REF!</definedName>
    <definedName name="paku.usuk" localSheetId="22">#REF!</definedName>
    <definedName name="paku.usuk" localSheetId="21">#REF!</definedName>
    <definedName name="paku.usuk" localSheetId="20">#REF!</definedName>
    <definedName name="paku.usuk" localSheetId="13">#REF!</definedName>
    <definedName name="paku.usuk" localSheetId="12">#REF!</definedName>
    <definedName name="paku.usuk" localSheetId="11">#REF!</definedName>
    <definedName name="paku.usuk" localSheetId="10">#REF!</definedName>
    <definedName name="paku.usuk" localSheetId="9">#REF!</definedName>
    <definedName name="paku.usuk" localSheetId="8">#REF!</definedName>
    <definedName name="Papan.1" localSheetId="19">#REF!</definedName>
    <definedName name="Papan.1" localSheetId="18">#REF!</definedName>
    <definedName name="Papan.1" localSheetId="17">#REF!</definedName>
    <definedName name="Papan.1" localSheetId="16">#REF!</definedName>
    <definedName name="Papan.1" localSheetId="15">#REF!</definedName>
    <definedName name="Papan.1" localSheetId="14">#REF!</definedName>
    <definedName name="Papan.1" localSheetId="25">#REF!</definedName>
    <definedName name="Papan.1" localSheetId="24">#REF!</definedName>
    <definedName name="Papan.1" localSheetId="23">#REF!</definedName>
    <definedName name="Papan.1" localSheetId="22">#REF!</definedName>
    <definedName name="Papan.1" localSheetId="21">#REF!</definedName>
    <definedName name="Papan.1" localSheetId="20">#REF!</definedName>
    <definedName name="Papan.1" localSheetId="13">#REF!</definedName>
    <definedName name="Papan.1" localSheetId="12">#REF!</definedName>
    <definedName name="Papan.1" localSheetId="11">#REF!</definedName>
    <definedName name="Papan.1" localSheetId="10">#REF!</definedName>
    <definedName name="Papan.1" localSheetId="9">#REF!</definedName>
    <definedName name="Papan.1" localSheetId="8">#REF!</definedName>
    <definedName name="Papan.2" localSheetId="19">#REF!</definedName>
    <definedName name="Papan.2" localSheetId="18">#REF!</definedName>
    <definedName name="Papan.2" localSheetId="17">#REF!</definedName>
    <definedName name="Papan.2" localSheetId="16">#REF!</definedName>
    <definedName name="Papan.2" localSheetId="15">#REF!</definedName>
    <definedName name="Papan.2" localSheetId="14">#REF!</definedName>
    <definedName name="Papan.2" localSheetId="25">#REF!</definedName>
    <definedName name="Papan.2" localSheetId="24">#REF!</definedName>
    <definedName name="Papan.2" localSheetId="23">#REF!</definedName>
    <definedName name="Papan.2" localSheetId="22">#REF!</definedName>
    <definedName name="Papan.2" localSheetId="21">#REF!</definedName>
    <definedName name="Papan.2" localSheetId="20">#REF!</definedName>
    <definedName name="Papan.2" localSheetId="13">#REF!</definedName>
    <definedName name="Papan.2" localSheetId="12">#REF!</definedName>
    <definedName name="Papan.2" localSheetId="11">#REF!</definedName>
    <definedName name="Papan.2" localSheetId="10">#REF!</definedName>
    <definedName name="Papan.2" localSheetId="9">#REF!</definedName>
    <definedName name="Papan.2" localSheetId="8">#REF!</definedName>
    <definedName name="papan.3" localSheetId="19">#REF!</definedName>
    <definedName name="papan.3" localSheetId="18">#REF!</definedName>
    <definedName name="papan.3" localSheetId="17">#REF!</definedName>
    <definedName name="papan.3" localSheetId="16">#REF!</definedName>
    <definedName name="papan.3" localSheetId="15">#REF!</definedName>
    <definedName name="papan.3" localSheetId="14">#REF!</definedName>
    <definedName name="papan.3" localSheetId="25">#REF!</definedName>
    <definedName name="papan.3" localSheetId="24">#REF!</definedName>
    <definedName name="papan.3" localSheetId="23">#REF!</definedName>
    <definedName name="papan.3" localSheetId="22">#REF!</definedName>
    <definedName name="papan.3" localSheetId="21">#REF!</definedName>
    <definedName name="papan.3" localSheetId="20">#REF!</definedName>
    <definedName name="papan.3" localSheetId="13">#REF!</definedName>
    <definedName name="papan.3" localSheetId="12">#REF!</definedName>
    <definedName name="papan.3" localSheetId="11">#REF!</definedName>
    <definedName name="papan.3" localSheetId="10">#REF!</definedName>
    <definedName name="papan.3" localSheetId="9">#REF!</definedName>
    <definedName name="papan.3" localSheetId="8">#REF!</definedName>
    <definedName name="Pasir.Beton" localSheetId="19">#REF!</definedName>
    <definedName name="Pasir.Beton" localSheetId="18">#REF!</definedName>
    <definedName name="Pasir.Beton" localSheetId="17">#REF!</definedName>
    <definedName name="Pasir.Beton" localSheetId="16">#REF!</definedName>
    <definedName name="Pasir.Beton" localSheetId="15">#REF!</definedName>
    <definedName name="Pasir.Beton" localSheetId="14">#REF!</definedName>
    <definedName name="Pasir.Beton" localSheetId="25">#REF!</definedName>
    <definedName name="Pasir.Beton" localSheetId="24">#REF!</definedName>
    <definedName name="Pasir.Beton" localSheetId="23">#REF!</definedName>
    <definedName name="Pasir.Beton" localSheetId="22">#REF!</definedName>
    <definedName name="Pasir.Beton" localSheetId="21">#REF!</definedName>
    <definedName name="Pasir.Beton" localSheetId="20">#REF!</definedName>
    <definedName name="Pasir.Beton" localSheetId="13">#REF!</definedName>
    <definedName name="Pasir.Beton" localSheetId="12">#REF!</definedName>
    <definedName name="Pasir.Beton" localSheetId="11">#REF!</definedName>
    <definedName name="Pasir.Beton" localSheetId="10">#REF!</definedName>
    <definedName name="Pasir.Beton" localSheetId="9">#REF!</definedName>
    <definedName name="Pasir.Beton" localSheetId="8">#REF!</definedName>
    <definedName name="pasir.k.0.9" localSheetId="19">#REF!</definedName>
    <definedName name="pasir.k.0.9" localSheetId="18">#REF!</definedName>
    <definedName name="pasir.k.0.9" localSheetId="17">#REF!</definedName>
    <definedName name="pasir.k.0.9" localSheetId="16">#REF!</definedName>
    <definedName name="pasir.k.0.9" localSheetId="15">#REF!</definedName>
    <definedName name="pasir.k.0.9" localSheetId="14">#REF!</definedName>
    <definedName name="pasir.k.0.9" localSheetId="25">#REF!</definedName>
    <definedName name="pasir.k.0.9" localSheetId="24">#REF!</definedName>
    <definedName name="pasir.k.0.9" localSheetId="23">#REF!</definedName>
    <definedName name="pasir.k.0.9" localSheetId="22">#REF!</definedName>
    <definedName name="pasir.k.0.9" localSheetId="21">#REF!</definedName>
    <definedName name="pasir.k.0.9" localSheetId="20">#REF!</definedName>
    <definedName name="pasir.k.0.9" localSheetId="13">#REF!</definedName>
    <definedName name="pasir.k.0.9" localSheetId="12">#REF!</definedName>
    <definedName name="pasir.k.0.9" localSheetId="11">#REF!</definedName>
    <definedName name="pasir.k.0.9" localSheetId="10">#REF!</definedName>
    <definedName name="pasir.k.0.9" localSheetId="9">#REF!</definedName>
    <definedName name="pasir.k.0.9" localSheetId="8">#REF!</definedName>
    <definedName name="pasir.k.1.2" localSheetId="19">#REF!</definedName>
    <definedName name="pasir.k.1.2" localSheetId="18">#REF!</definedName>
    <definedName name="pasir.k.1.2" localSheetId="17">#REF!</definedName>
    <definedName name="pasir.k.1.2" localSheetId="16">#REF!</definedName>
    <definedName name="pasir.k.1.2" localSheetId="15">#REF!</definedName>
    <definedName name="pasir.k.1.2" localSheetId="14">#REF!</definedName>
    <definedName name="pasir.k.1.2" localSheetId="25">#REF!</definedName>
    <definedName name="pasir.k.1.2" localSheetId="24">#REF!</definedName>
    <definedName name="pasir.k.1.2" localSheetId="23">#REF!</definedName>
    <definedName name="pasir.k.1.2" localSheetId="22">#REF!</definedName>
    <definedName name="pasir.k.1.2" localSheetId="21">#REF!</definedName>
    <definedName name="pasir.k.1.2" localSheetId="20">#REF!</definedName>
    <definedName name="pasir.k.1.2" localSheetId="13">#REF!</definedName>
    <definedName name="pasir.k.1.2" localSheetId="12">#REF!</definedName>
    <definedName name="pasir.k.1.2" localSheetId="11">#REF!</definedName>
    <definedName name="pasir.k.1.2" localSheetId="10">#REF!</definedName>
    <definedName name="pasir.k.1.2" localSheetId="9">#REF!</definedName>
    <definedName name="pasir.k.1.2" localSheetId="8">#REF!</definedName>
    <definedName name="Pasir.Pasang" localSheetId="19">#REF!</definedName>
    <definedName name="Pasir.Pasang" localSheetId="18">#REF!</definedName>
    <definedName name="Pasir.Pasang" localSheetId="17">#REF!</definedName>
    <definedName name="Pasir.Pasang" localSheetId="16">#REF!</definedName>
    <definedName name="Pasir.Pasang" localSheetId="15">#REF!</definedName>
    <definedName name="Pasir.Pasang" localSheetId="14">#REF!</definedName>
    <definedName name="Pasir.Pasang" localSheetId="25">#REF!</definedName>
    <definedName name="Pasir.Pasang" localSheetId="24">#REF!</definedName>
    <definedName name="Pasir.Pasang" localSheetId="23">#REF!</definedName>
    <definedName name="Pasir.Pasang" localSheetId="22">#REF!</definedName>
    <definedName name="Pasir.Pasang" localSheetId="21">#REF!</definedName>
    <definedName name="Pasir.Pasang" localSheetId="20">#REF!</definedName>
    <definedName name="Pasir.Pasang" localSheetId="13">#REF!</definedName>
    <definedName name="Pasir.Pasang" localSheetId="12">#REF!</definedName>
    <definedName name="Pasir.Pasang" localSheetId="11">#REF!</definedName>
    <definedName name="Pasir.Pasang" localSheetId="10">#REF!</definedName>
    <definedName name="Pasir.Pasang" localSheetId="9">#REF!</definedName>
    <definedName name="Pasir.Pasang" localSheetId="8">#REF!</definedName>
    <definedName name="Pasir.urug" localSheetId="19">#REF!</definedName>
    <definedName name="Pasir.urug" localSheetId="18">#REF!</definedName>
    <definedName name="Pasir.urug" localSheetId="17">#REF!</definedName>
    <definedName name="Pasir.urug" localSheetId="16">#REF!</definedName>
    <definedName name="Pasir.urug" localSheetId="15">#REF!</definedName>
    <definedName name="Pasir.urug" localSheetId="14">#REF!</definedName>
    <definedName name="Pasir.urug" localSheetId="25">#REF!</definedName>
    <definedName name="Pasir.urug" localSheetId="24">#REF!</definedName>
    <definedName name="Pasir.urug" localSheetId="23">#REF!</definedName>
    <definedName name="Pasir.urug" localSheetId="22">#REF!</definedName>
    <definedName name="Pasir.urug" localSheetId="21">#REF!</definedName>
    <definedName name="Pasir.urug" localSheetId="20">#REF!</definedName>
    <definedName name="Pasir.urug" localSheetId="13">#REF!</definedName>
    <definedName name="Pasir.urug" localSheetId="12">#REF!</definedName>
    <definedName name="Pasir.urug" localSheetId="11">#REF!</definedName>
    <definedName name="Pasir.urug" localSheetId="10">#REF!</definedName>
    <definedName name="Pasir.urug" localSheetId="9">#REF!</definedName>
    <definedName name="Pasir.urug" localSheetId="8">#REF!</definedName>
    <definedName name="paving" localSheetId="19">#REF!</definedName>
    <definedName name="paving" localSheetId="18">#REF!</definedName>
    <definedName name="paving" localSheetId="17">#REF!</definedName>
    <definedName name="paving" localSheetId="16">#REF!</definedName>
    <definedName name="paving" localSheetId="15">#REF!</definedName>
    <definedName name="paving" localSheetId="14">#REF!</definedName>
    <definedName name="paving" localSheetId="25">#REF!</definedName>
    <definedName name="paving" localSheetId="24">#REF!</definedName>
    <definedName name="paving" localSheetId="23">#REF!</definedName>
    <definedName name="paving" localSheetId="22">#REF!</definedName>
    <definedName name="paving" localSheetId="21">#REF!</definedName>
    <definedName name="paving" localSheetId="20">#REF!</definedName>
    <definedName name="paving" localSheetId="13">#REF!</definedName>
    <definedName name="paving" localSheetId="12">#REF!</definedName>
    <definedName name="paving" localSheetId="11">#REF!</definedName>
    <definedName name="paving" localSheetId="10">#REF!</definedName>
    <definedName name="paving" localSheetId="9">#REF!</definedName>
    <definedName name="paving" localSheetId="8">#REF!</definedName>
    <definedName name="paving.3b" localSheetId="19">#REF!</definedName>
    <definedName name="paving.3b" localSheetId="18">#REF!</definedName>
    <definedName name="paving.3b" localSheetId="17">#REF!</definedName>
    <definedName name="paving.3b" localSheetId="16">#REF!</definedName>
    <definedName name="paving.3b" localSheetId="15">#REF!</definedName>
    <definedName name="paving.3b" localSheetId="14">#REF!</definedName>
    <definedName name="paving.3b" localSheetId="25">#REF!</definedName>
    <definedName name="paving.3b" localSheetId="24">#REF!</definedName>
    <definedName name="paving.3b" localSheetId="23">#REF!</definedName>
    <definedName name="paving.3b" localSheetId="22">#REF!</definedName>
    <definedName name="paving.3b" localSheetId="21">#REF!</definedName>
    <definedName name="paving.3b" localSheetId="20">#REF!</definedName>
    <definedName name="paving.3b" localSheetId="13">#REF!</definedName>
    <definedName name="paving.3b" localSheetId="12">#REF!</definedName>
    <definedName name="paving.3b" localSheetId="11">#REF!</definedName>
    <definedName name="paving.3b" localSheetId="10">#REF!</definedName>
    <definedName name="paving.3b" localSheetId="9">#REF!</definedName>
    <definedName name="paving.3b" localSheetId="8">#REF!</definedName>
    <definedName name="pc" localSheetId="19">#REF!</definedName>
    <definedName name="pc" localSheetId="18">#REF!</definedName>
    <definedName name="pc" localSheetId="17">#REF!</definedName>
    <definedName name="pc" localSheetId="16">#REF!</definedName>
    <definedName name="pc" localSheetId="15">#REF!</definedName>
    <definedName name="pc" localSheetId="14">#REF!</definedName>
    <definedName name="pc" localSheetId="25">#REF!</definedName>
    <definedName name="pc" localSheetId="24">#REF!</definedName>
    <definedName name="pc" localSheetId="23">#REF!</definedName>
    <definedName name="pc" localSheetId="22">#REF!</definedName>
    <definedName name="pc" localSheetId="21">#REF!</definedName>
    <definedName name="pc" localSheetId="20">#REF!</definedName>
    <definedName name="pc" localSheetId="13">#REF!</definedName>
    <definedName name="pc" localSheetId="12">#REF!</definedName>
    <definedName name="pc" localSheetId="11">#REF!</definedName>
    <definedName name="pc" localSheetId="10">#REF!</definedName>
    <definedName name="pc" localSheetId="9">#REF!</definedName>
    <definedName name="pc" localSheetId="8">#REF!</definedName>
    <definedName name="pd.200.0.6" localSheetId="19">#REF!</definedName>
    <definedName name="pd.200.0.6" localSheetId="18">#REF!</definedName>
    <definedName name="pd.200.0.6" localSheetId="17">#REF!</definedName>
    <definedName name="pd.200.0.6" localSheetId="16">#REF!</definedName>
    <definedName name="pd.200.0.6" localSheetId="15">#REF!</definedName>
    <definedName name="pd.200.0.6" localSheetId="14">#REF!</definedName>
    <definedName name="pd.200.0.6" localSheetId="25">#REF!</definedName>
    <definedName name="pd.200.0.6" localSheetId="24">#REF!</definedName>
    <definedName name="pd.200.0.6" localSheetId="23">#REF!</definedName>
    <definedName name="pd.200.0.6" localSheetId="22">#REF!</definedName>
    <definedName name="pd.200.0.6" localSheetId="21">#REF!</definedName>
    <definedName name="pd.200.0.6" localSheetId="20">#REF!</definedName>
    <definedName name="pd.200.0.6" localSheetId="13">#REF!</definedName>
    <definedName name="pd.200.0.6" localSheetId="12">#REF!</definedName>
    <definedName name="pd.200.0.6" localSheetId="11">#REF!</definedName>
    <definedName name="pd.200.0.6" localSheetId="10">#REF!</definedName>
    <definedName name="pd.200.0.6" localSheetId="9">#REF!</definedName>
    <definedName name="pd.200.0.6" localSheetId="8">#REF!</definedName>
    <definedName name="PD.250.0.6" localSheetId="19">#REF!</definedName>
    <definedName name="PD.250.0.6" localSheetId="18">#REF!</definedName>
    <definedName name="PD.250.0.6" localSheetId="17">#REF!</definedName>
    <definedName name="PD.250.0.6" localSheetId="16">#REF!</definedName>
    <definedName name="PD.250.0.6" localSheetId="15">#REF!</definedName>
    <definedName name="PD.250.0.6" localSheetId="14">#REF!</definedName>
    <definedName name="PD.250.0.6" localSheetId="25">#REF!</definedName>
    <definedName name="PD.250.0.6" localSheetId="24">#REF!</definedName>
    <definedName name="PD.250.0.6" localSheetId="23">#REF!</definedName>
    <definedName name="PD.250.0.6" localSheetId="22">#REF!</definedName>
    <definedName name="PD.250.0.6" localSheetId="21">#REF!</definedName>
    <definedName name="PD.250.0.6" localSheetId="20">#REF!</definedName>
    <definedName name="PD.250.0.6" localSheetId="13">#REF!</definedName>
    <definedName name="PD.250.0.6" localSheetId="12">#REF!</definedName>
    <definedName name="PD.250.0.6" localSheetId="11">#REF!</definedName>
    <definedName name="PD.250.0.6" localSheetId="10">#REF!</definedName>
    <definedName name="PD.250.0.6" localSheetId="9">#REF!</definedName>
    <definedName name="PD.250.0.6" localSheetId="8">#REF!</definedName>
    <definedName name="pd.300.0.6" localSheetId="19">#REF!</definedName>
    <definedName name="pd.300.0.6" localSheetId="18">#REF!</definedName>
    <definedName name="pd.300.0.6" localSheetId="17">#REF!</definedName>
    <definedName name="pd.300.0.6" localSheetId="16">#REF!</definedName>
    <definedName name="pd.300.0.6" localSheetId="15">#REF!</definedName>
    <definedName name="pd.300.0.6" localSheetId="14">#REF!</definedName>
    <definedName name="pd.300.0.6" localSheetId="25">#REF!</definedName>
    <definedName name="pd.300.0.6" localSheetId="24">#REF!</definedName>
    <definedName name="pd.300.0.6" localSheetId="23">#REF!</definedName>
    <definedName name="pd.300.0.6" localSheetId="22">#REF!</definedName>
    <definedName name="pd.300.0.6" localSheetId="21">#REF!</definedName>
    <definedName name="pd.300.0.6" localSheetId="20">#REF!</definedName>
    <definedName name="pd.300.0.6" localSheetId="13">#REF!</definedName>
    <definedName name="pd.300.0.6" localSheetId="12">#REF!</definedName>
    <definedName name="pd.300.0.6" localSheetId="11">#REF!</definedName>
    <definedName name="pd.300.0.6" localSheetId="10">#REF!</definedName>
    <definedName name="pd.300.0.6" localSheetId="9">#REF!</definedName>
    <definedName name="pd.300.0.6" localSheetId="8">#REF!</definedName>
    <definedName name="pd.300.0.6.s" localSheetId="19">#REF!</definedName>
    <definedName name="pd.300.0.6.s" localSheetId="18">#REF!</definedName>
    <definedName name="pd.300.0.6.s" localSheetId="17">#REF!</definedName>
    <definedName name="pd.300.0.6.s" localSheetId="16">#REF!</definedName>
    <definedName name="pd.300.0.6.s" localSheetId="15">#REF!</definedName>
    <definedName name="pd.300.0.6.s" localSheetId="14">#REF!</definedName>
    <definedName name="pd.300.0.6.s" localSheetId="25">#REF!</definedName>
    <definedName name="pd.300.0.6.s" localSheetId="24">#REF!</definedName>
    <definedName name="pd.300.0.6.s" localSheetId="23">#REF!</definedName>
    <definedName name="pd.300.0.6.s" localSheetId="22">#REF!</definedName>
    <definedName name="pd.300.0.6.s" localSheetId="21">#REF!</definedName>
    <definedName name="pd.300.0.6.s" localSheetId="20">#REF!</definedName>
    <definedName name="pd.300.0.6.s" localSheetId="13">#REF!</definedName>
    <definedName name="pd.300.0.6.s" localSheetId="12">#REF!</definedName>
    <definedName name="pd.300.0.6.s" localSheetId="11">#REF!</definedName>
    <definedName name="pd.300.0.6.s" localSheetId="10">#REF!</definedName>
    <definedName name="pd.300.0.6.s" localSheetId="9">#REF!</definedName>
    <definedName name="pd.300.0.6.s" localSheetId="8">#REF!</definedName>
    <definedName name="pd.300.1" localSheetId="19">#REF!</definedName>
    <definedName name="pd.300.1" localSheetId="18">#REF!</definedName>
    <definedName name="pd.300.1" localSheetId="17">#REF!</definedName>
    <definedName name="pd.300.1" localSheetId="16">#REF!</definedName>
    <definedName name="pd.300.1" localSheetId="15">#REF!</definedName>
    <definedName name="pd.300.1" localSheetId="14">#REF!</definedName>
    <definedName name="pd.300.1" localSheetId="25">#REF!</definedName>
    <definedName name="pd.300.1" localSheetId="24">#REF!</definedName>
    <definedName name="pd.300.1" localSheetId="23">#REF!</definedName>
    <definedName name="pd.300.1" localSheetId="22">#REF!</definedName>
    <definedName name="pd.300.1" localSheetId="21">#REF!</definedName>
    <definedName name="pd.300.1" localSheetId="20">#REF!</definedName>
    <definedName name="pd.300.1" localSheetId="13">#REF!</definedName>
    <definedName name="pd.300.1" localSheetId="12">#REF!</definedName>
    <definedName name="pd.300.1" localSheetId="11">#REF!</definedName>
    <definedName name="pd.300.1" localSheetId="10">#REF!</definedName>
    <definedName name="pd.300.1" localSheetId="9">#REF!</definedName>
    <definedName name="pd.300.1" localSheetId="8">#REF!</definedName>
    <definedName name="pd.300.1.5" localSheetId="19">#REF!</definedName>
    <definedName name="pd.300.1.5" localSheetId="18">#REF!</definedName>
    <definedName name="pd.300.1.5" localSheetId="17">#REF!</definedName>
    <definedName name="pd.300.1.5" localSheetId="16">#REF!</definedName>
    <definedName name="pd.300.1.5" localSheetId="15">#REF!</definedName>
    <definedName name="pd.300.1.5" localSheetId="14">#REF!</definedName>
    <definedName name="pd.300.1.5" localSheetId="25">#REF!</definedName>
    <definedName name="pd.300.1.5" localSheetId="24">#REF!</definedName>
    <definedName name="pd.300.1.5" localSheetId="23">#REF!</definedName>
    <definedName name="pd.300.1.5" localSheetId="22">#REF!</definedName>
    <definedName name="pd.300.1.5" localSheetId="21">#REF!</definedName>
    <definedName name="pd.300.1.5" localSheetId="20">#REF!</definedName>
    <definedName name="pd.300.1.5" localSheetId="13">#REF!</definedName>
    <definedName name="pd.300.1.5" localSheetId="12">#REF!</definedName>
    <definedName name="pd.300.1.5" localSheetId="11">#REF!</definedName>
    <definedName name="pd.300.1.5" localSheetId="10">#REF!</definedName>
    <definedName name="pd.300.1.5" localSheetId="9">#REF!</definedName>
    <definedName name="pd.300.1.5" localSheetId="8">#REF!</definedName>
    <definedName name="pd.300.4" localSheetId="19">#REF!</definedName>
    <definedName name="pd.300.4" localSheetId="18">#REF!</definedName>
    <definedName name="pd.300.4" localSheetId="17">#REF!</definedName>
    <definedName name="pd.300.4" localSheetId="16">#REF!</definedName>
    <definedName name="pd.300.4" localSheetId="15">#REF!</definedName>
    <definedName name="pd.300.4" localSheetId="14">#REF!</definedName>
    <definedName name="pd.300.4" localSheetId="25">#REF!</definedName>
    <definedName name="pd.300.4" localSheetId="24">#REF!</definedName>
    <definedName name="pd.300.4" localSheetId="23">#REF!</definedName>
    <definedName name="pd.300.4" localSheetId="22">#REF!</definedName>
    <definedName name="pd.300.4" localSheetId="21">#REF!</definedName>
    <definedName name="pd.300.4" localSheetId="20">#REF!</definedName>
    <definedName name="pd.300.4" localSheetId="13">#REF!</definedName>
    <definedName name="pd.300.4" localSheetId="12">#REF!</definedName>
    <definedName name="pd.300.4" localSheetId="11">#REF!</definedName>
    <definedName name="pd.300.4" localSheetId="10">#REF!</definedName>
    <definedName name="pd.300.4" localSheetId="9">#REF!</definedName>
    <definedName name="pd.300.4" localSheetId="8">#REF!</definedName>
    <definedName name="pd.300.6.0" localSheetId="19">#REF!</definedName>
    <definedName name="pd.300.6.0" localSheetId="18">#REF!</definedName>
    <definedName name="pd.300.6.0" localSheetId="17">#REF!</definedName>
    <definedName name="pd.300.6.0" localSheetId="16">#REF!</definedName>
    <definedName name="pd.300.6.0" localSheetId="15">#REF!</definedName>
    <definedName name="pd.300.6.0" localSheetId="14">#REF!</definedName>
    <definedName name="pd.300.6.0" localSheetId="25">#REF!</definedName>
    <definedName name="pd.300.6.0" localSheetId="24">#REF!</definedName>
    <definedName name="pd.300.6.0" localSheetId="23">#REF!</definedName>
    <definedName name="pd.300.6.0" localSheetId="22">#REF!</definedName>
    <definedName name="pd.300.6.0" localSheetId="21">#REF!</definedName>
    <definedName name="pd.300.6.0" localSheetId="20">#REF!</definedName>
    <definedName name="pd.300.6.0" localSheetId="13">#REF!</definedName>
    <definedName name="pd.300.6.0" localSheetId="12">#REF!</definedName>
    <definedName name="pd.300.6.0" localSheetId="11">#REF!</definedName>
    <definedName name="pd.300.6.0" localSheetId="10">#REF!</definedName>
    <definedName name="pd.300.6.0" localSheetId="9">#REF!</definedName>
    <definedName name="pd.300.6.0" localSheetId="8">#REF!</definedName>
    <definedName name="pd.500.0.6" localSheetId="19">#REF!</definedName>
    <definedName name="pd.500.0.6" localSheetId="18">#REF!</definedName>
    <definedName name="pd.500.0.6" localSheetId="17">#REF!</definedName>
    <definedName name="pd.500.0.6" localSheetId="16">#REF!</definedName>
    <definedName name="pd.500.0.6" localSheetId="15">#REF!</definedName>
    <definedName name="pd.500.0.6" localSheetId="14">#REF!</definedName>
    <definedName name="pd.500.0.6" localSheetId="25">#REF!</definedName>
    <definedName name="pd.500.0.6" localSheetId="24">#REF!</definedName>
    <definedName name="pd.500.0.6" localSheetId="23">#REF!</definedName>
    <definedName name="pd.500.0.6" localSheetId="22">#REF!</definedName>
    <definedName name="pd.500.0.6" localSheetId="21">#REF!</definedName>
    <definedName name="pd.500.0.6" localSheetId="20">#REF!</definedName>
    <definedName name="pd.500.0.6" localSheetId="13">#REF!</definedName>
    <definedName name="pd.500.0.6" localSheetId="12">#REF!</definedName>
    <definedName name="pd.500.0.6" localSheetId="11">#REF!</definedName>
    <definedName name="pd.500.0.6" localSheetId="10">#REF!</definedName>
    <definedName name="pd.500.0.6" localSheetId="9">#REF!</definedName>
    <definedName name="pd.500.0.6" localSheetId="8">#REF!</definedName>
    <definedName name="pd.500.0.6.s" localSheetId="19">#REF!</definedName>
    <definedName name="pd.500.0.6.s" localSheetId="18">#REF!</definedName>
    <definedName name="pd.500.0.6.s" localSheetId="17">#REF!</definedName>
    <definedName name="pd.500.0.6.s" localSheetId="16">#REF!</definedName>
    <definedName name="pd.500.0.6.s" localSheetId="15">#REF!</definedName>
    <definedName name="pd.500.0.6.s" localSheetId="14">#REF!</definedName>
    <definedName name="pd.500.0.6.s" localSheetId="25">#REF!</definedName>
    <definedName name="pd.500.0.6.s" localSheetId="24">#REF!</definedName>
    <definedName name="pd.500.0.6.s" localSheetId="23">#REF!</definedName>
    <definedName name="pd.500.0.6.s" localSheetId="22">#REF!</definedName>
    <definedName name="pd.500.0.6.s" localSheetId="21">#REF!</definedName>
    <definedName name="pd.500.0.6.s" localSheetId="20">#REF!</definedName>
    <definedName name="pd.500.0.6.s" localSheetId="13">#REF!</definedName>
    <definedName name="pd.500.0.6.s" localSheetId="12">#REF!</definedName>
    <definedName name="pd.500.0.6.s" localSheetId="11">#REF!</definedName>
    <definedName name="pd.500.0.6.s" localSheetId="10">#REF!</definedName>
    <definedName name="pd.500.0.6.s" localSheetId="9">#REF!</definedName>
    <definedName name="pd.500.0.6.s" localSheetId="8">#REF!</definedName>
    <definedName name="pe.1" localSheetId="19">#REF!</definedName>
    <definedName name="pe.1" localSheetId="18">#REF!</definedName>
    <definedName name="pe.1" localSheetId="17">#REF!</definedName>
    <definedName name="pe.1" localSheetId="16">#REF!</definedName>
    <definedName name="pe.1" localSheetId="15">#REF!</definedName>
    <definedName name="pe.1" localSheetId="14">#REF!</definedName>
    <definedName name="pe.1" localSheetId="25">#REF!</definedName>
    <definedName name="pe.1" localSheetId="24">#REF!</definedName>
    <definedName name="pe.1" localSheetId="23">#REF!</definedName>
    <definedName name="pe.1" localSheetId="22">#REF!</definedName>
    <definedName name="pe.1" localSheetId="21">#REF!</definedName>
    <definedName name="pe.1" localSheetId="20">#REF!</definedName>
    <definedName name="pe.1" localSheetId="13">#REF!</definedName>
    <definedName name="pe.1" localSheetId="12">#REF!</definedName>
    <definedName name="pe.1" localSheetId="11">#REF!</definedName>
    <definedName name="pe.1" localSheetId="10">#REF!</definedName>
    <definedName name="pe.1" localSheetId="9">#REF!</definedName>
    <definedName name="pe.1" localSheetId="8">#REF!</definedName>
    <definedName name="pe.10" localSheetId="19">#REF!</definedName>
    <definedName name="pe.10" localSheetId="18">#REF!</definedName>
    <definedName name="pe.10" localSheetId="17">#REF!</definedName>
    <definedName name="pe.10" localSheetId="16">#REF!</definedName>
    <definedName name="pe.10" localSheetId="15">#REF!</definedName>
    <definedName name="pe.10" localSheetId="14">#REF!</definedName>
    <definedName name="pe.10" localSheetId="25">#REF!</definedName>
    <definedName name="pe.10" localSheetId="24">#REF!</definedName>
    <definedName name="pe.10" localSheetId="23">#REF!</definedName>
    <definedName name="pe.10" localSheetId="22">#REF!</definedName>
    <definedName name="pe.10" localSheetId="21">#REF!</definedName>
    <definedName name="pe.10" localSheetId="20">#REF!</definedName>
    <definedName name="pe.10" localSheetId="13">#REF!</definedName>
    <definedName name="pe.10" localSheetId="12">#REF!</definedName>
    <definedName name="pe.10" localSheetId="11">#REF!</definedName>
    <definedName name="pe.10" localSheetId="10">#REF!</definedName>
    <definedName name="pe.10" localSheetId="9">#REF!</definedName>
    <definedName name="pe.10" localSheetId="8">#REF!</definedName>
    <definedName name="pe.2" localSheetId="19">#REF!</definedName>
    <definedName name="pe.2" localSheetId="18">#REF!</definedName>
    <definedName name="pe.2" localSheetId="17">#REF!</definedName>
    <definedName name="pe.2" localSheetId="16">#REF!</definedName>
    <definedName name="pe.2" localSheetId="15">#REF!</definedName>
    <definedName name="pe.2" localSheetId="14">#REF!</definedName>
    <definedName name="pe.2" localSheetId="25">#REF!</definedName>
    <definedName name="pe.2" localSheetId="24">#REF!</definedName>
    <definedName name="pe.2" localSheetId="23">#REF!</definedName>
    <definedName name="pe.2" localSheetId="22">#REF!</definedName>
    <definedName name="pe.2" localSheetId="21">#REF!</definedName>
    <definedName name="pe.2" localSheetId="20">#REF!</definedName>
    <definedName name="pe.2" localSheetId="13">#REF!</definedName>
    <definedName name="pe.2" localSheetId="12">#REF!</definedName>
    <definedName name="pe.2" localSheetId="11">#REF!</definedName>
    <definedName name="pe.2" localSheetId="10">#REF!</definedName>
    <definedName name="pe.2" localSheetId="9">#REF!</definedName>
    <definedName name="pe.2" localSheetId="8">#REF!</definedName>
    <definedName name="pe.3" localSheetId="19">#REF!</definedName>
    <definedName name="pe.3" localSheetId="18">#REF!</definedName>
    <definedName name="pe.3" localSheetId="17">#REF!</definedName>
    <definedName name="pe.3" localSheetId="16">#REF!</definedName>
    <definedName name="pe.3" localSheetId="15">#REF!</definedName>
    <definedName name="pe.3" localSheetId="14">#REF!</definedName>
    <definedName name="pe.3" localSheetId="25">#REF!</definedName>
    <definedName name="pe.3" localSheetId="24">#REF!</definedName>
    <definedName name="pe.3" localSheetId="23">#REF!</definedName>
    <definedName name="pe.3" localSheetId="22">#REF!</definedName>
    <definedName name="pe.3" localSheetId="21">#REF!</definedName>
    <definedName name="pe.3" localSheetId="20">#REF!</definedName>
    <definedName name="pe.3" localSheetId="13">#REF!</definedName>
    <definedName name="pe.3" localSheetId="12">#REF!</definedName>
    <definedName name="pe.3" localSheetId="11">#REF!</definedName>
    <definedName name="pe.3" localSheetId="10">#REF!</definedName>
    <definedName name="pe.3" localSheetId="9">#REF!</definedName>
    <definedName name="pe.3" localSheetId="8">#REF!</definedName>
    <definedName name="pe.4" localSheetId="19">#REF!</definedName>
    <definedName name="pe.4" localSheetId="18">#REF!</definedName>
    <definedName name="pe.4" localSheetId="17">#REF!</definedName>
    <definedName name="pe.4" localSheetId="16">#REF!</definedName>
    <definedName name="pe.4" localSheetId="15">#REF!</definedName>
    <definedName name="pe.4" localSheetId="14">#REF!</definedName>
    <definedName name="pe.4" localSheetId="25">#REF!</definedName>
    <definedName name="pe.4" localSheetId="24">#REF!</definedName>
    <definedName name="pe.4" localSheetId="23">#REF!</definedName>
    <definedName name="pe.4" localSheetId="22">#REF!</definedName>
    <definedName name="pe.4" localSheetId="21">#REF!</definedName>
    <definedName name="pe.4" localSheetId="20">#REF!</definedName>
    <definedName name="pe.4" localSheetId="13">#REF!</definedName>
    <definedName name="pe.4" localSheetId="12">#REF!</definedName>
    <definedName name="pe.4" localSheetId="11">#REF!</definedName>
    <definedName name="pe.4" localSheetId="10">#REF!</definedName>
    <definedName name="pe.4" localSheetId="9">#REF!</definedName>
    <definedName name="pe.4" localSheetId="8">#REF!</definedName>
    <definedName name="pe.5" localSheetId="19">#REF!</definedName>
    <definedName name="pe.5" localSheetId="18">#REF!</definedName>
    <definedName name="pe.5" localSheetId="17">#REF!</definedName>
    <definedName name="pe.5" localSheetId="16">#REF!</definedName>
    <definedName name="pe.5" localSheetId="15">#REF!</definedName>
    <definedName name="pe.5" localSheetId="14">#REF!</definedName>
    <definedName name="pe.5" localSheetId="25">#REF!</definedName>
    <definedName name="pe.5" localSheetId="24">#REF!</definedName>
    <definedName name="pe.5" localSheetId="23">#REF!</definedName>
    <definedName name="pe.5" localSheetId="22">#REF!</definedName>
    <definedName name="pe.5" localSheetId="21">#REF!</definedName>
    <definedName name="pe.5" localSheetId="20">#REF!</definedName>
    <definedName name="pe.5" localSheetId="13">#REF!</definedName>
    <definedName name="pe.5" localSheetId="12">#REF!</definedName>
    <definedName name="pe.5" localSheetId="11">#REF!</definedName>
    <definedName name="pe.5" localSheetId="10">#REF!</definedName>
    <definedName name="pe.5" localSheetId="9">#REF!</definedName>
    <definedName name="pe.5" localSheetId="8">#REF!</definedName>
    <definedName name="pe.6" localSheetId="19">#REF!</definedName>
    <definedName name="pe.6" localSheetId="18">#REF!</definedName>
    <definedName name="pe.6" localSheetId="17">#REF!</definedName>
    <definedName name="pe.6" localSheetId="16">#REF!</definedName>
    <definedName name="pe.6" localSheetId="15">#REF!</definedName>
    <definedName name="pe.6" localSheetId="14">#REF!</definedName>
    <definedName name="pe.6" localSheetId="25">#REF!</definedName>
    <definedName name="pe.6" localSheetId="24">#REF!</definedName>
    <definedName name="pe.6" localSheetId="23">#REF!</definedName>
    <definedName name="pe.6" localSheetId="22">#REF!</definedName>
    <definedName name="pe.6" localSheetId="21">#REF!</definedName>
    <definedName name="pe.6" localSheetId="20">#REF!</definedName>
    <definedName name="pe.6" localSheetId="13">#REF!</definedName>
    <definedName name="pe.6" localSheetId="12">#REF!</definedName>
    <definedName name="pe.6" localSheetId="11">#REF!</definedName>
    <definedName name="pe.6" localSheetId="10">#REF!</definedName>
    <definedName name="pe.6" localSheetId="9">#REF!</definedName>
    <definedName name="pe.6" localSheetId="8">#REF!</definedName>
    <definedName name="pe.7" localSheetId="19">#REF!</definedName>
    <definedName name="pe.7" localSheetId="18">#REF!</definedName>
    <definedName name="pe.7" localSheetId="17">#REF!</definedName>
    <definedName name="pe.7" localSheetId="16">#REF!</definedName>
    <definedName name="pe.7" localSheetId="15">#REF!</definedName>
    <definedName name="pe.7" localSheetId="14">#REF!</definedName>
    <definedName name="pe.7" localSheetId="25">#REF!</definedName>
    <definedName name="pe.7" localSheetId="24">#REF!</definedName>
    <definedName name="pe.7" localSheetId="23">#REF!</definedName>
    <definedName name="pe.7" localSheetId="22">#REF!</definedName>
    <definedName name="pe.7" localSheetId="21">#REF!</definedName>
    <definedName name="pe.7" localSheetId="20">#REF!</definedName>
    <definedName name="pe.7" localSheetId="13">#REF!</definedName>
    <definedName name="pe.7" localSheetId="12">#REF!</definedName>
    <definedName name="pe.7" localSheetId="11">#REF!</definedName>
    <definedName name="pe.7" localSheetId="10">#REF!</definedName>
    <definedName name="pe.7" localSheetId="9">#REF!</definedName>
    <definedName name="pe.7" localSheetId="8">#REF!</definedName>
    <definedName name="pe.8" localSheetId="19">#REF!</definedName>
    <definedName name="pe.8" localSheetId="18">#REF!</definedName>
    <definedName name="pe.8" localSheetId="17">#REF!</definedName>
    <definedName name="pe.8" localSheetId="16">#REF!</definedName>
    <definedName name="pe.8" localSheetId="15">#REF!</definedName>
    <definedName name="pe.8" localSheetId="14">#REF!</definedName>
    <definedName name="pe.8" localSheetId="25">#REF!</definedName>
    <definedName name="pe.8" localSheetId="24">#REF!</definedName>
    <definedName name="pe.8" localSheetId="23">#REF!</definedName>
    <definedName name="pe.8" localSheetId="22">#REF!</definedName>
    <definedName name="pe.8" localSheetId="21">#REF!</definedName>
    <definedName name="pe.8" localSheetId="20">#REF!</definedName>
    <definedName name="pe.8" localSheetId="13">#REF!</definedName>
    <definedName name="pe.8" localSheetId="12">#REF!</definedName>
    <definedName name="pe.8" localSheetId="11">#REF!</definedName>
    <definedName name="pe.8" localSheetId="10">#REF!</definedName>
    <definedName name="pe.8" localSheetId="9">#REF!</definedName>
    <definedName name="pe.8" localSheetId="8">#REF!</definedName>
    <definedName name="pe.9" localSheetId="19">#REF!</definedName>
    <definedName name="pe.9" localSheetId="18">#REF!</definedName>
    <definedName name="pe.9" localSheetId="17">#REF!</definedName>
    <definedName name="pe.9" localSheetId="16">#REF!</definedName>
    <definedName name="pe.9" localSheetId="15">#REF!</definedName>
    <definedName name="pe.9" localSheetId="14">#REF!</definedName>
    <definedName name="pe.9" localSheetId="25">#REF!</definedName>
    <definedName name="pe.9" localSheetId="24">#REF!</definedName>
    <definedName name="pe.9" localSheetId="23">#REF!</definedName>
    <definedName name="pe.9" localSheetId="22">#REF!</definedName>
    <definedName name="pe.9" localSheetId="21">#REF!</definedName>
    <definedName name="pe.9" localSheetId="20">#REF!</definedName>
    <definedName name="pe.9" localSheetId="13">#REF!</definedName>
    <definedName name="pe.9" localSheetId="12">#REF!</definedName>
    <definedName name="pe.9" localSheetId="11">#REF!</definedName>
    <definedName name="pe.9" localSheetId="10">#REF!</definedName>
    <definedName name="pe.9" localSheetId="9">#REF!</definedName>
    <definedName name="pe.9" localSheetId="8">#REF!</definedName>
    <definedName name="pe.a" localSheetId="19">#REF!</definedName>
    <definedName name="pe.a" localSheetId="18">#REF!</definedName>
    <definedName name="pe.a" localSheetId="17">#REF!</definedName>
    <definedName name="pe.a" localSheetId="16">#REF!</definedName>
    <definedName name="pe.a" localSheetId="15">#REF!</definedName>
    <definedName name="pe.a" localSheetId="14">#REF!</definedName>
    <definedName name="pe.a" localSheetId="25">#REF!</definedName>
    <definedName name="pe.a" localSheetId="24">#REF!</definedName>
    <definedName name="pe.a" localSheetId="23">#REF!</definedName>
    <definedName name="pe.a" localSheetId="22">#REF!</definedName>
    <definedName name="pe.a" localSheetId="21">#REF!</definedName>
    <definedName name="pe.a" localSheetId="20">#REF!</definedName>
    <definedName name="pe.a" localSheetId="13">#REF!</definedName>
    <definedName name="pe.a" localSheetId="12">#REF!</definedName>
    <definedName name="pe.a" localSheetId="11">#REF!</definedName>
    <definedName name="pe.a" localSheetId="10">#REF!</definedName>
    <definedName name="pe.a" localSheetId="9">#REF!</definedName>
    <definedName name="pe.a" localSheetId="8">#REF!</definedName>
    <definedName name="pe.b" localSheetId="19">#REF!</definedName>
    <definedName name="pe.b" localSheetId="18">#REF!</definedName>
    <definedName name="pe.b" localSheetId="17">#REF!</definedName>
    <definedName name="pe.b" localSheetId="16">#REF!</definedName>
    <definedName name="pe.b" localSheetId="15">#REF!</definedName>
    <definedName name="pe.b" localSheetId="14">#REF!</definedName>
    <definedName name="pe.b" localSheetId="25">#REF!</definedName>
    <definedName name="pe.b" localSheetId="24">#REF!</definedName>
    <definedName name="pe.b" localSheetId="23">#REF!</definedName>
    <definedName name="pe.b" localSheetId="22">#REF!</definedName>
    <definedName name="pe.b" localSheetId="21">#REF!</definedName>
    <definedName name="pe.b" localSheetId="20">#REF!</definedName>
    <definedName name="pe.b" localSheetId="13">#REF!</definedName>
    <definedName name="pe.b" localSheetId="12">#REF!</definedName>
    <definedName name="pe.b" localSheetId="11">#REF!</definedName>
    <definedName name="pe.b" localSheetId="10">#REF!</definedName>
    <definedName name="pe.b" localSheetId="9">#REF!</definedName>
    <definedName name="pe.b" localSheetId="8">#REF!</definedName>
    <definedName name="pe.c" localSheetId="19">#REF!</definedName>
    <definedName name="pe.c" localSheetId="18">#REF!</definedName>
    <definedName name="pe.c" localSheetId="17">#REF!</definedName>
    <definedName name="pe.c" localSheetId="16">#REF!</definedName>
    <definedName name="pe.c" localSheetId="15">#REF!</definedName>
    <definedName name="pe.c" localSheetId="14">#REF!</definedName>
    <definedName name="pe.c" localSheetId="25">#REF!</definedName>
    <definedName name="pe.c" localSheetId="24">#REF!</definedName>
    <definedName name="pe.c" localSheetId="23">#REF!</definedName>
    <definedName name="pe.c" localSheetId="22">#REF!</definedName>
    <definedName name="pe.c" localSheetId="21">#REF!</definedName>
    <definedName name="pe.c" localSheetId="20">#REF!</definedName>
    <definedName name="pe.c" localSheetId="13">#REF!</definedName>
    <definedName name="pe.c" localSheetId="12">#REF!</definedName>
    <definedName name="pe.c" localSheetId="11">#REF!</definedName>
    <definedName name="pe.c" localSheetId="10">#REF!</definedName>
    <definedName name="pe.c" localSheetId="9">#REF!</definedName>
    <definedName name="pe.c" localSheetId="8">#REF!</definedName>
    <definedName name="Pekerja" localSheetId="19">#REF!</definedName>
    <definedName name="Pekerja" localSheetId="18">#REF!</definedName>
    <definedName name="Pekerja" localSheetId="17">#REF!</definedName>
    <definedName name="Pekerja" localSheetId="16">#REF!</definedName>
    <definedName name="Pekerja" localSheetId="15">#REF!</definedName>
    <definedName name="Pekerja" localSheetId="14">#REF!</definedName>
    <definedName name="Pekerja" localSheetId="25">#REF!</definedName>
    <definedName name="Pekerja" localSheetId="24">#REF!</definedName>
    <definedName name="Pekerja" localSheetId="23">#REF!</definedName>
    <definedName name="Pekerja" localSheetId="22">#REF!</definedName>
    <definedName name="Pekerja" localSheetId="21">#REF!</definedName>
    <definedName name="Pekerja" localSheetId="20">#REF!</definedName>
    <definedName name="Pekerja" localSheetId="13">#REF!</definedName>
    <definedName name="Pekerja" localSheetId="12">#REF!</definedName>
    <definedName name="Pekerja" localSheetId="11">#REF!</definedName>
    <definedName name="Pekerja" localSheetId="10">#REF!</definedName>
    <definedName name="Pekerja" localSheetId="9">#REF!</definedName>
    <definedName name="Pekerja" localSheetId="8">#REF!</definedName>
    <definedName name="pemasak.aspal" localSheetId="19">#REF!</definedName>
    <definedName name="pemasak.aspal" localSheetId="18">#REF!</definedName>
    <definedName name="pemasak.aspal" localSheetId="17">#REF!</definedName>
    <definedName name="pemasak.aspal" localSheetId="16">#REF!</definedName>
    <definedName name="pemasak.aspal" localSheetId="15">#REF!</definedName>
    <definedName name="pemasak.aspal" localSheetId="14">#REF!</definedName>
    <definedName name="pemasak.aspal" localSheetId="25">#REF!</definedName>
    <definedName name="pemasak.aspal" localSheetId="24">#REF!</definedName>
    <definedName name="pemasak.aspal" localSheetId="23">#REF!</definedName>
    <definedName name="pemasak.aspal" localSheetId="22">#REF!</definedName>
    <definedName name="pemasak.aspal" localSheetId="21">#REF!</definedName>
    <definedName name="pemasak.aspal" localSheetId="20">#REF!</definedName>
    <definedName name="pemasak.aspal" localSheetId="13">#REF!</definedName>
    <definedName name="pemasak.aspal" localSheetId="12">#REF!</definedName>
    <definedName name="pemasak.aspal" localSheetId="11">#REF!</definedName>
    <definedName name="pemasak.aspal" localSheetId="10">#REF!</definedName>
    <definedName name="pemasak.aspal" localSheetId="9">#REF!</definedName>
    <definedName name="pemasak.aspal" localSheetId="8">#REF!</definedName>
    <definedName name="pemb.mekanik" localSheetId="19">#REF!</definedName>
    <definedName name="pemb.mekanik" localSheetId="18">#REF!</definedName>
    <definedName name="pemb.mekanik" localSheetId="17">#REF!</definedName>
    <definedName name="pemb.mekanik" localSheetId="16">#REF!</definedName>
    <definedName name="pemb.mekanik" localSheetId="15">#REF!</definedName>
    <definedName name="pemb.mekanik" localSheetId="14">#REF!</definedName>
    <definedName name="pemb.mekanik" localSheetId="25">#REF!</definedName>
    <definedName name="pemb.mekanik" localSheetId="24">#REF!</definedName>
    <definedName name="pemb.mekanik" localSheetId="23">#REF!</definedName>
    <definedName name="pemb.mekanik" localSheetId="22">#REF!</definedName>
    <definedName name="pemb.mekanik" localSheetId="21">#REF!</definedName>
    <definedName name="pemb.mekanik" localSheetId="20">#REF!</definedName>
    <definedName name="pemb.mekanik" localSheetId="13">#REF!</definedName>
    <definedName name="pemb.mekanik" localSheetId="12">#REF!</definedName>
    <definedName name="pemb.mekanik" localSheetId="11">#REF!</definedName>
    <definedName name="pemb.mekanik" localSheetId="10">#REF!</definedName>
    <definedName name="pemb.mekanik" localSheetId="9">#REF!</definedName>
    <definedName name="pemb.mekanik" localSheetId="8">#REF!</definedName>
    <definedName name="pemb.operator" localSheetId="19">#REF!</definedName>
    <definedName name="pemb.operator" localSheetId="18">#REF!</definedName>
    <definedName name="pemb.operator" localSheetId="17">#REF!</definedName>
    <definedName name="pemb.operator" localSheetId="16">#REF!</definedName>
    <definedName name="pemb.operator" localSheetId="15">#REF!</definedName>
    <definedName name="pemb.operator" localSheetId="14">#REF!</definedName>
    <definedName name="pemb.operator" localSheetId="25">#REF!</definedName>
    <definedName name="pemb.operator" localSheetId="24">#REF!</definedName>
    <definedName name="pemb.operator" localSheetId="23">#REF!</definedName>
    <definedName name="pemb.operator" localSheetId="22">#REF!</definedName>
    <definedName name="pemb.operator" localSheetId="21">#REF!</definedName>
    <definedName name="pemb.operator" localSheetId="20">#REF!</definedName>
    <definedName name="pemb.operator" localSheetId="13">#REF!</definedName>
    <definedName name="pemb.operator" localSheetId="12">#REF!</definedName>
    <definedName name="pemb.operator" localSheetId="11">#REF!</definedName>
    <definedName name="pemb.operator" localSheetId="10">#REF!</definedName>
    <definedName name="pemb.operator" localSheetId="9">#REF!</definedName>
    <definedName name="pemb.operator" localSheetId="8">#REF!</definedName>
    <definedName name="pemecah.batu" localSheetId="19">#REF!</definedName>
    <definedName name="pemecah.batu" localSheetId="18">#REF!</definedName>
    <definedName name="pemecah.batu" localSheetId="17">#REF!</definedName>
    <definedName name="pemecah.batu" localSheetId="16">#REF!</definedName>
    <definedName name="pemecah.batu" localSheetId="15">#REF!</definedName>
    <definedName name="pemecah.batu" localSheetId="14">#REF!</definedName>
    <definedName name="pemecah.batu" localSheetId="25">#REF!</definedName>
    <definedName name="pemecah.batu" localSheetId="24">#REF!</definedName>
    <definedName name="pemecah.batu" localSheetId="23">#REF!</definedName>
    <definedName name="pemecah.batu" localSheetId="22">#REF!</definedName>
    <definedName name="pemecah.batu" localSheetId="21">#REF!</definedName>
    <definedName name="pemecah.batu" localSheetId="20">#REF!</definedName>
    <definedName name="pemecah.batu" localSheetId="13">#REF!</definedName>
    <definedName name="pemecah.batu" localSheetId="12">#REF!</definedName>
    <definedName name="pemecah.batu" localSheetId="11">#REF!</definedName>
    <definedName name="pemecah.batu" localSheetId="10">#REF!</definedName>
    <definedName name="pemecah.batu" localSheetId="9">#REF!</definedName>
    <definedName name="pemecah.batu" localSheetId="8">#REF!</definedName>
    <definedName name="peng.bronjong" localSheetId="19">#REF!</definedName>
    <definedName name="peng.bronjong" localSheetId="18">#REF!</definedName>
    <definedName name="peng.bronjong" localSheetId="17">#REF!</definedName>
    <definedName name="peng.bronjong" localSheetId="16">#REF!</definedName>
    <definedName name="peng.bronjong" localSheetId="15">#REF!</definedName>
    <definedName name="peng.bronjong" localSheetId="14">#REF!</definedName>
    <definedName name="peng.bronjong" localSheetId="25">#REF!</definedName>
    <definedName name="peng.bronjong" localSheetId="24">#REF!</definedName>
    <definedName name="peng.bronjong" localSheetId="23">#REF!</definedName>
    <definedName name="peng.bronjong" localSheetId="22">#REF!</definedName>
    <definedName name="peng.bronjong" localSheetId="21">#REF!</definedName>
    <definedName name="peng.bronjong" localSheetId="20">#REF!</definedName>
    <definedName name="peng.bronjong" localSheetId="13">#REF!</definedName>
    <definedName name="peng.bronjong" localSheetId="12">#REF!</definedName>
    <definedName name="peng.bronjong" localSheetId="11">#REF!</definedName>
    <definedName name="peng.bronjong" localSheetId="10">#REF!</definedName>
    <definedName name="peng.bronjong" localSheetId="9">#REF!</definedName>
    <definedName name="peng.bronjong" localSheetId="8">#REF!</definedName>
    <definedName name="penggergaji" localSheetId="19">#REF!</definedName>
    <definedName name="penggergaji" localSheetId="18">#REF!</definedName>
    <definedName name="penggergaji" localSheetId="17">#REF!</definedName>
    <definedName name="penggergaji" localSheetId="16">#REF!</definedName>
    <definedName name="penggergaji" localSheetId="15">#REF!</definedName>
    <definedName name="penggergaji" localSheetId="14">#REF!</definedName>
    <definedName name="penggergaji" localSheetId="25">#REF!</definedName>
    <definedName name="penggergaji" localSheetId="24">#REF!</definedName>
    <definedName name="penggergaji" localSheetId="23">#REF!</definedName>
    <definedName name="penggergaji" localSheetId="22">#REF!</definedName>
    <definedName name="penggergaji" localSheetId="21">#REF!</definedName>
    <definedName name="penggergaji" localSheetId="20">#REF!</definedName>
    <definedName name="penggergaji" localSheetId="13">#REF!</definedName>
    <definedName name="penggergaji" localSheetId="12">#REF!</definedName>
    <definedName name="penggergaji" localSheetId="11">#REF!</definedName>
    <definedName name="penggergaji" localSheetId="10">#REF!</definedName>
    <definedName name="penggergaji" localSheetId="9">#REF!</definedName>
    <definedName name="penggergaji" localSheetId="8">#REF!</definedName>
    <definedName name="penggosok.tegel" localSheetId="19">#REF!</definedName>
    <definedName name="penggosok.tegel" localSheetId="18">#REF!</definedName>
    <definedName name="penggosok.tegel" localSheetId="17">#REF!</definedName>
    <definedName name="penggosok.tegel" localSheetId="16">#REF!</definedName>
    <definedName name="penggosok.tegel" localSheetId="15">#REF!</definedName>
    <definedName name="penggosok.tegel" localSheetId="14">#REF!</definedName>
    <definedName name="penggosok.tegel" localSheetId="25">#REF!</definedName>
    <definedName name="penggosok.tegel" localSheetId="24">#REF!</definedName>
    <definedName name="penggosok.tegel" localSheetId="23">#REF!</definedName>
    <definedName name="penggosok.tegel" localSheetId="22">#REF!</definedName>
    <definedName name="penggosok.tegel" localSheetId="21">#REF!</definedName>
    <definedName name="penggosok.tegel" localSheetId="20">#REF!</definedName>
    <definedName name="penggosok.tegel" localSheetId="13">#REF!</definedName>
    <definedName name="penggosok.tegel" localSheetId="12">#REF!</definedName>
    <definedName name="penggosok.tegel" localSheetId="11">#REF!</definedName>
    <definedName name="penggosok.tegel" localSheetId="10">#REF!</definedName>
    <definedName name="penggosok.tegel" localSheetId="9">#REF!</definedName>
    <definedName name="penggosok.tegel" localSheetId="8">#REF!</definedName>
    <definedName name="Penjelasan" localSheetId="19">[3]REKAP!#REF!</definedName>
    <definedName name="Penjelasan" localSheetId="18">[3]REKAP!#REF!</definedName>
    <definedName name="Penjelasan" localSheetId="17">[3]REKAP!#REF!</definedName>
    <definedName name="Penjelasan" localSheetId="16">[3]REKAP!#REF!</definedName>
    <definedName name="Penjelasan" localSheetId="15">[3]REKAP!#REF!</definedName>
    <definedName name="Penjelasan" localSheetId="14">[3]REKAP!#REF!</definedName>
    <definedName name="Penjelasan" localSheetId="25">[3]REKAP!#REF!</definedName>
    <definedName name="Penjelasan" localSheetId="24">[3]REKAP!#REF!</definedName>
    <definedName name="Penjelasan" localSheetId="23">[3]REKAP!#REF!</definedName>
    <definedName name="Penjelasan" localSheetId="22">[3]REKAP!#REF!</definedName>
    <definedName name="Penjelasan" localSheetId="21">[3]REKAP!#REF!</definedName>
    <definedName name="Penjelasan" localSheetId="20">[3]REKAP!#REF!</definedName>
    <definedName name="Penjelasan" localSheetId="13">[4]REKAP!#REF!</definedName>
    <definedName name="Penjelasan" localSheetId="12">[4]REKAP!#REF!</definedName>
    <definedName name="Penjelasan" localSheetId="11">[4]REKAP!#REF!</definedName>
    <definedName name="Penjelasan" localSheetId="10">[4]REKAP!#REF!</definedName>
    <definedName name="Penjelasan" localSheetId="9">[4]REKAP!#REF!</definedName>
    <definedName name="Penjelasan" localSheetId="8">[4]REKAP!#REF!</definedName>
    <definedName name="pg.1" localSheetId="19">#REF!</definedName>
    <definedName name="pg.1" localSheetId="18">#REF!</definedName>
    <definedName name="pg.1" localSheetId="17">#REF!</definedName>
    <definedName name="pg.1" localSheetId="16">#REF!</definedName>
    <definedName name="pg.1" localSheetId="15">#REF!</definedName>
    <definedName name="pg.1" localSheetId="14">#REF!</definedName>
    <definedName name="pg.1" localSheetId="25">#REF!</definedName>
    <definedName name="pg.1" localSheetId="24">#REF!</definedName>
    <definedName name="pg.1" localSheetId="23">#REF!</definedName>
    <definedName name="pg.1" localSheetId="22">#REF!</definedName>
    <definedName name="pg.1" localSheetId="21">#REF!</definedName>
    <definedName name="pg.1" localSheetId="20">#REF!</definedName>
    <definedName name="pg.1" localSheetId="13">#REF!</definedName>
    <definedName name="pg.1" localSheetId="12">#REF!</definedName>
    <definedName name="pg.1" localSheetId="11">#REF!</definedName>
    <definedName name="pg.1" localSheetId="10">#REF!</definedName>
    <definedName name="pg.1" localSheetId="9">#REF!</definedName>
    <definedName name="pg.1" localSheetId="8">#REF!</definedName>
    <definedName name="pg.1.a" localSheetId="19">#REF!</definedName>
    <definedName name="pg.1.a" localSheetId="18">#REF!</definedName>
    <definedName name="pg.1.a" localSheetId="17">#REF!</definedName>
    <definedName name="pg.1.a" localSheetId="16">#REF!</definedName>
    <definedName name="pg.1.a" localSheetId="15">#REF!</definedName>
    <definedName name="pg.1.a" localSheetId="14">#REF!</definedName>
    <definedName name="pg.1.a" localSheetId="25">#REF!</definedName>
    <definedName name="pg.1.a" localSheetId="24">#REF!</definedName>
    <definedName name="pg.1.a" localSheetId="23">#REF!</definedName>
    <definedName name="pg.1.a" localSheetId="22">#REF!</definedName>
    <definedName name="pg.1.a" localSheetId="21">#REF!</definedName>
    <definedName name="pg.1.a" localSheetId="20">#REF!</definedName>
    <definedName name="pg.1.a" localSheetId="13">#REF!</definedName>
    <definedName name="pg.1.a" localSheetId="12">#REF!</definedName>
    <definedName name="pg.1.a" localSheetId="11">#REF!</definedName>
    <definedName name="pg.1.a" localSheetId="10">#REF!</definedName>
    <definedName name="pg.1.a" localSheetId="9">#REF!</definedName>
    <definedName name="pg.1.a" localSheetId="8">#REF!</definedName>
    <definedName name="pg.1.b" localSheetId="19">#REF!</definedName>
    <definedName name="pg.1.b" localSheetId="18">#REF!</definedName>
    <definedName name="pg.1.b" localSheetId="17">#REF!</definedName>
    <definedName name="pg.1.b" localSheetId="16">#REF!</definedName>
    <definedName name="pg.1.b" localSheetId="15">#REF!</definedName>
    <definedName name="pg.1.b" localSheetId="14">#REF!</definedName>
    <definedName name="pg.1.b" localSheetId="25">#REF!</definedName>
    <definedName name="pg.1.b" localSheetId="24">#REF!</definedName>
    <definedName name="pg.1.b" localSheetId="23">#REF!</definedName>
    <definedName name="pg.1.b" localSheetId="22">#REF!</definedName>
    <definedName name="pg.1.b" localSheetId="21">#REF!</definedName>
    <definedName name="pg.1.b" localSheetId="20">#REF!</definedName>
    <definedName name="pg.1.b" localSheetId="13">#REF!</definedName>
    <definedName name="pg.1.b" localSheetId="12">#REF!</definedName>
    <definedName name="pg.1.b" localSheetId="11">#REF!</definedName>
    <definedName name="pg.1.b" localSheetId="10">#REF!</definedName>
    <definedName name="pg.1.b" localSheetId="9">#REF!</definedName>
    <definedName name="pg.1.b" localSheetId="8">#REF!</definedName>
    <definedName name="pg.1.c" localSheetId="19">#REF!</definedName>
    <definedName name="pg.1.c" localSheetId="18">#REF!</definedName>
    <definedName name="pg.1.c" localSheetId="17">#REF!</definedName>
    <definedName name="pg.1.c" localSheetId="16">#REF!</definedName>
    <definedName name="pg.1.c" localSheetId="15">#REF!</definedName>
    <definedName name="pg.1.c" localSheetId="14">#REF!</definedName>
    <definedName name="pg.1.c" localSheetId="25">#REF!</definedName>
    <definedName name="pg.1.c" localSheetId="24">#REF!</definedName>
    <definedName name="pg.1.c" localSheetId="23">#REF!</definedName>
    <definedName name="pg.1.c" localSheetId="22">#REF!</definedName>
    <definedName name="pg.1.c" localSheetId="21">#REF!</definedName>
    <definedName name="pg.1.c" localSheetId="20">#REF!</definedName>
    <definedName name="pg.1.c" localSheetId="13">#REF!</definedName>
    <definedName name="pg.1.c" localSheetId="12">#REF!</definedName>
    <definedName name="pg.1.c" localSheetId="11">#REF!</definedName>
    <definedName name="pg.1.c" localSheetId="10">#REF!</definedName>
    <definedName name="pg.1.c" localSheetId="9">#REF!</definedName>
    <definedName name="pg.1.c" localSheetId="8">#REF!</definedName>
    <definedName name="pg.10" localSheetId="19">#REF!</definedName>
    <definedName name="pg.10" localSheetId="18">#REF!</definedName>
    <definedName name="pg.10" localSheetId="17">#REF!</definedName>
    <definedName name="pg.10" localSheetId="16">#REF!</definedName>
    <definedName name="pg.10" localSheetId="15">#REF!</definedName>
    <definedName name="pg.10" localSheetId="14">#REF!</definedName>
    <definedName name="pg.10" localSheetId="25">#REF!</definedName>
    <definedName name="pg.10" localSheetId="24">#REF!</definedName>
    <definedName name="pg.10" localSheetId="23">#REF!</definedName>
    <definedName name="pg.10" localSheetId="22">#REF!</definedName>
    <definedName name="pg.10" localSheetId="21">#REF!</definedName>
    <definedName name="pg.10" localSheetId="20">#REF!</definedName>
    <definedName name="pg.10" localSheetId="13">#REF!</definedName>
    <definedName name="pg.10" localSheetId="12">#REF!</definedName>
    <definedName name="pg.10" localSheetId="11">#REF!</definedName>
    <definedName name="pg.10" localSheetId="10">#REF!</definedName>
    <definedName name="pg.10" localSheetId="9">#REF!</definedName>
    <definedName name="pg.10" localSheetId="8">#REF!</definedName>
    <definedName name="pg.2" localSheetId="19">#REF!</definedName>
    <definedName name="pg.2" localSheetId="18">#REF!</definedName>
    <definedName name="pg.2" localSheetId="17">#REF!</definedName>
    <definedName name="pg.2" localSheetId="16">#REF!</definedName>
    <definedName name="pg.2" localSheetId="15">#REF!</definedName>
    <definedName name="pg.2" localSheetId="14">#REF!</definedName>
    <definedName name="pg.2" localSheetId="25">#REF!</definedName>
    <definedName name="pg.2" localSheetId="24">#REF!</definedName>
    <definedName name="pg.2" localSheetId="23">#REF!</definedName>
    <definedName name="pg.2" localSheetId="22">#REF!</definedName>
    <definedName name="pg.2" localSheetId="21">#REF!</definedName>
    <definedName name="pg.2" localSheetId="20">#REF!</definedName>
    <definedName name="pg.2" localSheetId="13">#REF!</definedName>
    <definedName name="pg.2" localSheetId="12">#REF!</definedName>
    <definedName name="pg.2" localSheetId="11">#REF!</definedName>
    <definedName name="pg.2" localSheetId="10">#REF!</definedName>
    <definedName name="pg.2" localSheetId="9">#REF!</definedName>
    <definedName name="pg.2" localSheetId="8">#REF!</definedName>
    <definedName name="pg.3" localSheetId="19">#REF!</definedName>
    <definedName name="pg.3" localSheetId="18">#REF!</definedName>
    <definedName name="pg.3" localSheetId="17">#REF!</definedName>
    <definedName name="pg.3" localSheetId="16">#REF!</definedName>
    <definedName name="pg.3" localSheetId="15">#REF!</definedName>
    <definedName name="pg.3" localSheetId="14">#REF!</definedName>
    <definedName name="pg.3" localSheetId="25">#REF!</definedName>
    <definedName name="pg.3" localSheetId="24">#REF!</definedName>
    <definedName name="pg.3" localSheetId="23">#REF!</definedName>
    <definedName name="pg.3" localSheetId="22">#REF!</definedName>
    <definedName name="pg.3" localSheetId="21">#REF!</definedName>
    <definedName name="pg.3" localSheetId="20">#REF!</definedName>
    <definedName name="pg.3" localSheetId="13">#REF!</definedName>
    <definedName name="pg.3" localSheetId="12">#REF!</definedName>
    <definedName name="pg.3" localSheetId="11">#REF!</definedName>
    <definedName name="pg.3" localSheetId="10">#REF!</definedName>
    <definedName name="pg.3" localSheetId="9">#REF!</definedName>
    <definedName name="pg.3" localSheetId="8">#REF!</definedName>
    <definedName name="pg.4" localSheetId="19">#REF!</definedName>
    <definedName name="pg.4" localSheetId="18">#REF!</definedName>
    <definedName name="pg.4" localSheetId="17">#REF!</definedName>
    <definedName name="pg.4" localSheetId="16">#REF!</definedName>
    <definedName name="pg.4" localSheetId="15">#REF!</definedName>
    <definedName name="pg.4" localSheetId="14">#REF!</definedName>
    <definedName name="pg.4" localSheetId="25">#REF!</definedName>
    <definedName name="pg.4" localSheetId="24">#REF!</definedName>
    <definedName name="pg.4" localSheetId="23">#REF!</definedName>
    <definedName name="pg.4" localSheetId="22">#REF!</definedName>
    <definedName name="pg.4" localSheetId="21">#REF!</definedName>
    <definedName name="pg.4" localSheetId="20">#REF!</definedName>
    <definedName name="pg.4" localSheetId="13">#REF!</definedName>
    <definedName name="pg.4" localSheetId="12">#REF!</definedName>
    <definedName name="pg.4" localSheetId="11">#REF!</definedName>
    <definedName name="pg.4" localSheetId="10">#REF!</definedName>
    <definedName name="pg.4" localSheetId="9">#REF!</definedName>
    <definedName name="pg.4" localSheetId="8">#REF!</definedName>
    <definedName name="pg.5" localSheetId="19">#REF!</definedName>
    <definedName name="pg.5" localSheetId="18">#REF!</definedName>
    <definedName name="pg.5" localSheetId="17">#REF!</definedName>
    <definedName name="pg.5" localSheetId="16">#REF!</definedName>
    <definedName name="pg.5" localSheetId="15">#REF!</definedName>
    <definedName name="pg.5" localSheetId="14">#REF!</definedName>
    <definedName name="pg.5" localSheetId="25">#REF!</definedName>
    <definedName name="pg.5" localSheetId="24">#REF!</definedName>
    <definedName name="pg.5" localSheetId="23">#REF!</definedName>
    <definedName name="pg.5" localSheetId="22">#REF!</definedName>
    <definedName name="pg.5" localSheetId="21">#REF!</definedName>
    <definedName name="pg.5" localSheetId="20">#REF!</definedName>
    <definedName name="pg.5" localSheetId="13">#REF!</definedName>
    <definedName name="pg.5" localSheetId="12">#REF!</definedName>
    <definedName name="pg.5" localSheetId="11">#REF!</definedName>
    <definedName name="pg.5" localSheetId="10">#REF!</definedName>
    <definedName name="pg.5" localSheetId="9">#REF!</definedName>
    <definedName name="pg.5" localSheetId="8">#REF!</definedName>
    <definedName name="pg.6" localSheetId="19">#REF!</definedName>
    <definedName name="pg.6" localSheetId="18">#REF!</definedName>
    <definedName name="pg.6" localSheetId="17">#REF!</definedName>
    <definedName name="pg.6" localSheetId="16">#REF!</definedName>
    <definedName name="pg.6" localSheetId="15">#REF!</definedName>
    <definedName name="pg.6" localSheetId="14">#REF!</definedName>
    <definedName name="pg.6" localSheetId="25">#REF!</definedName>
    <definedName name="pg.6" localSheetId="24">#REF!</definedName>
    <definedName name="pg.6" localSheetId="23">#REF!</definedName>
    <definedName name="pg.6" localSheetId="22">#REF!</definedName>
    <definedName name="pg.6" localSheetId="21">#REF!</definedName>
    <definedName name="pg.6" localSheetId="20">#REF!</definedName>
    <definedName name="pg.6" localSheetId="13">#REF!</definedName>
    <definedName name="pg.6" localSheetId="12">#REF!</definedName>
    <definedName name="pg.6" localSheetId="11">#REF!</definedName>
    <definedName name="pg.6" localSheetId="10">#REF!</definedName>
    <definedName name="pg.6" localSheetId="9">#REF!</definedName>
    <definedName name="pg.6" localSheetId="8">#REF!</definedName>
    <definedName name="pg.7" localSheetId="19">#REF!</definedName>
    <definedName name="pg.7" localSheetId="18">#REF!</definedName>
    <definedName name="pg.7" localSheetId="17">#REF!</definedName>
    <definedName name="pg.7" localSheetId="16">#REF!</definedName>
    <definedName name="pg.7" localSheetId="15">#REF!</definedName>
    <definedName name="pg.7" localSheetId="14">#REF!</definedName>
    <definedName name="pg.7" localSheetId="25">#REF!</definedName>
    <definedName name="pg.7" localSheetId="24">#REF!</definedName>
    <definedName name="pg.7" localSheetId="23">#REF!</definedName>
    <definedName name="pg.7" localSheetId="22">#REF!</definedName>
    <definedName name="pg.7" localSheetId="21">#REF!</definedName>
    <definedName name="pg.7" localSheetId="20">#REF!</definedName>
    <definedName name="pg.7" localSheetId="13">#REF!</definedName>
    <definedName name="pg.7" localSheetId="12">#REF!</definedName>
    <definedName name="pg.7" localSheetId="11">#REF!</definedName>
    <definedName name="pg.7" localSheetId="10">#REF!</definedName>
    <definedName name="pg.7" localSheetId="9">#REF!</definedName>
    <definedName name="pg.7" localSheetId="8">#REF!</definedName>
    <definedName name="pg.8" localSheetId="19">#REF!</definedName>
    <definedName name="pg.8" localSheetId="18">#REF!</definedName>
    <definedName name="pg.8" localSheetId="17">#REF!</definedName>
    <definedName name="pg.8" localSheetId="16">#REF!</definedName>
    <definedName name="pg.8" localSheetId="15">#REF!</definedName>
    <definedName name="pg.8" localSheetId="14">#REF!</definedName>
    <definedName name="pg.8" localSheetId="25">#REF!</definedName>
    <definedName name="pg.8" localSheetId="24">#REF!</definedName>
    <definedName name="pg.8" localSheetId="23">#REF!</definedName>
    <definedName name="pg.8" localSheetId="22">#REF!</definedName>
    <definedName name="pg.8" localSheetId="21">#REF!</definedName>
    <definedName name="pg.8" localSheetId="20">#REF!</definedName>
    <definedName name="pg.8" localSheetId="13">#REF!</definedName>
    <definedName name="pg.8" localSheetId="12">#REF!</definedName>
    <definedName name="pg.8" localSheetId="11">#REF!</definedName>
    <definedName name="pg.8" localSheetId="10">#REF!</definedName>
    <definedName name="pg.8" localSheetId="9">#REF!</definedName>
    <definedName name="pg.8" localSheetId="8">#REF!</definedName>
    <definedName name="pg.9" localSheetId="19">#REF!</definedName>
    <definedName name="pg.9" localSheetId="18">#REF!</definedName>
    <definedName name="pg.9" localSheetId="17">#REF!</definedName>
    <definedName name="pg.9" localSheetId="16">#REF!</definedName>
    <definedName name="pg.9" localSheetId="15">#REF!</definedName>
    <definedName name="pg.9" localSheetId="14">#REF!</definedName>
    <definedName name="pg.9" localSheetId="25">#REF!</definedName>
    <definedName name="pg.9" localSheetId="24">#REF!</definedName>
    <definedName name="pg.9" localSheetId="23">#REF!</definedName>
    <definedName name="pg.9" localSheetId="22">#REF!</definedName>
    <definedName name="pg.9" localSheetId="21">#REF!</definedName>
    <definedName name="pg.9" localSheetId="20">#REF!</definedName>
    <definedName name="pg.9" localSheetId="13">#REF!</definedName>
    <definedName name="pg.9" localSheetId="12">#REF!</definedName>
    <definedName name="pg.9" localSheetId="11">#REF!</definedName>
    <definedName name="pg.9" localSheetId="10">#REF!</definedName>
    <definedName name="pg.9" localSheetId="9">#REF!</definedName>
    <definedName name="pg.9" localSheetId="8">#REF!</definedName>
    <definedName name="Pg.a" localSheetId="19">#REF!</definedName>
    <definedName name="Pg.a" localSheetId="18">#REF!</definedName>
    <definedName name="Pg.a" localSheetId="17">#REF!</definedName>
    <definedName name="Pg.a" localSheetId="16">#REF!</definedName>
    <definedName name="Pg.a" localSheetId="15">#REF!</definedName>
    <definedName name="Pg.a" localSheetId="14">#REF!</definedName>
    <definedName name="Pg.a" localSheetId="25">#REF!</definedName>
    <definedName name="Pg.a" localSheetId="24">#REF!</definedName>
    <definedName name="Pg.a" localSheetId="23">#REF!</definedName>
    <definedName name="Pg.a" localSheetId="22">#REF!</definedName>
    <definedName name="Pg.a" localSheetId="21">#REF!</definedName>
    <definedName name="Pg.a" localSheetId="20">#REF!</definedName>
    <definedName name="Pg.a" localSheetId="13">#REF!</definedName>
    <definedName name="Pg.a" localSheetId="12">#REF!</definedName>
    <definedName name="Pg.a" localSheetId="11">#REF!</definedName>
    <definedName name="Pg.a" localSheetId="10">#REF!</definedName>
    <definedName name="Pg.a" localSheetId="9">#REF!</definedName>
    <definedName name="Pg.a" localSheetId="8">#REF!</definedName>
    <definedName name="PG.BRC.1.5" localSheetId="19">#REF!</definedName>
    <definedName name="PG.BRC.1.5" localSheetId="18">#REF!</definedName>
    <definedName name="PG.BRC.1.5" localSheetId="17">#REF!</definedName>
    <definedName name="PG.BRC.1.5" localSheetId="16">#REF!</definedName>
    <definedName name="PG.BRC.1.5" localSheetId="15">#REF!</definedName>
    <definedName name="PG.BRC.1.5" localSheetId="14">#REF!</definedName>
    <definedName name="PG.BRC.1.5" localSheetId="25">#REF!</definedName>
    <definedName name="PG.BRC.1.5" localSheetId="24">#REF!</definedName>
    <definedName name="PG.BRC.1.5" localSheetId="23">#REF!</definedName>
    <definedName name="PG.BRC.1.5" localSheetId="22">#REF!</definedName>
    <definedName name="PG.BRC.1.5" localSheetId="21">#REF!</definedName>
    <definedName name="PG.BRC.1.5" localSheetId="20">#REF!</definedName>
    <definedName name="PG.BRC.1.5" localSheetId="13">#REF!</definedName>
    <definedName name="PG.BRC.1.5" localSheetId="12">#REF!</definedName>
    <definedName name="PG.BRC.1.5" localSheetId="11">#REF!</definedName>
    <definedName name="PG.BRC.1.5" localSheetId="10">#REF!</definedName>
    <definedName name="PG.BRC.1.5" localSheetId="9">#REF!</definedName>
    <definedName name="PG.BRC.1.5" localSheetId="8">#REF!</definedName>
    <definedName name="plamir.kayu" localSheetId="19">#REF!</definedName>
    <definedName name="plamir.kayu" localSheetId="18">#REF!</definedName>
    <definedName name="plamir.kayu" localSheetId="17">#REF!</definedName>
    <definedName name="plamir.kayu" localSheetId="16">#REF!</definedName>
    <definedName name="plamir.kayu" localSheetId="15">#REF!</definedName>
    <definedName name="plamir.kayu" localSheetId="14">#REF!</definedName>
    <definedName name="plamir.kayu" localSheetId="25">#REF!</definedName>
    <definedName name="plamir.kayu" localSheetId="24">#REF!</definedName>
    <definedName name="plamir.kayu" localSheetId="23">#REF!</definedName>
    <definedName name="plamir.kayu" localSheetId="22">#REF!</definedName>
    <definedName name="plamir.kayu" localSheetId="21">#REF!</definedName>
    <definedName name="plamir.kayu" localSheetId="20">#REF!</definedName>
    <definedName name="plamir.kayu" localSheetId="13">#REF!</definedName>
    <definedName name="plamir.kayu" localSheetId="12">#REF!</definedName>
    <definedName name="plamir.kayu" localSheetId="11">#REF!</definedName>
    <definedName name="plamir.kayu" localSheetId="10">#REF!</definedName>
    <definedName name="plamir.kayu" localSheetId="9">#REF!</definedName>
    <definedName name="plamir.kayu" localSheetId="8">#REF!</definedName>
    <definedName name="plamir.tembok" localSheetId="19">#REF!</definedName>
    <definedName name="plamir.tembok" localSheetId="18">#REF!</definedName>
    <definedName name="plamir.tembok" localSheetId="17">#REF!</definedName>
    <definedName name="plamir.tembok" localSheetId="16">#REF!</definedName>
    <definedName name="plamir.tembok" localSheetId="15">#REF!</definedName>
    <definedName name="plamir.tembok" localSheetId="14">#REF!</definedName>
    <definedName name="plamir.tembok" localSheetId="25">#REF!</definedName>
    <definedName name="plamir.tembok" localSheetId="24">#REF!</definedName>
    <definedName name="plamir.tembok" localSheetId="23">#REF!</definedName>
    <definedName name="plamir.tembok" localSheetId="22">#REF!</definedName>
    <definedName name="plamir.tembok" localSheetId="21">#REF!</definedName>
    <definedName name="plamir.tembok" localSheetId="20">#REF!</definedName>
    <definedName name="plamir.tembok" localSheetId="13">#REF!</definedName>
    <definedName name="plamir.tembok" localSheetId="12">#REF!</definedName>
    <definedName name="plamir.tembok" localSheetId="11">#REF!</definedName>
    <definedName name="plamir.tembok" localSheetId="10">#REF!</definedName>
    <definedName name="plamir.tembok" localSheetId="9">#REF!</definedName>
    <definedName name="plamir.tembok" localSheetId="8">#REF!</definedName>
    <definedName name="plat.baja" localSheetId="19">#REF!</definedName>
    <definedName name="plat.baja" localSheetId="18">#REF!</definedName>
    <definedName name="plat.baja" localSheetId="17">#REF!</definedName>
    <definedName name="plat.baja" localSheetId="16">#REF!</definedName>
    <definedName name="plat.baja" localSheetId="15">#REF!</definedName>
    <definedName name="plat.baja" localSheetId="14">#REF!</definedName>
    <definedName name="plat.baja" localSheetId="25">#REF!</definedName>
    <definedName name="plat.baja" localSheetId="24">#REF!</definedName>
    <definedName name="plat.baja" localSheetId="23">#REF!</definedName>
    <definedName name="plat.baja" localSheetId="22">#REF!</definedName>
    <definedName name="plat.baja" localSheetId="21">#REF!</definedName>
    <definedName name="plat.baja" localSheetId="20">#REF!</definedName>
    <definedName name="plat.baja" localSheetId="13">#REF!</definedName>
    <definedName name="plat.baja" localSheetId="12">#REF!</definedName>
    <definedName name="plat.baja" localSheetId="11">#REF!</definedName>
    <definedName name="plat.baja" localSheetId="10">#REF!</definedName>
    <definedName name="plat.baja" localSheetId="9">#REF!</definedName>
    <definedName name="plat.baja" localSheetId="8">#REF!</definedName>
    <definedName name="plntm" localSheetId="19">#REF!</definedName>
    <definedName name="plntm" localSheetId="18">#REF!</definedName>
    <definedName name="plntm" localSheetId="17">#REF!</definedName>
    <definedName name="plntm" localSheetId="16">#REF!</definedName>
    <definedName name="plntm" localSheetId="15">#REF!</definedName>
    <definedName name="plntm" localSheetId="14">#REF!</definedName>
    <definedName name="plntm" localSheetId="25">#REF!</definedName>
    <definedName name="plntm" localSheetId="24">#REF!</definedName>
    <definedName name="plntm" localSheetId="23">#REF!</definedName>
    <definedName name="plntm" localSheetId="22">#REF!</definedName>
    <definedName name="plntm" localSheetId="21">#REF!</definedName>
    <definedName name="plntm" localSheetId="20">#REF!</definedName>
    <definedName name="plntm" localSheetId="13">#REF!</definedName>
    <definedName name="plntm" localSheetId="12">#REF!</definedName>
    <definedName name="plntm" localSheetId="11">#REF!</definedName>
    <definedName name="plntm" localSheetId="10">#REF!</definedName>
    <definedName name="plntm" localSheetId="9">#REF!</definedName>
    <definedName name="plntm" localSheetId="8">#REF!</definedName>
    <definedName name="PNPM05NOP_Summary_Kelurahan_P2KP_Crosstab" localSheetId="19">#REF!</definedName>
    <definedName name="PNPM05NOP_Summary_Kelurahan_P2KP_Crosstab" localSheetId="18">#REF!</definedName>
    <definedName name="PNPM05NOP_Summary_Kelurahan_P2KP_Crosstab" localSheetId="17">#REF!</definedName>
    <definedName name="PNPM05NOP_Summary_Kelurahan_P2KP_Crosstab" localSheetId="16">#REF!</definedName>
    <definedName name="PNPM05NOP_Summary_Kelurahan_P2KP_Crosstab" localSheetId="15">#REF!</definedName>
    <definedName name="PNPM05NOP_Summary_Kelurahan_P2KP_Crosstab" localSheetId="14">#REF!</definedName>
    <definedName name="PNPM05NOP_Summary_Kelurahan_P2KP_Crosstab" localSheetId="25">#REF!</definedName>
    <definedName name="PNPM05NOP_Summary_Kelurahan_P2KP_Crosstab" localSheetId="24">#REF!</definedName>
    <definedName name="PNPM05NOP_Summary_Kelurahan_P2KP_Crosstab" localSheetId="23">#REF!</definedName>
    <definedName name="PNPM05NOP_Summary_Kelurahan_P2KP_Crosstab" localSheetId="22">#REF!</definedName>
    <definedName name="PNPM05NOP_Summary_Kelurahan_P2KP_Crosstab" localSheetId="21">#REF!</definedName>
    <definedName name="PNPM05NOP_Summary_Kelurahan_P2KP_Crosstab" localSheetId="20">#REF!</definedName>
    <definedName name="PNPM05NOP_Summary_Kelurahan_P2KP_Crosstab" localSheetId="13">#REF!</definedName>
    <definedName name="PNPM05NOP_Summary_Kelurahan_P2KP_Crosstab" localSheetId="12">#REF!</definedName>
    <definedName name="PNPM05NOP_Summary_Kelurahan_P2KP_Crosstab" localSheetId="11">#REF!</definedName>
    <definedName name="PNPM05NOP_Summary_Kelurahan_P2KP_Crosstab" localSheetId="10">#REF!</definedName>
    <definedName name="PNPM05NOP_Summary_Kelurahan_P2KP_Crosstab" localSheetId="9">#REF!</definedName>
    <definedName name="PNPM05NOP_Summary_Kelurahan_P2KP_Crosstab" localSheetId="8">#REF!</definedName>
    <definedName name="PNPM2008_Kelurahan_Lama" localSheetId="19">#REF!</definedName>
    <definedName name="PNPM2008_Kelurahan_Lama" localSheetId="18">#REF!</definedName>
    <definedName name="PNPM2008_Kelurahan_Lama" localSheetId="17">#REF!</definedName>
    <definedName name="PNPM2008_Kelurahan_Lama" localSheetId="16">#REF!</definedName>
    <definedName name="PNPM2008_Kelurahan_Lama" localSheetId="15">#REF!</definedName>
    <definedName name="PNPM2008_Kelurahan_Lama" localSheetId="14">#REF!</definedName>
    <definedName name="PNPM2008_Kelurahan_Lama" localSheetId="25">#REF!</definedName>
    <definedName name="PNPM2008_Kelurahan_Lama" localSheetId="24">#REF!</definedName>
    <definedName name="PNPM2008_Kelurahan_Lama" localSheetId="23">#REF!</definedName>
    <definedName name="PNPM2008_Kelurahan_Lama" localSheetId="22">#REF!</definedName>
    <definedName name="PNPM2008_Kelurahan_Lama" localSheetId="21">#REF!</definedName>
    <definedName name="PNPM2008_Kelurahan_Lama" localSheetId="20">#REF!</definedName>
    <definedName name="PNPM2008_Kelurahan_Lama" localSheetId="13">#REF!</definedName>
    <definedName name="PNPM2008_Kelurahan_Lama" localSheetId="12">#REF!</definedName>
    <definedName name="PNPM2008_Kelurahan_Lama" localSheetId="11">#REF!</definedName>
    <definedName name="PNPM2008_Kelurahan_Lama" localSheetId="10">#REF!</definedName>
    <definedName name="PNPM2008_Kelurahan_Lama" localSheetId="9">#REF!</definedName>
    <definedName name="PNPM2008_Kelurahan_Lama" localSheetId="8">#REF!</definedName>
    <definedName name="porselin" localSheetId="19">#REF!</definedName>
    <definedName name="porselin" localSheetId="18">#REF!</definedName>
    <definedName name="porselin" localSheetId="17">#REF!</definedName>
    <definedName name="porselin" localSheetId="16">#REF!</definedName>
    <definedName name="porselin" localSheetId="15">#REF!</definedName>
    <definedName name="porselin" localSheetId="14">#REF!</definedName>
    <definedName name="porselin" localSheetId="25">#REF!</definedName>
    <definedName name="porselin" localSheetId="24">#REF!</definedName>
    <definedName name="porselin" localSheetId="23">#REF!</definedName>
    <definedName name="porselin" localSheetId="22">#REF!</definedName>
    <definedName name="porselin" localSheetId="21">#REF!</definedName>
    <definedName name="porselin" localSheetId="20">#REF!</definedName>
    <definedName name="porselin" localSheetId="13">#REF!</definedName>
    <definedName name="porselin" localSheetId="12">#REF!</definedName>
    <definedName name="porselin" localSheetId="11">#REF!</definedName>
    <definedName name="porselin" localSheetId="10">#REF!</definedName>
    <definedName name="porselin" localSheetId="9">#REF!</definedName>
    <definedName name="porselin" localSheetId="8">#REF!</definedName>
    <definedName name="pp.1" localSheetId="19">#REF!</definedName>
    <definedName name="pp.1" localSheetId="18">#REF!</definedName>
    <definedName name="pp.1" localSheetId="17">#REF!</definedName>
    <definedName name="pp.1" localSheetId="16">#REF!</definedName>
    <definedName name="pp.1" localSheetId="15">#REF!</definedName>
    <definedName name="pp.1" localSheetId="14">#REF!</definedName>
    <definedName name="pp.1" localSheetId="25">#REF!</definedName>
    <definedName name="pp.1" localSheetId="24">#REF!</definedName>
    <definedName name="pp.1" localSheetId="23">#REF!</definedName>
    <definedName name="pp.1" localSheetId="22">#REF!</definedName>
    <definedName name="pp.1" localSheetId="21">#REF!</definedName>
    <definedName name="pp.1" localSheetId="20">#REF!</definedName>
    <definedName name="pp.1" localSheetId="13">#REF!</definedName>
    <definedName name="pp.1" localSheetId="12">#REF!</definedName>
    <definedName name="pp.1" localSheetId="11">#REF!</definedName>
    <definedName name="pp.1" localSheetId="10">#REF!</definedName>
    <definedName name="pp.1" localSheetId="9">#REF!</definedName>
    <definedName name="pp.1" localSheetId="8">#REF!</definedName>
    <definedName name="pp.10" localSheetId="19">#REF!</definedName>
    <definedName name="pp.10" localSheetId="18">#REF!</definedName>
    <definedName name="pp.10" localSheetId="17">#REF!</definedName>
    <definedName name="pp.10" localSheetId="16">#REF!</definedName>
    <definedName name="pp.10" localSheetId="15">#REF!</definedName>
    <definedName name="pp.10" localSheetId="14">#REF!</definedName>
    <definedName name="pp.10" localSheetId="25">#REF!</definedName>
    <definedName name="pp.10" localSheetId="24">#REF!</definedName>
    <definedName name="pp.10" localSheetId="23">#REF!</definedName>
    <definedName name="pp.10" localSheetId="22">#REF!</definedName>
    <definedName name="pp.10" localSheetId="21">#REF!</definedName>
    <definedName name="pp.10" localSheetId="20">#REF!</definedName>
    <definedName name="pp.10" localSheetId="13">#REF!</definedName>
    <definedName name="pp.10" localSheetId="12">#REF!</definedName>
    <definedName name="pp.10" localSheetId="11">#REF!</definedName>
    <definedName name="pp.10" localSheetId="10">#REF!</definedName>
    <definedName name="pp.10" localSheetId="9">#REF!</definedName>
    <definedName name="pp.10" localSheetId="8">#REF!</definedName>
    <definedName name="pp.2" localSheetId="19">#REF!</definedName>
    <definedName name="pp.2" localSheetId="18">#REF!</definedName>
    <definedName name="pp.2" localSheetId="17">#REF!</definedName>
    <definedName name="pp.2" localSheetId="16">#REF!</definedName>
    <definedName name="pp.2" localSheetId="15">#REF!</definedName>
    <definedName name="pp.2" localSheetId="14">#REF!</definedName>
    <definedName name="pp.2" localSheetId="25">#REF!</definedName>
    <definedName name="pp.2" localSheetId="24">#REF!</definedName>
    <definedName name="pp.2" localSheetId="23">#REF!</definedName>
    <definedName name="pp.2" localSheetId="22">#REF!</definedName>
    <definedName name="pp.2" localSheetId="21">#REF!</definedName>
    <definedName name="pp.2" localSheetId="20">#REF!</definedName>
    <definedName name="pp.2" localSheetId="13">#REF!</definedName>
    <definedName name="pp.2" localSheetId="12">#REF!</definedName>
    <definedName name="pp.2" localSheetId="11">#REF!</definedName>
    <definedName name="pp.2" localSheetId="10">#REF!</definedName>
    <definedName name="pp.2" localSheetId="9">#REF!</definedName>
    <definedName name="pp.2" localSheetId="8">#REF!</definedName>
    <definedName name="pp.3" localSheetId="19">#REF!</definedName>
    <definedName name="pp.3" localSheetId="18">#REF!</definedName>
    <definedName name="pp.3" localSheetId="17">#REF!</definedName>
    <definedName name="pp.3" localSheetId="16">#REF!</definedName>
    <definedName name="pp.3" localSheetId="15">#REF!</definedName>
    <definedName name="pp.3" localSheetId="14">#REF!</definedName>
    <definedName name="pp.3" localSheetId="25">#REF!</definedName>
    <definedName name="pp.3" localSheetId="24">#REF!</definedName>
    <definedName name="pp.3" localSheetId="23">#REF!</definedName>
    <definedName name="pp.3" localSheetId="22">#REF!</definedName>
    <definedName name="pp.3" localSheetId="21">#REF!</definedName>
    <definedName name="pp.3" localSheetId="20">#REF!</definedName>
    <definedName name="pp.3" localSheetId="13">#REF!</definedName>
    <definedName name="pp.3" localSheetId="12">#REF!</definedName>
    <definedName name="pp.3" localSheetId="11">#REF!</definedName>
    <definedName name="pp.3" localSheetId="10">#REF!</definedName>
    <definedName name="pp.3" localSheetId="9">#REF!</definedName>
    <definedName name="pp.3" localSheetId="8">#REF!</definedName>
    <definedName name="pp.4" localSheetId="19">#REF!</definedName>
    <definedName name="pp.4" localSheetId="18">#REF!</definedName>
    <definedName name="pp.4" localSheetId="17">#REF!</definedName>
    <definedName name="pp.4" localSheetId="16">#REF!</definedName>
    <definedName name="pp.4" localSheetId="15">#REF!</definedName>
    <definedName name="pp.4" localSheetId="14">#REF!</definedName>
    <definedName name="pp.4" localSheetId="25">#REF!</definedName>
    <definedName name="pp.4" localSheetId="24">#REF!</definedName>
    <definedName name="pp.4" localSheetId="23">#REF!</definedName>
    <definedName name="pp.4" localSheetId="22">#REF!</definedName>
    <definedName name="pp.4" localSheetId="21">#REF!</definedName>
    <definedName name="pp.4" localSheetId="20">#REF!</definedName>
    <definedName name="pp.4" localSheetId="13">#REF!</definedName>
    <definedName name="pp.4" localSheetId="12">#REF!</definedName>
    <definedName name="pp.4" localSheetId="11">#REF!</definedName>
    <definedName name="pp.4" localSheetId="10">#REF!</definedName>
    <definedName name="pp.4" localSheetId="9">#REF!</definedName>
    <definedName name="pp.4" localSheetId="8">#REF!</definedName>
    <definedName name="pp.5" localSheetId="19">#REF!</definedName>
    <definedName name="pp.5" localSheetId="18">#REF!</definedName>
    <definedName name="pp.5" localSheetId="17">#REF!</definedName>
    <definedName name="pp.5" localSheetId="16">#REF!</definedName>
    <definedName name="pp.5" localSheetId="15">#REF!</definedName>
    <definedName name="pp.5" localSheetId="14">#REF!</definedName>
    <definedName name="pp.5" localSheetId="25">#REF!</definedName>
    <definedName name="pp.5" localSheetId="24">#REF!</definedName>
    <definedName name="pp.5" localSheetId="23">#REF!</definedName>
    <definedName name="pp.5" localSheetId="22">#REF!</definedName>
    <definedName name="pp.5" localSheetId="21">#REF!</definedName>
    <definedName name="pp.5" localSheetId="20">#REF!</definedName>
    <definedName name="pp.5" localSheetId="13">#REF!</definedName>
    <definedName name="pp.5" localSheetId="12">#REF!</definedName>
    <definedName name="pp.5" localSheetId="11">#REF!</definedName>
    <definedName name="pp.5" localSheetId="10">#REF!</definedName>
    <definedName name="pp.5" localSheetId="9">#REF!</definedName>
    <definedName name="pp.5" localSheetId="8">#REF!</definedName>
    <definedName name="pp.6" localSheetId="19">#REF!</definedName>
    <definedName name="pp.6" localSheetId="18">#REF!</definedName>
    <definedName name="pp.6" localSheetId="17">#REF!</definedName>
    <definedName name="pp.6" localSheetId="16">#REF!</definedName>
    <definedName name="pp.6" localSheetId="15">#REF!</definedName>
    <definedName name="pp.6" localSheetId="14">#REF!</definedName>
    <definedName name="pp.6" localSheetId="25">#REF!</definedName>
    <definedName name="pp.6" localSheetId="24">#REF!</definedName>
    <definedName name="pp.6" localSheetId="23">#REF!</definedName>
    <definedName name="pp.6" localSheetId="22">#REF!</definedName>
    <definedName name="pp.6" localSheetId="21">#REF!</definedName>
    <definedName name="pp.6" localSheetId="20">#REF!</definedName>
    <definedName name="pp.6" localSheetId="13">#REF!</definedName>
    <definedName name="pp.6" localSheetId="12">#REF!</definedName>
    <definedName name="pp.6" localSheetId="11">#REF!</definedName>
    <definedName name="pp.6" localSheetId="10">#REF!</definedName>
    <definedName name="pp.6" localSheetId="9">#REF!</definedName>
    <definedName name="pp.6" localSheetId="8">#REF!</definedName>
    <definedName name="pp.7" localSheetId="19">#REF!</definedName>
    <definedName name="pp.7" localSheetId="18">#REF!</definedName>
    <definedName name="pp.7" localSheetId="17">#REF!</definedName>
    <definedName name="pp.7" localSheetId="16">#REF!</definedName>
    <definedName name="pp.7" localSheetId="15">#REF!</definedName>
    <definedName name="pp.7" localSheetId="14">#REF!</definedName>
    <definedName name="pp.7" localSheetId="25">#REF!</definedName>
    <definedName name="pp.7" localSheetId="24">#REF!</definedName>
    <definedName name="pp.7" localSheetId="23">#REF!</definedName>
    <definedName name="pp.7" localSheetId="22">#REF!</definedName>
    <definedName name="pp.7" localSheetId="21">#REF!</definedName>
    <definedName name="pp.7" localSheetId="20">#REF!</definedName>
    <definedName name="pp.7" localSheetId="13">#REF!</definedName>
    <definedName name="pp.7" localSheetId="12">#REF!</definedName>
    <definedName name="pp.7" localSheetId="11">#REF!</definedName>
    <definedName name="pp.7" localSheetId="10">#REF!</definedName>
    <definedName name="pp.7" localSheetId="9">#REF!</definedName>
    <definedName name="pp.7" localSheetId="8">#REF!</definedName>
    <definedName name="pp.8" localSheetId="19">#REF!</definedName>
    <definedName name="pp.8" localSheetId="18">#REF!</definedName>
    <definedName name="pp.8" localSheetId="17">#REF!</definedName>
    <definedName name="pp.8" localSheetId="16">#REF!</definedName>
    <definedName name="pp.8" localSheetId="15">#REF!</definedName>
    <definedName name="pp.8" localSheetId="14">#REF!</definedName>
    <definedName name="pp.8" localSheetId="25">#REF!</definedName>
    <definedName name="pp.8" localSheetId="24">#REF!</definedName>
    <definedName name="pp.8" localSheetId="23">#REF!</definedName>
    <definedName name="pp.8" localSheetId="22">#REF!</definedName>
    <definedName name="pp.8" localSheetId="21">#REF!</definedName>
    <definedName name="pp.8" localSheetId="20">#REF!</definedName>
    <definedName name="pp.8" localSheetId="13">#REF!</definedName>
    <definedName name="pp.8" localSheetId="12">#REF!</definedName>
    <definedName name="pp.8" localSheetId="11">#REF!</definedName>
    <definedName name="pp.8" localSheetId="10">#REF!</definedName>
    <definedName name="pp.8" localSheetId="9">#REF!</definedName>
    <definedName name="pp.8" localSheetId="8">#REF!</definedName>
    <definedName name="pp.9" localSheetId="19">#REF!</definedName>
    <definedName name="pp.9" localSheetId="18">#REF!</definedName>
    <definedName name="pp.9" localSheetId="17">#REF!</definedName>
    <definedName name="pp.9" localSheetId="16">#REF!</definedName>
    <definedName name="pp.9" localSheetId="15">#REF!</definedName>
    <definedName name="pp.9" localSheetId="14">#REF!</definedName>
    <definedName name="pp.9" localSheetId="25">#REF!</definedName>
    <definedName name="pp.9" localSheetId="24">#REF!</definedName>
    <definedName name="pp.9" localSheetId="23">#REF!</definedName>
    <definedName name="pp.9" localSheetId="22">#REF!</definedName>
    <definedName name="pp.9" localSheetId="21">#REF!</definedName>
    <definedName name="pp.9" localSheetId="20">#REF!</definedName>
    <definedName name="pp.9" localSheetId="13">#REF!</definedName>
    <definedName name="pp.9" localSheetId="12">#REF!</definedName>
    <definedName name="pp.9" localSheetId="11">#REF!</definedName>
    <definedName name="pp.9" localSheetId="10">#REF!</definedName>
    <definedName name="pp.9" localSheetId="9">#REF!</definedName>
    <definedName name="pp.9" localSheetId="8">#REF!</definedName>
    <definedName name="pp.a" localSheetId="19">#REF!</definedName>
    <definedName name="pp.a" localSheetId="18">#REF!</definedName>
    <definedName name="pp.a" localSheetId="17">#REF!</definedName>
    <definedName name="pp.a" localSheetId="16">#REF!</definedName>
    <definedName name="pp.a" localSheetId="15">#REF!</definedName>
    <definedName name="pp.a" localSheetId="14">#REF!</definedName>
    <definedName name="pp.a" localSheetId="25">#REF!</definedName>
    <definedName name="pp.a" localSheetId="24">#REF!</definedName>
    <definedName name="pp.a" localSheetId="23">#REF!</definedName>
    <definedName name="pp.a" localSheetId="22">#REF!</definedName>
    <definedName name="pp.a" localSheetId="21">#REF!</definedName>
    <definedName name="pp.a" localSheetId="20">#REF!</definedName>
    <definedName name="pp.a" localSheetId="13">#REF!</definedName>
    <definedName name="pp.a" localSheetId="12">#REF!</definedName>
    <definedName name="pp.a" localSheetId="11">#REF!</definedName>
    <definedName name="pp.a" localSheetId="10">#REF!</definedName>
    <definedName name="pp.a" localSheetId="9">#REF!</definedName>
    <definedName name="pp.a" localSheetId="8">#REF!</definedName>
    <definedName name="pp.b" localSheetId="19">#REF!</definedName>
    <definedName name="pp.b" localSheetId="18">#REF!</definedName>
    <definedName name="pp.b" localSheetId="17">#REF!</definedName>
    <definedName name="pp.b" localSheetId="16">#REF!</definedName>
    <definedName name="pp.b" localSheetId="15">#REF!</definedName>
    <definedName name="pp.b" localSheetId="14">#REF!</definedName>
    <definedName name="pp.b" localSheetId="25">#REF!</definedName>
    <definedName name="pp.b" localSheetId="24">#REF!</definedName>
    <definedName name="pp.b" localSheetId="23">#REF!</definedName>
    <definedName name="pp.b" localSheetId="22">#REF!</definedName>
    <definedName name="pp.b" localSheetId="21">#REF!</definedName>
    <definedName name="pp.b" localSheetId="20">#REF!</definedName>
    <definedName name="pp.b" localSheetId="13">#REF!</definedName>
    <definedName name="pp.b" localSheetId="12">#REF!</definedName>
    <definedName name="pp.b" localSheetId="11">#REF!</definedName>
    <definedName name="pp.b" localSheetId="10">#REF!</definedName>
    <definedName name="pp.b" localSheetId="9">#REF!</definedName>
    <definedName name="pp.b" localSheetId="8">#REF!</definedName>
    <definedName name="pp.c" localSheetId="19">#REF!</definedName>
    <definedName name="pp.c" localSheetId="18">#REF!</definedName>
    <definedName name="pp.c" localSheetId="17">#REF!</definedName>
    <definedName name="pp.c" localSheetId="16">#REF!</definedName>
    <definedName name="pp.c" localSheetId="15">#REF!</definedName>
    <definedName name="pp.c" localSheetId="14">#REF!</definedName>
    <definedName name="pp.c" localSheetId="25">#REF!</definedName>
    <definedName name="pp.c" localSheetId="24">#REF!</definedName>
    <definedName name="pp.c" localSheetId="23">#REF!</definedName>
    <definedName name="pp.c" localSheetId="22">#REF!</definedName>
    <definedName name="pp.c" localSheetId="21">#REF!</definedName>
    <definedName name="pp.c" localSheetId="20">#REF!</definedName>
    <definedName name="pp.c" localSheetId="13">#REF!</definedName>
    <definedName name="pp.c" localSheetId="12">#REF!</definedName>
    <definedName name="pp.c" localSheetId="11">#REF!</definedName>
    <definedName name="pp.c" localSheetId="10">#REF!</definedName>
    <definedName name="pp.c" localSheetId="9">#REF!</definedName>
    <definedName name="pp.c" localSheetId="8">#REF!</definedName>
    <definedName name="Print" localSheetId="19">#REF!</definedName>
    <definedName name="Print" localSheetId="18">#REF!</definedName>
    <definedName name="Print" localSheetId="17">#REF!</definedName>
    <definedName name="Print" localSheetId="16">#REF!</definedName>
    <definedName name="Print" localSheetId="15">#REF!</definedName>
    <definedName name="Print" localSheetId="14">#REF!</definedName>
    <definedName name="Print" localSheetId="25">#REF!</definedName>
    <definedName name="Print" localSheetId="24">#REF!</definedName>
    <definedName name="Print" localSheetId="23">#REF!</definedName>
    <definedName name="Print" localSheetId="22">#REF!</definedName>
    <definedName name="Print" localSheetId="21">#REF!</definedName>
    <definedName name="Print" localSheetId="20">#REF!</definedName>
    <definedName name="Print" localSheetId="13">#REF!</definedName>
    <definedName name="Print" localSheetId="12">#REF!</definedName>
    <definedName name="Print" localSheetId="11">#REF!</definedName>
    <definedName name="Print" localSheetId="10">#REF!</definedName>
    <definedName name="Print" localSheetId="9">#REF!</definedName>
    <definedName name="Print" localSheetId="8">#REF!</definedName>
    <definedName name="_xlnm.Print_Area" localSheetId="19">'B1'!$A$1:$F$41</definedName>
    <definedName name="_xlnm.Print_Area" localSheetId="18">'B2'!$A$1:$F$41</definedName>
    <definedName name="_xlnm.Print_Area" localSheetId="17">'B3'!$A$1:$F$41</definedName>
    <definedName name="_xlnm.Print_Area" localSheetId="16">'B4'!$A$1:$F$41</definedName>
    <definedName name="_xlnm.Print_Area" localSheetId="15">'B5'!$A$1:$F$41</definedName>
    <definedName name="_xlnm.Print_Area" localSheetId="14">'B6'!$A$1:$F$41</definedName>
    <definedName name="_xlnm.Print_Area" localSheetId="25">'M1'!$A$1:$F$41</definedName>
    <definedName name="_xlnm.Print_Area" localSheetId="24">'M2'!$A$1:$F$41</definedName>
    <definedName name="_xlnm.Print_Area" localSheetId="23">'M3'!$A$1:$F$41</definedName>
    <definedName name="_xlnm.Print_Area" localSheetId="22">'M4'!$A$1:$F$41</definedName>
    <definedName name="_xlnm.Print_Area" localSheetId="21">'M5'!$A$1:$F$41</definedName>
    <definedName name="_xlnm.Print_Area" localSheetId="20">'M6'!$A$1:$F$41</definedName>
    <definedName name="_xlnm.Print_Area" localSheetId="13">'MG1'!$A$1:$F$41</definedName>
    <definedName name="_xlnm.Print_Area" localSheetId="12">'MG2'!$A$1:$F$41</definedName>
    <definedName name="_xlnm.Print_Area" localSheetId="11">'MG3'!$A$1:$F$41</definedName>
    <definedName name="_xlnm.Print_Area" localSheetId="10">'MG4'!$A$1:$F$41</definedName>
    <definedName name="_xlnm.Print_Area" localSheetId="9">'MG5'!$A$1:$F$41</definedName>
    <definedName name="_xlnm.Print_Area" localSheetId="8">'MG6'!$A$1:$F$41</definedName>
    <definedName name="_xlnm.Print_Area">#REF!</definedName>
    <definedName name="_xlnm.Print_Titles">#N/A</definedName>
    <definedName name="ps.1" localSheetId="19">#REF!</definedName>
    <definedName name="ps.1" localSheetId="18">#REF!</definedName>
    <definedName name="ps.1" localSheetId="17">#REF!</definedName>
    <definedName name="ps.1" localSheetId="16">#REF!</definedName>
    <definedName name="ps.1" localSheetId="15">#REF!</definedName>
    <definedName name="ps.1" localSheetId="14">#REF!</definedName>
    <definedName name="ps.1" localSheetId="25">#REF!</definedName>
    <definedName name="ps.1" localSheetId="24">#REF!</definedName>
    <definedName name="ps.1" localSheetId="23">#REF!</definedName>
    <definedName name="ps.1" localSheetId="22">#REF!</definedName>
    <definedName name="ps.1" localSheetId="21">#REF!</definedName>
    <definedName name="ps.1" localSheetId="20">#REF!</definedName>
    <definedName name="ps.1" localSheetId="13">#REF!</definedName>
    <definedName name="ps.1" localSheetId="12">#REF!</definedName>
    <definedName name="ps.1" localSheetId="11">#REF!</definedName>
    <definedName name="ps.1" localSheetId="10">#REF!</definedName>
    <definedName name="ps.1" localSheetId="9">#REF!</definedName>
    <definedName name="ps.1" localSheetId="8">#REF!</definedName>
    <definedName name="ps.1.a" localSheetId="19">#REF!</definedName>
    <definedName name="ps.1.a" localSheetId="18">#REF!</definedName>
    <definedName name="ps.1.a" localSheetId="17">#REF!</definedName>
    <definedName name="ps.1.a" localSheetId="16">#REF!</definedName>
    <definedName name="ps.1.a" localSheetId="15">#REF!</definedName>
    <definedName name="ps.1.a" localSheetId="14">#REF!</definedName>
    <definedName name="ps.1.a" localSheetId="25">#REF!</definedName>
    <definedName name="ps.1.a" localSheetId="24">#REF!</definedName>
    <definedName name="ps.1.a" localSheetId="23">#REF!</definedName>
    <definedName name="ps.1.a" localSheetId="22">#REF!</definedName>
    <definedName name="ps.1.a" localSheetId="21">#REF!</definedName>
    <definedName name="ps.1.a" localSheetId="20">#REF!</definedName>
    <definedName name="ps.1.a" localSheetId="13">#REF!</definedName>
    <definedName name="ps.1.a" localSheetId="12">#REF!</definedName>
    <definedName name="ps.1.a" localSheetId="11">#REF!</definedName>
    <definedName name="ps.1.a" localSheetId="10">#REF!</definedName>
    <definedName name="ps.1.a" localSheetId="9">#REF!</definedName>
    <definedName name="ps.1.a" localSheetId="8">#REF!</definedName>
    <definedName name="ps.1.b" localSheetId="19">#REF!</definedName>
    <definedName name="ps.1.b" localSheetId="18">#REF!</definedName>
    <definedName name="ps.1.b" localSheetId="17">#REF!</definedName>
    <definedName name="ps.1.b" localSheetId="16">#REF!</definedName>
    <definedName name="ps.1.b" localSheetId="15">#REF!</definedName>
    <definedName name="ps.1.b" localSheetId="14">#REF!</definedName>
    <definedName name="ps.1.b" localSheetId="25">#REF!</definedName>
    <definedName name="ps.1.b" localSheetId="24">#REF!</definedName>
    <definedName name="ps.1.b" localSheetId="23">#REF!</definedName>
    <definedName name="ps.1.b" localSheetId="22">#REF!</definedName>
    <definedName name="ps.1.b" localSheetId="21">#REF!</definedName>
    <definedName name="ps.1.b" localSheetId="20">#REF!</definedName>
    <definedName name="ps.1.b" localSheetId="13">#REF!</definedName>
    <definedName name="ps.1.b" localSheetId="12">#REF!</definedName>
    <definedName name="ps.1.b" localSheetId="11">#REF!</definedName>
    <definedName name="ps.1.b" localSheetId="10">#REF!</definedName>
    <definedName name="ps.1.b" localSheetId="9">#REF!</definedName>
    <definedName name="ps.1.b" localSheetId="8">#REF!</definedName>
    <definedName name="ps.1.c" localSheetId="19">#REF!</definedName>
    <definedName name="ps.1.c" localSheetId="18">#REF!</definedName>
    <definedName name="ps.1.c" localSheetId="17">#REF!</definedName>
    <definedName name="ps.1.c" localSheetId="16">#REF!</definedName>
    <definedName name="ps.1.c" localSheetId="15">#REF!</definedName>
    <definedName name="ps.1.c" localSheetId="14">#REF!</definedName>
    <definedName name="ps.1.c" localSheetId="25">#REF!</definedName>
    <definedName name="ps.1.c" localSheetId="24">#REF!</definedName>
    <definedName name="ps.1.c" localSheetId="23">#REF!</definedName>
    <definedName name="ps.1.c" localSheetId="22">#REF!</definedName>
    <definedName name="ps.1.c" localSheetId="21">#REF!</definedName>
    <definedName name="ps.1.c" localSheetId="20">#REF!</definedName>
    <definedName name="ps.1.c" localSheetId="13">#REF!</definedName>
    <definedName name="ps.1.c" localSheetId="12">#REF!</definedName>
    <definedName name="ps.1.c" localSheetId="11">#REF!</definedName>
    <definedName name="ps.1.c" localSheetId="10">#REF!</definedName>
    <definedName name="ps.1.c" localSheetId="9">#REF!</definedName>
    <definedName name="ps.1.c" localSheetId="8">#REF!</definedName>
    <definedName name="ps.2" localSheetId="19">#REF!</definedName>
    <definedName name="ps.2" localSheetId="18">#REF!</definedName>
    <definedName name="ps.2" localSheetId="17">#REF!</definedName>
    <definedName name="ps.2" localSheetId="16">#REF!</definedName>
    <definedName name="ps.2" localSheetId="15">#REF!</definedName>
    <definedName name="ps.2" localSheetId="14">#REF!</definedName>
    <definedName name="ps.2" localSheetId="25">#REF!</definedName>
    <definedName name="ps.2" localSheetId="24">#REF!</definedName>
    <definedName name="ps.2" localSheetId="23">#REF!</definedName>
    <definedName name="ps.2" localSheetId="22">#REF!</definedName>
    <definedName name="ps.2" localSheetId="21">#REF!</definedName>
    <definedName name="ps.2" localSheetId="20">#REF!</definedName>
    <definedName name="ps.2" localSheetId="13">#REF!</definedName>
    <definedName name="ps.2" localSheetId="12">#REF!</definedName>
    <definedName name="ps.2" localSheetId="11">#REF!</definedName>
    <definedName name="ps.2" localSheetId="10">#REF!</definedName>
    <definedName name="ps.2" localSheetId="9">#REF!</definedName>
    <definedName name="ps.2" localSheetId="8">#REF!</definedName>
    <definedName name="ps.200.2" localSheetId="19">#REF!</definedName>
    <definedName name="ps.200.2" localSheetId="18">#REF!</definedName>
    <definedName name="ps.200.2" localSheetId="17">#REF!</definedName>
    <definedName name="ps.200.2" localSheetId="16">#REF!</definedName>
    <definedName name="ps.200.2" localSheetId="15">#REF!</definedName>
    <definedName name="ps.200.2" localSheetId="14">#REF!</definedName>
    <definedName name="ps.200.2" localSheetId="25">#REF!</definedName>
    <definedName name="ps.200.2" localSheetId="24">#REF!</definedName>
    <definedName name="ps.200.2" localSheetId="23">#REF!</definedName>
    <definedName name="ps.200.2" localSheetId="22">#REF!</definedName>
    <definedName name="ps.200.2" localSheetId="21">#REF!</definedName>
    <definedName name="ps.200.2" localSheetId="20">#REF!</definedName>
    <definedName name="ps.200.2" localSheetId="13">#REF!</definedName>
    <definedName name="ps.200.2" localSheetId="12">#REF!</definedName>
    <definedName name="ps.200.2" localSheetId="11">#REF!</definedName>
    <definedName name="ps.200.2" localSheetId="10">#REF!</definedName>
    <definedName name="ps.200.2" localSheetId="9">#REF!</definedName>
    <definedName name="ps.200.2" localSheetId="8">#REF!</definedName>
    <definedName name="ps.200.2.5" localSheetId="19">#REF!</definedName>
    <definedName name="ps.200.2.5" localSheetId="18">#REF!</definedName>
    <definedName name="ps.200.2.5" localSheetId="17">#REF!</definedName>
    <definedName name="ps.200.2.5" localSheetId="16">#REF!</definedName>
    <definedName name="ps.200.2.5" localSheetId="15">#REF!</definedName>
    <definedName name="ps.200.2.5" localSheetId="14">#REF!</definedName>
    <definedName name="ps.200.2.5" localSheetId="25">#REF!</definedName>
    <definedName name="ps.200.2.5" localSheetId="24">#REF!</definedName>
    <definedName name="ps.200.2.5" localSheetId="23">#REF!</definedName>
    <definedName name="ps.200.2.5" localSheetId="22">#REF!</definedName>
    <definedName name="ps.200.2.5" localSheetId="21">#REF!</definedName>
    <definedName name="ps.200.2.5" localSheetId="20">#REF!</definedName>
    <definedName name="ps.200.2.5" localSheetId="13">#REF!</definedName>
    <definedName name="ps.200.2.5" localSheetId="12">#REF!</definedName>
    <definedName name="ps.200.2.5" localSheetId="11">#REF!</definedName>
    <definedName name="ps.200.2.5" localSheetId="10">#REF!</definedName>
    <definedName name="ps.200.2.5" localSheetId="9">#REF!</definedName>
    <definedName name="ps.200.2.5" localSheetId="8">#REF!</definedName>
    <definedName name="ps.200.4" localSheetId="19">#REF!</definedName>
    <definedName name="ps.200.4" localSheetId="18">#REF!</definedName>
    <definedName name="ps.200.4" localSheetId="17">#REF!</definedName>
    <definedName name="ps.200.4" localSheetId="16">#REF!</definedName>
    <definedName name="ps.200.4" localSheetId="15">#REF!</definedName>
    <definedName name="ps.200.4" localSheetId="14">#REF!</definedName>
    <definedName name="ps.200.4" localSheetId="25">#REF!</definedName>
    <definedName name="ps.200.4" localSheetId="24">#REF!</definedName>
    <definedName name="ps.200.4" localSheetId="23">#REF!</definedName>
    <definedName name="ps.200.4" localSheetId="22">#REF!</definedName>
    <definedName name="ps.200.4" localSheetId="21">#REF!</definedName>
    <definedName name="ps.200.4" localSheetId="20">#REF!</definedName>
    <definedName name="ps.200.4" localSheetId="13">#REF!</definedName>
    <definedName name="ps.200.4" localSheetId="12">#REF!</definedName>
    <definedName name="ps.200.4" localSheetId="11">#REF!</definedName>
    <definedName name="ps.200.4" localSheetId="10">#REF!</definedName>
    <definedName name="ps.200.4" localSheetId="9">#REF!</definedName>
    <definedName name="ps.200.4" localSheetId="8">#REF!</definedName>
    <definedName name="ps.200.8" localSheetId="19">#REF!</definedName>
    <definedName name="ps.200.8" localSheetId="18">#REF!</definedName>
    <definedName name="ps.200.8" localSheetId="17">#REF!</definedName>
    <definedName name="ps.200.8" localSheetId="16">#REF!</definedName>
    <definedName name="ps.200.8" localSheetId="15">#REF!</definedName>
    <definedName name="ps.200.8" localSheetId="14">#REF!</definedName>
    <definedName name="ps.200.8" localSheetId="25">#REF!</definedName>
    <definedName name="ps.200.8" localSheetId="24">#REF!</definedName>
    <definedName name="ps.200.8" localSheetId="23">#REF!</definedName>
    <definedName name="ps.200.8" localSheetId="22">#REF!</definedName>
    <definedName name="ps.200.8" localSheetId="21">#REF!</definedName>
    <definedName name="ps.200.8" localSheetId="20">#REF!</definedName>
    <definedName name="ps.200.8" localSheetId="13">#REF!</definedName>
    <definedName name="ps.200.8" localSheetId="12">#REF!</definedName>
    <definedName name="ps.200.8" localSheetId="11">#REF!</definedName>
    <definedName name="ps.200.8" localSheetId="10">#REF!</definedName>
    <definedName name="ps.200.8" localSheetId="9">#REF!</definedName>
    <definedName name="ps.200.8" localSheetId="8">#REF!</definedName>
    <definedName name="ps.250.1.5" localSheetId="19">#REF!</definedName>
    <definedName name="ps.250.1.5" localSheetId="18">#REF!</definedName>
    <definedName name="ps.250.1.5" localSheetId="17">#REF!</definedName>
    <definedName name="ps.250.1.5" localSheetId="16">#REF!</definedName>
    <definedName name="ps.250.1.5" localSheetId="15">#REF!</definedName>
    <definedName name="ps.250.1.5" localSheetId="14">#REF!</definedName>
    <definedName name="ps.250.1.5" localSheetId="25">#REF!</definedName>
    <definedName name="ps.250.1.5" localSheetId="24">#REF!</definedName>
    <definedName name="ps.250.1.5" localSheetId="23">#REF!</definedName>
    <definedName name="ps.250.1.5" localSheetId="22">#REF!</definedName>
    <definedName name="ps.250.1.5" localSheetId="21">#REF!</definedName>
    <definedName name="ps.250.1.5" localSheetId="20">#REF!</definedName>
    <definedName name="ps.250.1.5" localSheetId="13">#REF!</definedName>
    <definedName name="ps.250.1.5" localSheetId="12">#REF!</definedName>
    <definedName name="ps.250.1.5" localSheetId="11">#REF!</definedName>
    <definedName name="ps.250.1.5" localSheetId="10">#REF!</definedName>
    <definedName name="ps.250.1.5" localSheetId="9">#REF!</definedName>
    <definedName name="ps.250.1.5" localSheetId="8">#REF!</definedName>
    <definedName name="ps.250.2" localSheetId="19">#REF!</definedName>
    <definedName name="ps.250.2" localSheetId="18">#REF!</definedName>
    <definedName name="ps.250.2" localSheetId="17">#REF!</definedName>
    <definedName name="ps.250.2" localSheetId="16">#REF!</definedName>
    <definedName name="ps.250.2" localSheetId="15">#REF!</definedName>
    <definedName name="ps.250.2" localSheetId="14">#REF!</definedName>
    <definedName name="ps.250.2" localSheetId="25">#REF!</definedName>
    <definedName name="ps.250.2" localSheetId="24">#REF!</definedName>
    <definedName name="ps.250.2" localSheetId="23">#REF!</definedName>
    <definedName name="ps.250.2" localSheetId="22">#REF!</definedName>
    <definedName name="ps.250.2" localSheetId="21">#REF!</definedName>
    <definedName name="ps.250.2" localSheetId="20">#REF!</definedName>
    <definedName name="ps.250.2" localSheetId="13">#REF!</definedName>
    <definedName name="ps.250.2" localSheetId="12">#REF!</definedName>
    <definedName name="ps.250.2" localSheetId="11">#REF!</definedName>
    <definedName name="ps.250.2" localSheetId="10">#REF!</definedName>
    <definedName name="ps.250.2" localSheetId="9">#REF!</definedName>
    <definedName name="ps.250.2" localSheetId="8">#REF!</definedName>
    <definedName name="ps.250.3" localSheetId="19">#REF!</definedName>
    <definedName name="ps.250.3" localSheetId="18">#REF!</definedName>
    <definedName name="ps.250.3" localSheetId="17">#REF!</definedName>
    <definedName name="ps.250.3" localSheetId="16">#REF!</definedName>
    <definedName name="ps.250.3" localSheetId="15">#REF!</definedName>
    <definedName name="ps.250.3" localSheetId="14">#REF!</definedName>
    <definedName name="ps.250.3" localSheetId="25">#REF!</definedName>
    <definedName name="ps.250.3" localSheetId="24">#REF!</definedName>
    <definedName name="ps.250.3" localSheetId="23">#REF!</definedName>
    <definedName name="ps.250.3" localSheetId="22">#REF!</definedName>
    <definedName name="ps.250.3" localSheetId="21">#REF!</definedName>
    <definedName name="ps.250.3" localSheetId="20">#REF!</definedName>
    <definedName name="ps.250.3" localSheetId="13">#REF!</definedName>
    <definedName name="ps.250.3" localSheetId="12">#REF!</definedName>
    <definedName name="ps.250.3" localSheetId="11">#REF!</definedName>
    <definedName name="ps.250.3" localSheetId="10">#REF!</definedName>
    <definedName name="ps.250.3" localSheetId="9">#REF!</definedName>
    <definedName name="ps.250.3" localSheetId="8">#REF!</definedName>
    <definedName name="ps.250.3.5" localSheetId="19">#REF!</definedName>
    <definedName name="ps.250.3.5" localSheetId="18">#REF!</definedName>
    <definedName name="ps.250.3.5" localSheetId="17">#REF!</definedName>
    <definedName name="ps.250.3.5" localSheetId="16">#REF!</definedName>
    <definedName name="ps.250.3.5" localSheetId="15">#REF!</definedName>
    <definedName name="ps.250.3.5" localSheetId="14">#REF!</definedName>
    <definedName name="ps.250.3.5" localSheetId="25">#REF!</definedName>
    <definedName name="ps.250.3.5" localSheetId="24">#REF!</definedName>
    <definedName name="ps.250.3.5" localSheetId="23">#REF!</definedName>
    <definedName name="ps.250.3.5" localSheetId="22">#REF!</definedName>
    <definedName name="ps.250.3.5" localSheetId="21">#REF!</definedName>
    <definedName name="ps.250.3.5" localSheetId="20">#REF!</definedName>
    <definedName name="ps.250.3.5" localSheetId="13">#REF!</definedName>
    <definedName name="ps.250.3.5" localSheetId="12">#REF!</definedName>
    <definedName name="ps.250.3.5" localSheetId="11">#REF!</definedName>
    <definedName name="ps.250.3.5" localSheetId="10">#REF!</definedName>
    <definedName name="ps.250.3.5" localSheetId="9">#REF!</definedName>
    <definedName name="ps.250.3.5" localSheetId="8">#REF!</definedName>
    <definedName name="ps.250.7" localSheetId="19">#REF!</definedName>
    <definedName name="ps.250.7" localSheetId="18">#REF!</definedName>
    <definedName name="ps.250.7" localSheetId="17">#REF!</definedName>
    <definedName name="ps.250.7" localSheetId="16">#REF!</definedName>
    <definedName name="ps.250.7" localSheetId="15">#REF!</definedName>
    <definedName name="ps.250.7" localSheetId="14">#REF!</definedName>
    <definedName name="ps.250.7" localSheetId="25">#REF!</definedName>
    <definedName name="ps.250.7" localSheetId="24">#REF!</definedName>
    <definedName name="ps.250.7" localSheetId="23">#REF!</definedName>
    <definedName name="ps.250.7" localSheetId="22">#REF!</definedName>
    <definedName name="ps.250.7" localSheetId="21">#REF!</definedName>
    <definedName name="ps.250.7" localSheetId="20">#REF!</definedName>
    <definedName name="ps.250.7" localSheetId="13">#REF!</definedName>
    <definedName name="ps.250.7" localSheetId="12">#REF!</definedName>
    <definedName name="ps.250.7" localSheetId="11">#REF!</definedName>
    <definedName name="ps.250.7" localSheetId="10">#REF!</definedName>
    <definedName name="ps.250.7" localSheetId="9">#REF!</definedName>
    <definedName name="ps.250.7" localSheetId="8">#REF!</definedName>
    <definedName name="ps.500.2.s" localSheetId="19">#REF!</definedName>
    <definedName name="ps.500.2.s" localSheetId="18">#REF!</definedName>
    <definedName name="ps.500.2.s" localSheetId="17">#REF!</definedName>
    <definedName name="ps.500.2.s" localSheetId="16">#REF!</definedName>
    <definedName name="ps.500.2.s" localSheetId="15">#REF!</definedName>
    <definedName name="ps.500.2.s" localSheetId="14">#REF!</definedName>
    <definedName name="ps.500.2.s" localSheetId="25">#REF!</definedName>
    <definedName name="ps.500.2.s" localSheetId="24">#REF!</definedName>
    <definedName name="ps.500.2.s" localSheetId="23">#REF!</definedName>
    <definedName name="ps.500.2.s" localSheetId="22">#REF!</definedName>
    <definedName name="ps.500.2.s" localSheetId="21">#REF!</definedName>
    <definedName name="ps.500.2.s" localSheetId="20">#REF!</definedName>
    <definedName name="ps.500.2.s" localSheetId="13">#REF!</definedName>
    <definedName name="ps.500.2.s" localSheetId="12">#REF!</definedName>
    <definedName name="ps.500.2.s" localSheetId="11">#REF!</definedName>
    <definedName name="ps.500.2.s" localSheetId="10">#REF!</definedName>
    <definedName name="ps.500.2.s" localSheetId="9">#REF!</definedName>
    <definedName name="ps.500.2.s" localSheetId="8">#REF!</definedName>
    <definedName name="ps.500.6" localSheetId="19">#REF!</definedName>
    <definedName name="ps.500.6" localSheetId="18">#REF!</definedName>
    <definedName name="ps.500.6" localSheetId="17">#REF!</definedName>
    <definedName name="ps.500.6" localSheetId="16">#REF!</definedName>
    <definedName name="ps.500.6" localSheetId="15">#REF!</definedName>
    <definedName name="ps.500.6" localSheetId="14">#REF!</definedName>
    <definedName name="ps.500.6" localSheetId="25">#REF!</definedName>
    <definedName name="ps.500.6" localSheetId="24">#REF!</definedName>
    <definedName name="ps.500.6" localSheetId="23">#REF!</definedName>
    <definedName name="ps.500.6" localSheetId="22">#REF!</definedName>
    <definedName name="ps.500.6" localSheetId="21">#REF!</definedName>
    <definedName name="ps.500.6" localSheetId="20">#REF!</definedName>
    <definedName name="ps.500.6" localSheetId="13">#REF!</definedName>
    <definedName name="ps.500.6" localSheetId="12">#REF!</definedName>
    <definedName name="ps.500.6" localSheetId="11">#REF!</definedName>
    <definedName name="ps.500.6" localSheetId="10">#REF!</definedName>
    <definedName name="ps.500.6" localSheetId="9">#REF!</definedName>
    <definedName name="ps.500.6" localSheetId="8">#REF!</definedName>
    <definedName name="ps.500.6." localSheetId="19">#REF!</definedName>
    <definedName name="ps.500.6." localSheetId="18">#REF!</definedName>
    <definedName name="ps.500.6." localSheetId="17">#REF!</definedName>
    <definedName name="ps.500.6." localSheetId="16">#REF!</definedName>
    <definedName name="ps.500.6." localSheetId="15">#REF!</definedName>
    <definedName name="ps.500.6." localSheetId="14">#REF!</definedName>
    <definedName name="ps.500.6." localSheetId="25">#REF!</definedName>
    <definedName name="ps.500.6." localSheetId="24">#REF!</definedName>
    <definedName name="ps.500.6." localSheetId="23">#REF!</definedName>
    <definedName name="ps.500.6." localSheetId="22">#REF!</definedName>
    <definedName name="ps.500.6." localSheetId="21">#REF!</definedName>
    <definedName name="ps.500.6." localSheetId="20">#REF!</definedName>
    <definedName name="ps.500.6." localSheetId="13">#REF!</definedName>
    <definedName name="ps.500.6." localSheetId="12">#REF!</definedName>
    <definedName name="ps.500.6." localSheetId="11">#REF!</definedName>
    <definedName name="ps.500.6." localSheetId="10">#REF!</definedName>
    <definedName name="ps.500.6." localSheetId="9">#REF!</definedName>
    <definedName name="ps.500.6." localSheetId="8">#REF!</definedName>
    <definedName name="PT.BRC.4" localSheetId="19">#REF!</definedName>
    <definedName name="PT.BRC.4" localSheetId="18">#REF!</definedName>
    <definedName name="PT.BRC.4" localSheetId="17">#REF!</definedName>
    <definedName name="PT.BRC.4" localSheetId="16">#REF!</definedName>
    <definedName name="PT.BRC.4" localSheetId="15">#REF!</definedName>
    <definedName name="PT.BRC.4" localSheetId="14">#REF!</definedName>
    <definedName name="PT.BRC.4" localSheetId="25">#REF!</definedName>
    <definedName name="PT.BRC.4" localSheetId="24">#REF!</definedName>
    <definedName name="PT.BRC.4" localSheetId="23">#REF!</definedName>
    <definedName name="PT.BRC.4" localSheetId="22">#REF!</definedName>
    <definedName name="PT.BRC.4" localSheetId="21">#REF!</definedName>
    <definedName name="PT.BRC.4" localSheetId="20">#REF!</definedName>
    <definedName name="PT.BRC.4" localSheetId="13">#REF!</definedName>
    <definedName name="PT.BRC.4" localSheetId="12">#REF!</definedName>
    <definedName name="PT.BRC.4" localSheetId="11">#REF!</definedName>
    <definedName name="PT.BRC.4" localSheetId="10">#REF!</definedName>
    <definedName name="PT.BRC.4" localSheetId="9">#REF!</definedName>
    <definedName name="PT.BRC.4" localSheetId="8">#REF!</definedName>
    <definedName name="QHapus" localSheetId="19">#REF!</definedName>
    <definedName name="QHapus" localSheetId="18">#REF!</definedName>
    <definedName name="QHapus" localSheetId="17">#REF!</definedName>
    <definedName name="QHapus" localSheetId="16">#REF!</definedName>
    <definedName name="QHapus" localSheetId="15">#REF!</definedName>
    <definedName name="QHapus" localSheetId="14">#REF!</definedName>
    <definedName name="QHapus" localSheetId="25">#REF!</definedName>
    <definedName name="QHapus" localSheetId="24">#REF!</definedName>
    <definedName name="QHapus" localSheetId="23">#REF!</definedName>
    <definedName name="QHapus" localSheetId="22">#REF!</definedName>
    <definedName name="QHapus" localSheetId="21">#REF!</definedName>
    <definedName name="QHapus" localSheetId="20">#REF!</definedName>
    <definedName name="QHapus" localSheetId="13">#REF!</definedName>
    <definedName name="QHapus" localSheetId="12">#REF!</definedName>
    <definedName name="QHapus" localSheetId="11">#REF!</definedName>
    <definedName name="QHapus" localSheetId="10">#REF!</definedName>
    <definedName name="QHapus" localSheetId="9">#REF!</definedName>
    <definedName name="QHapus" localSheetId="8">#REF!</definedName>
    <definedName name="QRekap_Kel_PNPM09_utk_KEc_Crosstab" localSheetId="19">#REF!</definedName>
    <definedName name="QRekap_Kel_PNPM09_utk_KEc_Crosstab" localSheetId="18">#REF!</definedName>
    <definedName name="QRekap_Kel_PNPM09_utk_KEc_Crosstab" localSheetId="17">#REF!</definedName>
    <definedName name="QRekap_Kel_PNPM09_utk_KEc_Crosstab" localSheetId="16">#REF!</definedName>
    <definedName name="QRekap_Kel_PNPM09_utk_KEc_Crosstab" localSheetId="15">#REF!</definedName>
    <definedName name="QRekap_Kel_PNPM09_utk_KEc_Crosstab" localSheetId="14">#REF!</definedName>
    <definedName name="QRekap_Kel_PNPM09_utk_KEc_Crosstab" localSheetId="25">#REF!</definedName>
    <definedName name="QRekap_Kel_PNPM09_utk_KEc_Crosstab" localSheetId="24">#REF!</definedName>
    <definedName name="QRekap_Kel_PNPM09_utk_KEc_Crosstab" localSheetId="23">#REF!</definedName>
    <definedName name="QRekap_Kel_PNPM09_utk_KEc_Crosstab" localSheetId="22">#REF!</definedName>
    <definedName name="QRekap_Kel_PNPM09_utk_KEc_Crosstab" localSheetId="21">#REF!</definedName>
    <definedName name="QRekap_Kel_PNPM09_utk_KEc_Crosstab" localSheetId="20">#REF!</definedName>
    <definedName name="QRekap_Kel_PNPM09_utk_KEc_Crosstab" localSheetId="13">#REF!</definedName>
    <definedName name="QRekap_Kel_PNPM09_utk_KEc_Crosstab" localSheetId="12">#REF!</definedName>
    <definedName name="QRekap_Kel_PNPM09_utk_KEc_Crosstab" localSheetId="11">#REF!</definedName>
    <definedName name="QRekap_Kel_PNPM09_utk_KEc_Crosstab" localSheetId="10">#REF!</definedName>
    <definedName name="QRekap_Kel_PNPM09_utk_KEc_Crosstab" localSheetId="9">#REF!</definedName>
    <definedName name="QRekap_Kel_PNPM09_utk_KEc_Crosstab" localSheetId="8">#REF!</definedName>
    <definedName name="qReport_Aplikasi_All" localSheetId="19">#REF!</definedName>
    <definedName name="qReport_Aplikasi_All" localSheetId="18">#REF!</definedName>
    <definedName name="qReport_Aplikasi_All" localSheetId="17">#REF!</definedName>
    <definedName name="qReport_Aplikasi_All" localSheetId="16">#REF!</definedName>
    <definedName name="qReport_Aplikasi_All" localSheetId="15">#REF!</definedName>
    <definedName name="qReport_Aplikasi_All" localSheetId="14">#REF!</definedName>
    <definedName name="qReport_Aplikasi_All" localSheetId="25">#REF!</definedName>
    <definedName name="qReport_Aplikasi_All" localSheetId="24">#REF!</definedName>
    <definedName name="qReport_Aplikasi_All" localSheetId="23">#REF!</definedName>
    <definedName name="qReport_Aplikasi_All" localSheetId="22">#REF!</definedName>
    <definedName name="qReport_Aplikasi_All" localSheetId="21">#REF!</definedName>
    <definedName name="qReport_Aplikasi_All" localSheetId="20">#REF!</definedName>
    <definedName name="qReport_Aplikasi_All" localSheetId="13">#REF!</definedName>
    <definedName name="qReport_Aplikasi_All" localSheetId="12">#REF!</definedName>
    <definedName name="qReport_Aplikasi_All" localSheetId="11">#REF!</definedName>
    <definedName name="qReport_Aplikasi_All" localSheetId="10">#REF!</definedName>
    <definedName name="qReport_Aplikasi_All" localSheetId="9">#REF!</definedName>
    <definedName name="qReport_Aplikasi_All" localSheetId="8">#REF!</definedName>
    <definedName name="qReport_Aplikasi_Loan" localSheetId="19">#REF!</definedName>
    <definedName name="qReport_Aplikasi_Loan" localSheetId="18">#REF!</definedName>
    <definedName name="qReport_Aplikasi_Loan" localSheetId="17">#REF!</definedName>
    <definedName name="qReport_Aplikasi_Loan" localSheetId="16">#REF!</definedName>
    <definedName name="qReport_Aplikasi_Loan" localSheetId="15">#REF!</definedName>
    <definedName name="qReport_Aplikasi_Loan" localSheetId="14">#REF!</definedName>
    <definedName name="qReport_Aplikasi_Loan" localSheetId="25">#REF!</definedName>
    <definedName name="qReport_Aplikasi_Loan" localSheetId="24">#REF!</definedName>
    <definedName name="qReport_Aplikasi_Loan" localSheetId="23">#REF!</definedName>
    <definedName name="qReport_Aplikasi_Loan" localSheetId="22">#REF!</definedName>
    <definedName name="qReport_Aplikasi_Loan" localSheetId="21">#REF!</definedName>
    <definedName name="qReport_Aplikasi_Loan" localSheetId="20">#REF!</definedName>
    <definedName name="qReport_Aplikasi_Loan" localSheetId="13">#REF!</definedName>
    <definedName name="qReport_Aplikasi_Loan" localSheetId="12">#REF!</definedName>
    <definedName name="qReport_Aplikasi_Loan" localSheetId="11">#REF!</definedName>
    <definedName name="qReport_Aplikasi_Loan" localSheetId="10">#REF!</definedName>
    <definedName name="qReport_Aplikasi_Loan" localSheetId="9">#REF!</definedName>
    <definedName name="qReport_Aplikasi_Loan" localSheetId="8">#REF!</definedName>
    <definedName name="qwqw" localSheetId="19">#REF!</definedName>
    <definedName name="qwqw" localSheetId="18">#REF!</definedName>
    <definedName name="qwqw" localSheetId="17">#REF!</definedName>
    <definedName name="qwqw" localSheetId="16">#REF!</definedName>
    <definedName name="qwqw" localSheetId="15">#REF!</definedName>
    <definedName name="qwqw" localSheetId="14">#REF!</definedName>
    <definedName name="qwqw" localSheetId="25">#REF!</definedName>
    <definedName name="qwqw" localSheetId="24">#REF!</definedName>
    <definedName name="qwqw" localSheetId="23">#REF!</definedName>
    <definedName name="qwqw" localSheetId="22">#REF!</definedName>
    <definedName name="qwqw" localSheetId="21">#REF!</definedName>
    <definedName name="qwqw" localSheetId="20">#REF!</definedName>
    <definedName name="qwqw" localSheetId="13">#REF!</definedName>
    <definedName name="qwqw" localSheetId="12">#REF!</definedName>
    <definedName name="qwqw" localSheetId="11">#REF!</definedName>
    <definedName name="qwqw" localSheetId="10">#REF!</definedName>
    <definedName name="qwqw" localSheetId="9">#REF!</definedName>
    <definedName name="qwqw" localSheetId="8">#REF!</definedName>
    <definedName name="Report_AplikasiD_Loan" localSheetId="19">#REF!</definedName>
    <definedName name="Report_AplikasiD_Loan" localSheetId="18">#REF!</definedName>
    <definedName name="Report_AplikasiD_Loan" localSheetId="17">#REF!</definedName>
    <definedName name="Report_AplikasiD_Loan" localSheetId="16">#REF!</definedName>
    <definedName name="Report_AplikasiD_Loan" localSheetId="15">#REF!</definedName>
    <definedName name="Report_AplikasiD_Loan" localSheetId="14">#REF!</definedName>
    <definedName name="Report_AplikasiD_Loan" localSheetId="25">#REF!</definedName>
    <definedName name="Report_AplikasiD_Loan" localSheetId="24">#REF!</definedName>
    <definedName name="Report_AplikasiD_Loan" localSheetId="23">#REF!</definedName>
    <definedName name="Report_AplikasiD_Loan" localSheetId="22">#REF!</definedName>
    <definedName name="Report_AplikasiD_Loan" localSheetId="21">#REF!</definedName>
    <definedName name="Report_AplikasiD_Loan" localSheetId="20">#REF!</definedName>
    <definedName name="Report_AplikasiD_Loan" localSheetId="13">#REF!</definedName>
    <definedName name="Report_AplikasiD_Loan" localSheetId="12">#REF!</definedName>
    <definedName name="Report_AplikasiD_Loan" localSheetId="11">#REF!</definedName>
    <definedName name="Report_AplikasiD_Loan" localSheetId="10">#REF!</definedName>
    <definedName name="Report_AplikasiD_Loan" localSheetId="9">#REF!</definedName>
    <definedName name="Report_AplikasiD_Loan" localSheetId="8">#REF!</definedName>
    <definedName name="rol.cat" localSheetId="19">#REF!</definedName>
    <definedName name="rol.cat" localSheetId="18">#REF!</definedName>
    <definedName name="rol.cat" localSheetId="17">#REF!</definedName>
    <definedName name="rol.cat" localSheetId="16">#REF!</definedName>
    <definedName name="rol.cat" localSheetId="15">#REF!</definedName>
    <definedName name="rol.cat" localSheetId="14">#REF!</definedName>
    <definedName name="rol.cat" localSheetId="25">#REF!</definedName>
    <definedName name="rol.cat" localSheetId="24">#REF!</definedName>
    <definedName name="rol.cat" localSheetId="23">#REF!</definedName>
    <definedName name="rol.cat" localSheetId="22">#REF!</definedName>
    <definedName name="rol.cat" localSheetId="21">#REF!</definedName>
    <definedName name="rol.cat" localSheetId="20">#REF!</definedName>
    <definedName name="rol.cat" localSheetId="13">#REF!</definedName>
    <definedName name="rol.cat" localSheetId="12">#REF!</definedName>
    <definedName name="rol.cat" localSheetId="11">#REF!</definedName>
    <definedName name="rol.cat" localSheetId="10">#REF!</definedName>
    <definedName name="rol.cat" localSheetId="9">#REF!</definedName>
    <definedName name="rol.cat" localSheetId="8">#REF!</definedName>
    <definedName name="Royal" localSheetId="19">#REF!</definedName>
    <definedName name="Royal" localSheetId="18">#REF!</definedName>
    <definedName name="Royal" localSheetId="17">#REF!</definedName>
    <definedName name="Royal" localSheetId="16">#REF!</definedName>
    <definedName name="Royal" localSheetId="15">#REF!</definedName>
    <definedName name="Royal" localSheetId="14">#REF!</definedName>
    <definedName name="Royal" localSheetId="25">#REF!</definedName>
    <definedName name="Royal" localSheetId="24">#REF!</definedName>
    <definedName name="Royal" localSheetId="23">#REF!</definedName>
    <definedName name="Royal" localSheetId="22">#REF!</definedName>
    <definedName name="Royal" localSheetId="21">#REF!</definedName>
    <definedName name="Royal" localSheetId="20">#REF!</definedName>
    <definedName name="Royal" localSheetId="13">#REF!</definedName>
    <definedName name="Royal" localSheetId="12">#REF!</definedName>
    <definedName name="Royal" localSheetId="11">#REF!</definedName>
    <definedName name="Royal" localSheetId="10">#REF!</definedName>
    <definedName name="Royal" localSheetId="9">#REF!</definedName>
    <definedName name="Royal" localSheetId="8">#REF!</definedName>
    <definedName name="rpmikat" localSheetId="19">#REF!</definedName>
    <definedName name="rpmikat" localSheetId="18">#REF!</definedName>
    <definedName name="rpmikat" localSheetId="17">#REF!</definedName>
    <definedName name="rpmikat" localSheetId="16">#REF!</definedName>
    <definedName name="rpmikat" localSheetId="15">#REF!</definedName>
    <definedName name="rpmikat" localSheetId="14">#REF!</definedName>
    <definedName name="rpmikat" localSheetId="25">#REF!</definedName>
    <definedName name="rpmikat" localSheetId="24">#REF!</definedName>
    <definedName name="rpmikat" localSheetId="23">#REF!</definedName>
    <definedName name="rpmikat" localSheetId="22">#REF!</definedName>
    <definedName name="rpmikat" localSheetId="21">#REF!</definedName>
    <definedName name="rpmikat" localSheetId="20">#REF!</definedName>
    <definedName name="rpmikat" localSheetId="13">#REF!</definedName>
    <definedName name="rpmikat" localSheetId="12">#REF!</definedName>
    <definedName name="rpmikat" localSheetId="11">#REF!</definedName>
    <definedName name="rpmikat" localSheetId="10">#REF!</definedName>
    <definedName name="rpmikat" localSheetId="9">#REF!</definedName>
    <definedName name="rpmikat" localSheetId="8">#REF!</definedName>
    <definedName name="rpmtm" localSheetId="19">#REF!</definedName>
    <definedName name="rpmtm" localSheetId="18">#REF!</definedName>
    <definedName name="rpmtm" localSheetId="17">#REF!</definedName>
    <definedName name="rpmtm" localSheetId="16">#REF!</definedName>
    <definedName name="rpmtm" localSheetId="15">#REF!</definedName>
    <definedName name="rpmtm" localSheetId="14">#REF!</definedName>
    <definedName name="rpmtm" localSheetId="25">#REF!</definedName>
    <definedName name="rpmtm" localSheetId="24">#REF!</definedName>
    <definedName name="rpmtm" localSheetId="23">#REF!</definedName>
    <definedName name="rpmtm" localSheetId="22">#REF!</definedName>
    <definedName name="rpmtm" localSheetId="21">#REF!</definedName>
    <definedName name="rpmtm" localSheetId="20">#REF!</definedName>
    <definedName name="rpmtm" localSheetId="13">#REF!</definedName>
    <definedName name="rpmtm" localSheetId="12">#REF!</definedName>
    <definedName name="rpmtm" localSheetId="11">#REF!</definedName>
    <definedName name="rpmtm" localSheetId="10">#REF!</definedName>
    <definedName name="rpmtm" localSheetId="9">#REF!</definedName>
    <definedName name="rpmtm" localSheetId="8">#REF!</definedName>
    <definedName name="rumput" localSheetId="19">#REF!</definedName>
    <definedName name="rumput" localSheetId="18">#REF!</definedName>
    <definedName name="rumput" localSheetId="17">#REF!</definedName>
    <definedName name="rumput" localSheetId="16">#REF!</definedName>
    <definedName name="rumput" localSheetId="15">#REF!</definedName>
    <definedName name="rumput" localSheetId="14">#REF!</definedName>
    <definedName name="rumput" localSheetId="25">#REF!</definedName>
    <definedName name="rumput" localSheetId="24">#REF!</definedName>
    <definedName name="rumput" localSheetId="23">#REF!</definedName>
    <definedName name="rumput" localSheetId="22">#REF!</definedName>
    <definedName name="rumput" localSheetId="21">#REF!</definedName>
    <definedName name="rumput" localSheetId="20">#REF!</definedName>
    <definedName name="rumput" localSheetId="13">#REF!</definedName>
    <definedName name="rumput" localSheetId="12">#REF!</definedName>
    <definedName name="rumput" localSheetId="11">#REF!</definedName>
    <definedName name="rumput" localSheetId="10">#REF!</definedName>
    <definedName name="rumput" localSheetId="9">#REF!</definedName>
    <definedName name="rumput" localSheetId="8">#REF!</definedName>
    <definedName name="sa" localSheetId="19">[3]REKAP!#REF!</definedName>
    <definedName name="sa" localSheetId="18">[3]REKAP!#REF!</definedName>
    <definedName name="sa" localSheetId="17">[3]REKAP!#REF!</definedName>
    <definedName name="sa" localSheetId="16">[3]REKAP!#REF!</definedName>
    <definedName name="sa" localSheetId="15">[3]REKAP!#REF!</definedName>
    <definedName name="sa" localSheetId="14">[3]REKAP!#REF!</definedName>
    <definedName name="sa" localSheetId="25">[3]REKAP!#REF!</definedName>
    <definedName name="sa" localSheetId="24">[3]REKAP!#REF!</definedName>
    <definedName name="sa" localSheetId="23">[3]REKAP!#REF!</definedName>
    <definedName name="sa" localSheetId="22">[3]REKAP!#REF!</definedName>
    <definedName name="sa" localSheetId="21">[3]REKAP!#REF!</definedName>
    <definedName name="sa" localSheetId="20">[3]REKAP!#REF!</definedName>
    <definedName name="sa" localSheetId="13">[4]REKAP!#REF!</definedName>
    <definedName name="sa" localSheetId="12">[4]REKAP!#REF!</definedName>
    <definedName name="sa" localSheetId="11">[4]REKAP!#REF!</definedName>
    <definedName name="sa" localSheetId="10">[4]REKAP!#REF!</definedName>
    <definedName name="sa" localSheetId="9">[4]REKAP!#REF!</definedName>
    <definedName name="sa" localSheetId="8">[4]REKAP!#REF!</definedName>
    <definedName name="se" localSheetId="19">[1]Rekap!#REF!</definedName>
    <definedName name="se" localSheetId="18">[1]Rekap!#REF!</definedName>
    <definedName name="se" localSheetId="17">[1]Rekap!#REF!</definedName>
    <definedName name="se" localSheetId="16">[1]Rekap!#REF!</definedName>
    <definedName name="se" localSheetId="15">[1]Rekap!#REF!</definedName>
    <definedName name="se" localSheetId="14">[1]Rekap!#REF!</definedName>
    <definedName name="se" localSheetId="25">[1]Rekap!#REF!</definedName>
    <definedName name="se" localSheetId="24">[1]Rekap!#REF!</definedName>
    <definedName name="se" localSheetId="23">[1]Rekap!#REF!</definedName>
    <definedName name="se" localSheetId="22">[1]Rekap!#REF!</definedName>
    <definedName name="se" localSheetId="21">[1]Rekap!#REF!</definedName>
    <definedName name="se" localSheetId="20">[1]Rekap!#REF!</definedName>
    <definedName name="se" localSheetId="13">[2]Rekap!#REF!</definedName>
    <definedName name="se" localSheetId="12">[2]Rekap!#REF!</definedName>
    <definedName name="se" localSheetId="11">[2]Rekap!#REF!</definedName>
    <definedName name="se" localSheetId="10">[2]Rekap!#REF!</definedName>
    <definedName name="se" localSheetId="9">[2]Rekap!#REF!</definedName>
    <definedName name="se" localSheetId="8">[2]Rekap!#REF!</definedName>
    <definedName name="semen.warna.hls" localSheetId="19">#REF!</definedName>
    <definedName name="semen.warna.hls" localSheetId="18">#REF!</definedName>
    <definedName name="semen.warna.hls" localSheetId="17">#REF!</definedName>
    <definedName name="semen.warna.hls" localSheetId="16">#REF!</definedName>
    <definedName name="semen.warna.hls" localSheetId="15">#REF!</definedName>
    <definedName name="semen.warna.hls" localSheetId="14">#REF!</definedName>
    <definedName name="semen.warna.hls" localSheetId="25">#REF!</definedName>
    <definedName name="semen.warna.hls" localSheetId="24">#REF!</definedName>
    <definedName name="semen.warna.hls" localSheetId="23">#REF!</definedName>
    <definedName name="semen.warna.hls" localSheetId="22">#REF!</definedName>
    <definedName name="semen.warna.hls" localSheetId="21">#REF!</definedName>
    <definedName name="semen.warna.hls" localSheetId="20">#REF!</definedName>
    <definedName name="semen.warna.hls" localSheetId="13">#REF!</definedName>
    <definedName name="semen.warna.hls" localSheetId="12">#REF!</definedName>
    <definedName name="semen.warna.hls" localSheetId="11">#REF!</definedName>
    <definedName name="semen.warna.hls" localSheetId="10">#REF!</definedName>
    <definedName name="semen.warna.hls" localSheetId="9">#REF!</definedName>
    <definedName name="semen.warna.hls" localSheetId="8">#REF!</definedName>
    <definedName name="Seng.Glb.20" localSheetId="19">#REF!</definedName>
    <definedName name="Seng.Glb.20" localSheetId="18">#REF!</definedName>
    <definedName name="Seng.Glb.20" localSheetId="17">#REF!</definedName>
    <definedName name="Seng.Glb.20" localSheetId="16">#REF!</definedName>
    <definedName name="Seng.Glb.20" localSheetId="15">#REF!</definedName>
    <definedName name="Seng.Glb.20" localSheetId="14">#REF!</definedName>
    <definedName name="Seng.Glb.20" localSheetId="25">#REF!</definedName>
    <definedName name="Seng.Glb.20" localSheetId="24">#REF!</definedName>
    <definedName name="Seng.Glb.20" localSheetId="23">#REF!</definedName>
    <definedName name="Seng.Glb.20" localSheetId="22">#REF!</definedName>
    <definedName name="Seng.Glb.20" localSheetId="21">#REF!</definedName>
    <definedName name="Seng.Glb.20" localSheetId="20">#REF!</definedName>
    <definedName name="Seng.Glb.20" localSheetId="13">#REF!</definedName>
    <definedName name="Seng.Glb.20" localSheetId="12">#REF!</definedName>
    <definedName name="Seng.Glb.20" localSheetId="11">#REF!</definedName>
    <definedName name="Seng.Glb.20" localSheetId="10">#REF!</definedName>
    <definedName name="Seng.Glb.20" localSheetId="9">#REF!</definedName>
    <definedName name="Seng.Glb.20" localSheetId="8">#REF!</definedName>
    <definedName name="Seng.Glb.30" localSheetId="19">#REF!</definedName>
    <definedName name="Seng.Glb.30" localSheetId="18">#REF!</definedName>
    <definedName name="Seng.Glb.30" localSheetId="17">#REF!</definedName>
    <definedName name="Seng.Glb.30" localSheetId="16">#REF!</definedName>
    <definedName name="Seng.Glb.30" localSheetId="15">#REF!</definedName>
    <definedName name="Seng.Glb.30" localSheetId="14">#REF!</definedName>
    <definedName name="Seng.Glb.30" localSheetId="25">#REF!</definedName>
    <definedName name="Seng.Glb.30" localSheetId="24">#REF!</definedName>
    <definedName name="Seng.Glb.30" localSheetId="23">#REF!</definedName>
    <definedName name="Seng.Glb.30" localSheetId="22">#REF!</definedName>
    <definedName name="Seng.Glb.30" localSheetId="21">#REF!</definedName>
    <definedName name="Seng.Glb.30" localSheetId="20">#REF!</definedName>
    <definedName name="Seng.Glb.30" localSheetId="13">#REF!</definedName>
    <definedName name="Seng.Glb.30" localSheetId="12">#REF!</definedName>
    <definedName name="Seng.Glb.30" localSheetId="11">#REF!</definedName>
    <definedName name="Seng.Glb.30" localSheetId="10">#REF!</definedName>
    <definedName name="Seng.Glb.30" localSheetId="9">#REF!</definedName>
    <definedName name="Seng.Glb.30" localSheetId="8">#REF!</definedName>
    <definedName name="Seng.plat.20" localSheetId="19">#REF!</definedName>
    <definedName name="Seng.plat.20" localSheetId="18">#REF!</definedName>
    <definedName name="Seng.plat.20" localSheetId="17">#REF!</definedName>
    <definedName name="Seng.plat.20" localSheetId="16">#REF!</definedName>
    <definedName name="Seng.plat.20" localSheetId="15">#REF!</definedName>
    <definedName name="Seng.plat.20" localSheetId="14">#REF!</definedName>
    <definedName name="Seng.plat.20" localSheetId="25">#REF!</definedName>
    <definedName name="Seng.plat.20" localSheetId="24">#REF!</definedName>
    <definedName name="Seng.plat.20" localSheetId="23">#REF!</definedName>
    <definedName name="Seng.plat.20" localSheetId="22">#REF!</definedName>
    <definedName name="Seng.plat.20" localSheetId="21">#REF!</definedName>
    <definedName name="Seng.plat.20" localSheetId="20">#REF!</definedName>
    <definedName name="Seng.plat.20" localSheetId="13">#REF!</definedName>
    <definedName name="Seng.plat.20" localSheetId="12">#REF!</definedName>
    <definedName name="Seng.plat.20" localSheetId="11">#REF!</definedName>
    <definedName name="Seng.plat.20" localSheetId="10">#REF!</definedName>
    <definedName name="Seng.plat.20" localSheetId="9">#REF!</definedName>
    <definedName name="Seng.plat.20" localSheetId="8">#REF!</definedName>
    <definedName name="Seng.plat.30" localSheetId="19">#REF!</definedName>
    <definedName name="Seng.plat.30" localSheetId="18">#REF!</definedName>
    <definedName name="Seng.plat.30" localSheetId="17">#REF!</definedName>
    <definedName name="Seng.plat.30" localSheetId="16">#REF!</definedName>
    <definedName name="Seng.plat.30" localSheetId="15">#REF!</definedName>
    <definedName name="Seng.plat.30" localSheetId="14">#REF!</definedName>
    <definedName name="Seng.plat.30" localSheetId="25">#REF!</definedName>
    <definedName name="Seng.plat.30" localSheetId="24">#REF!</definedName>
    <definedName name="Seng.plat.30" localSheetId="23">#REF!</definedName>
    <definedName name="Seng.plat.30" localSheetId="22">#REF!</definedName>
    <definedName name="Seng.plat.30" localSheetId="21">#REF!</definedName>
    <definedName name="Seng.plat.30" localSheetId="20">#REF!</definedName>
    <definedName name="Seng.plat.30" localSheetId="13">#REF!</definedName>
    <definedName name="Seng.plat.30" localSheetId="12">#REF!</definedName>
    <definedName name="Seng.plat.30" localSheetId="11">#REF!</definedName>
    <definedName name="Seng.plat.30" localSheetId="10">#REF!</definedName>
    <definedName name="Seng.plat.30" localSheetId="9">#REF!</definedName>
    <definedName name="Seng.plat.30" localSheetId="8">#REF!</definedName>
    <definedName name="sirtu" localSheetId="19">#REF!</definedName>
    <definedName name="sirtu" localSheetId="18">#REF!</definedName>
    <definedName name="sirtu" localSheetId="17">#REF!</definedName>
    <definedName name="sirtu" localSheetId="16">#REF!</definedName>
    <definedName name="sirtu" localSheetId="15">#REF!</definedName>
    <definedName name="sirtu" localSheetId="14">#REF!</definedName>
    <definedName name="sirtu" localSheetId="25">#REF!</definedName>
    <definedName name="sirtu" localSheetId="24">#REF!</definedName>
    <definedName name="sirtu" localSheetId="23">#REF!</definedName>
    <definedName name="sirtu" localSheetId="22">#REF!</definedName>
    <definedName name="sirtu" localSheetId="21">#REF!</definedName>
    <definedName name="sirtu" localSheetId="20">#REF!</definedName>
    <definedName name="sirtu" localSheetId="13">#REF!</definedName>
    <definedName name="sirtu" localSheetId="12">#REF!</definedName>
    <definedName name="sirtu" localSheetId="11">#REF!</definedName>
    <definedName name="sirtu" localSheetId="10">#REF!</definedName>
    <definedName name="sirtu" localSheetId="9">#REF!</definedName>
    <definedName name="sirtu" localSheetId="8">#REF!</definedName>
    <definedName name="sl.80" localSheetId="19">#REF!</definedName>
    <definedName name="sl.80" localSheetId="18">#REF!</definedName>
    <definedName name="sl.80" localSheetId="17">#REF!</definedName>
    <definedName name="sl.80" localSheetId="16">#REF!</definedName>
    <definedName name="sl.80" localSheetId="15">#REF!</definedName>
    <definedName name="sl.80" localSheetId="14">#REF!</definedName>
    <definedName name="sl.80" localSheetId="25">#REF!</definedName>
    <definedName name="sl.80" localSheetId="24">#REF!</definedName>
    <definedName name="sl.80" localSheetId="23">#REF!</definedName>
    <definedName name="sl.80" localSheetId="22">#REF!</definedName>
    <definedName name="sl.80" localSheetId="21">#REF!</definedName>
    <definedName name="sl.80" localSheetId="20">#REF!</definedName>
    <definedName name="sl.80" localSheetId="13">#REF!</definedName>
    <definedName name="sl.80" localSheetId="12">#REF!</definedName>
    <definedName name="sl.80" localSheetId="11">#REF!</definedName>
    <definedName name="sl.80" localSheetId="10">#REF!</definedName>
    <definedName name="sl.80" localSheetId="9">#REF!</definedName>
    <definedName name="sl.80" localSheetId="8">#REF!</definedName>
    <definedName name="solar" localSheetId="19">#REF!</definedName>
    <definedName name="solar" localSheetId="18">#REF!</definedName>
    <definedName name="solar" localSheetId="17">#REF!</definedName>
    <definedName name="solar" localSheetId="16">#REF!</definedName>
    <definedName name="solar" localSheetId="15">#REF!</definedName>
    <definedName name="solar" localSheetId="14">#REF!</definedName>
    <definedName name="solar" localSheetId="25">#REF!</definedName>
    <definedName name="solar" localSheetId="24">#REF!</definedName>
    <definedName name="solar" localSheetId="23">#REF!</definedName>
    <definedName name="solar" localSheetId="22">#REF!</definedName>
    <definedName name="solar" localSheetId="21">#REF!</definedName>
    <definedName name="solar" localSheetId="20">#REF!</definedName>
    <definedName name="solar" localSheetId="13">#REF!</definedName>
    <definedName name="solar" localSheetId="12">#REF!</definedName>
    <definedName name="solar" localSheetId="11">#REF!</definedName>
    <definedName name="solar" localSheetId="10">#REF!</definedName>
    <definedName name="solar" localSheetId="9">#REF!</definedName>
    <definedName name="solar" localSheetId="8">#REF!</definedName>
    <definedName name="Sopir" localSheetId="19">#REF!</definedName>
    <definedName name="Sopir" localSheetId="18">#REF!</definedName>
    <definedName name="Sopir" localSheetId="17">#REF!</definedName>
    <definedName name="Sopir" localSheetId="16">#REF!</definedName>
    <definedName name="Sopir" localSheetId="15">#REF!</definedName>
    <definedName name="Sopir" localSheetId="14">#REF!</definedName>
    <definedName name="Sopir" localSheetId="25">#REF!</definedName>
    <definedName name="Sopir" localSheetId="24">#REF!</definedName>
    <definedName name="Sopir" localSheetId="23">#REF!</definedName>
    <definedName name="Sopir" localSheetId="22">#REF!</definedName>
    <definedName name="Sopir" localSheetId="21">#REF!</definedName>
    <definedName name="Sopir" localSheetId="20">#REF!</definedName>
    <definedName name="Sopir" localSheetId="13">#REF!</definedName>
    <definedName name="Sopir" localSheetId="12">#REF!</definedName>
    <definedName name="Sopir" localSheetId="11">#REF!</definedName>
    <definedName name="Sopir" localSheetId="10">#REF!</definedName>
    <definedName name="Sopir" localSheetId="9">#REF!</definedName>
    <definedName name="Sopir" localSheetId="8">#REF!</definedName>
    <definedName name="Sp" localSheetId="19">#REF!</definedName>
    <definedName name="Sp" localSheetId="18">#REF!</definedName>
    <definedName name="Sp" localSheetId="17">#REF!</definedName>
    <definedName name="Sp" localSheetId="16">#REF!</definedName>
    <definedName name="Sp" localSheetId="15">#REF!</definedName>
    <definedName name="Sp" localSheetId="14">#REF!</definedName>
    <definedName name="Sp" localSheetId="25">#REF!</definedName>
    <definedName name="Sp" localSheetId="24">#REF!</definedName>
    <definedName name="Sp" localSheetId="23">#REF!</definedName>
    <definedName name="Sp" localSheetId="22">#REF!</definedName>
    <definedName name="Sp" localSheetId="21">#REF!</definedName>
    <definedName name="Sp" localSheetId="20">#REF!</definedName>
    <definedName name="Sp" localSheetId="13">#REF!</definedName>
    <definedName name="Sp" localSheetId="12">#REF!</definedName>
    <definedName name="Sp" localSheetId="11">#REF!</definedName>
    <definedName name="Sp" localSheetId="10">#REF!</definedName>
    <definedName name="Sp" localSheetId="9">#REF!</definedName>
    <definedName name="Sp" localSheetId="8">#REF!</definedName>
    <definedName name="SP.1" localSheetId="19">#REF!</definedName>
    <definedName name="SP.1" localSheetId="18">#REF!</definedName>
    <definedName name="SP.1" localSheetId="17">#REF!</definedName>
    <definedName name="SP.1" localSheetId="16">#REF!</definedName>
    <definedName name="SP.1" localSheetId="15">#REF!</definedName>
    <definedName name="SP.1" localSheetId="14">#REF!</definedName>
    <definedName name="SP.1" localSheetId="25">#REF!</definedName>
    <definedName name="SP.1" localSheetId="24">#REF!</definedName>
    <definedName name="SP.1" localSheetId="23">#REF!</definedName>
    <definedName name="SP.1" localSheetId="22">#REF!</definedName>
    <definedName name="SP.1" localSheetId="21">#REF!</definedName>
    <definedName name="SP.1" localSheetId="20">#REF!</definedName>
    <definedName name="SP.1" localSheetId="13">#REF!</definedName>
    <definedName name="SP.1" localSheetId="12">#REF!</definedName>
    <definedName name="SP.1" localSheetId="11">#REF!</definedName>
    <definedName name="SP.1" localSheetId="10">#REF!</definedName>
    <definedName name="SP.1" localSheetId="9">#REF!</definedName>
    <definedName name="SP.1" localSheetId="8">#REF!</definedName>
    <definedName name="sp.6.a" localSheetId="19">#REF!</definedName>
    <definedName name="sp.6.a" localSheetId="18">#REF!</definedName>
    <definedName name="sp.6.a" localSheetId="17">#REF!</definedName>
    <definedName name="sp.6.a" localSheetId="16">#REF!</definedName>
    <definedName name="sp.6.a" localSheetId="15">#REF!</definedName>
    <definedName name="sp.6.a" localSheetId="14">#REF!</definedName>
    <definedName name="sp.6.a" localSheetId="25">#REF!</definedName>
    <definedName name="sp.6.a" localSheetId="24">#REF!</definedName>
    <definedName name="sp.6.a" localSheetId="23">#REF!</definedName>
    <definedName name="sp.6.a" localSheetId="22">#REF!</definedName>
    <definedName name="sp.6.a" localSheetId="21">#REF!</definedName>
    <definedName name="sp.6.a" localSheetId="20">#REF!</definedName>
    <definedName name="sp.6.a" localSheetId="13">#REF!</definedName>
    <definedName name="sp.6.a" localSheetId="12">#REF!</definedName>
    <definedName name="sp.6.a" localSheetId="11">#REF!</definedName>
    <definedName name="sp.6.a" localSheetId="10">#REF!</definedName>
    <definedName name="sp.6.a" localSheetId="9">#REF!</definedName>
    <definedName name="sp.6.a" localSheetId="8">#REF!</definedName>
    <definedName name="sp.6.b" localSheetId="19">#REF!</definedName>
    <definedName name="sp.6.b" localSheetId="18">#REF!</definedName>
    <definedName name="sp.6.b" localSheetId="17">#REF!</definedName>
    <definedName name="sp.6.b" localSheetId="16">#REF!</definedName>
    <definedName name="sp.6.b" localSheetId="15">#REF!</definedName>
    <definedName name="sp.6.b" localSheetId="14">#REF!</definedName>
    <definedName name="sp.6.b" localSheetId="25">#REF!</definedName>
    <definedName name="sp.6.b" localSheetId="24">#REF!</definedName>
    <definedName name="sp.6.b" localSheetId="23">#REF!</definedName>
    <definedName name="sp.6.b" localSheetId="22">#REF!</definedName>
    <definedName name="sp.6.b" localSheetId="21">#REF!</definedName>
    <definedName name="sp.6.b" localSheetId="20">#REF!</definedName>
    <definedName name="sp.6.b" localSheetId="13">#REF!</definedName>
    <definedName name="sp.6.b" localSheetId="12">#REF!</definedName>
    <definedName name="sp.6.b" localSheetId="11">#REF!</definedName>
    <definedName name="sp.6.b" localSheetId="10">#REF!</definedName>
    <definedName name="sp.6.b" localSheetId="9">#REF!</definedName>
    <definedName name="sp.6.b" localSheetId="8">#REF!</definedName>
    <definedName name="sp.6.c" localSheetId="19">#REF!</definedName>
    <definedName name="sp.6.c" localSheetId="18">#REF!</definedName>
    <definedName name="sp.6.c" localSheetId="17">#REF!</definedName>
    <definedName name="sp.6.c" localSheetId="16">#REF!</definedName>
    <definedName name="sp.6.c" localSheetId="15">#REF!</definedName>
    <definedName name="sp.6.c" localSheetId="14">#REF!</definedName>
    <definedName name="sp.6.c" localSheetId="25">#REF!</definedName>
    <definedName name="sp.6.c" localSheetId="24">#REF!</definedName>
    <definedName name="sp.6.c" localSheetId="23">#REF!</definedName>
    <definedName name="sp.6.c" localSheetId="22">#REF!</definedName>
    <definedName name="sp.6.c" localSheetId="21">#REF!</definedName>
    <definedName name="sp.6.c" localSheetId="20">#REF!</definedName>
    <definedName name="sp.6.c" localSheetId="13">#REF!</definedName>
    <definedName name="sp.6.c" localSheetId="12">#REF!</definedName>
    <definedName name="sp.6.c" localSheetId="11">#REF!</definedName>
    <definedName name="sp.6.c" localSheetId="10">#REF!</definedName>
    <definedName name="sp.6.c" localSheetId="9">#REF!</definedName>
    <definedName name="sp.6.c" localSheetId="8">#REF!</definedName>
    <definedName name="sp.7" localSheetId="19">#REF!</definedName>
    <definedName name="sp.7" localSheetId="18">#REF!</definedName>
    <definedName name="sp.7" localSheetId="17">#REF!</definedName>
    <definedName name="sp.7" localSheetId="16">#REF!</definedName>
    <definedName name="sp.7" localSheetId="15">#REF!</definedName>
    <definedName name="sp.7" localSheetId="14">#REF!</definedName>
    <definedName name="sp.7" localSheetId="25">#REF!</definedName>
    <definedName name="sp.7" localSheetId="24">#REF!</definedName>
    <definedName name="sp.7" localSheetId="23">#REF!</definedName>
    <definedName name="sp.7" localSheetId="22">#REF!</definedName>
    <definedName name="sp.7" localSheetId="21">#REF!</definedName>
    <definedName name="sp.7" localSheetId="20">#REF!</definedName>
    <definedName name="sp.7" localSheetId="13">#REF!</definedName>
    <definedName name="sp.7" localSheetId="12">#REF!</definedName>
    <definedName name="sp.7" localSheetId="11">#REF!</definedName>
    <definedName name="sp.7" localSheetId="10">#REF!</definedName>
    <definedName name="sp.7" localSheetId="9">#REF!</definedName>
    <definedName name="sp.7" localSheetId="8">#REF!</definedName>
    <definedName name="sp.9" localSheetId="19">#REF!</definedName>
    <definedName name="sp.9" localSheetId="18">#REF!</definedName>
    <definedName name="sp.9" localSheetId="17">#REF!</definedName>
    <definedName name="sp.9" localSheetId="16">#REF!</definedName>
    <definedName name="sp.9" localSheetId="15">#REF!</definedName>
    <definedName name="sp.9" localSheetId="14">#REF!</definedName>
    <definedName name="sp.9" localSheetId="25">#REF!</definedName>
    <definedName name="sp.9" localSheetId="24">#REF!</definedName>
    <definedName name="sp.9" localSheetId="23">#REF!</definedName>
    <definedName name="sp.9" localSheetId="22">#REF!</definedName>
    <definedName name="sp.9" localSheetId="21">#REF!</definedName>
    <definedName name="sp.9" localSheetId="20">#REF!</definedName>
    <definedName name="sp.9" localSheetId="13">#REF!</definedName>
    <definedName name="sp.9" localSheetId="12">#REF!</definedName>
    <definedName name="sp.9" localSheetId="11">#REF!</definedName>
    <definedName name="sp.9" localSheetId="10">#REF!</definedName>
    <definedName name="sp.9" localSheetId="9">#REF!</definedName>
    <definedName name="sp.9" localSheetId="8">#REF!</definedName>
    <definedName name="sp.9.a" localSheetId="19">#REF!</definedName>
    <definedName name="sp.9.a" localSheetId="18">#REF!</definedName>
    <definedName name="sp.9.a" localSheetId="17">#REF!</definedName>
    <definedName name="sp.9.a" localSheetId="16">#REF!</definedName>
    <definedName name="sp.9.a" localSheetId="15">#REF!</definedName>
    <definedName name="sp.9.a" localSheetId="14">#REF!</definedName>
    <definedName name="sp.9.a" localSheetId="25">#REF!</definedName>
    <definedName name="sp.9.a" localSheetId="24">#REF!</definedName>
    <definedName name="sp.9.a" localSheetId="23">#REF!</definedName>
    <definedName name="sp.9.a" localSheetId="22">#REF!</definedName>
    <definedName name="sp.9.a" localSheetId="21">#REF!</definedName>
    <definedName name="sp.9.a" localSheetId="20">#REF!</definedName>
    <definedName name="sp.9.a" localSheetId="13">#REF!</definedName>
    <definedName name="sp.9.a" localSheetId="12">#REF!</definedName>
    <definedName name="sp.9.a" localSheetId="11">#REF!</definedName>
    <definedName name="sp.9.a" localSheetId="10">#REF!</definedName>
    <definedName name="sp.9.a" localSheetId="9">#REF!</definedName>
    <definedName name="sp.9.a" localSheetId="8">#REF!</definedName>
    <definedName name="Sp.9.b" localSheetId="19">#REF!</definedName>
    <definedName name="Sp.9.b" localSheetId="18">#REF!</definedName>
    <definedName name="Sp.9.b" localSheetId="17">#REF!</definedName>
    <definedName name="Sp.9.b" localSheetId="16">#REF!</definedName>
    <definedName name="Sp.9.b" localSheetId="15">#REF!</definedName>
    <definedName name="Sp.9.b" localSheetId="14">#REF!</definedName>
    <definedName name="Sp.9.b" localSheetId="25">#REF!</definedName>
    <definedName name="Sp.9.b" localSheetId="24">#REF!</definedName>
    <definedName name="Sp.9.b" localSheetId="23">#REF!</definedName>
    <definedName name="Sp.9.b" localSheetId="22">#REF!</definedName>
    <definedName name="Sp.9.b" localSheetId="21">#REF!</definedName>
    <definedName name="Sp.9.b" localSheetId="20">#REF!</definedName>
    <definedName name="Sp.9.b" localSheetId="13">#REF!</definedName>
    <definedName name="Sp.9.b" localSheetId="12">#REF!</definedName>
    <definedName name="Sp.9.b" localSheetId="11">#REF!</definedName>
    <definedName name="Sp.9.b" localSheetId="10">#REF!</definedName>
    <definedName name="Sp.9.b" localSheetId="9">#REF!</definedName>
    <definedName name="Sp.9.b" localSheetId="8">#REF!</definedName>
    <definedName name="SP.I" localSheetId="19">#REF!</definedName>
    <definedName name="SP.I" localSheetId="18">#REF!</definedName>
    <definedName name="SP.I" localSheetId="17">#REF!</definedName>
    <definedName name="SP.I" localSheetId="16">#REF!</definedName>
    <definedName name="SP.I" localSheetId="15">#REF!</definedName>
    <definedName name="SP.I" localSheetId="14">#REF!</definedName>
    <definedName name="SP.I" localSheetId="25">#REF!</definedName>
    <definedName name="SP.I" localSheetId="24">#REF!</definedName>
    <definedName name="SP.I" localSheetId="23">#REF!</definedName>
    <definedName name="SP.I" localSheetId="22">#REF!</definedName>
    <definedName name="SP.I" localSheetId="21">#REF!</definedName>
    <definedName name="SP.I" localSheetId="20">#REF!</definedName>
    <definedName name="SP.I" localSheetId="13">#REF!</definedName>
    <definedName name="SP.I" localSheetId="12">#REF!</definedName>
    <definedName name="SP.I" localSheetId="11">#REF!</definedName>
    <definedName name="SP.I" localSheetId="10">#REF!</definedName>
    <definedName name="SP.I" localSheetId="9">#REF!</definedName>
    <definedName name="SP.I" localSheetId="8">#REF!</definedName>
    <definedName name="Sp.III" localSheetId="19">#REF!</definedName>
    <definedName name="Sp.III" localSheetId="18">#REF!</definedName>
    <definedName name="Sp.III" localSheetId="17">#REF!</definedName>
    <definedName name="Sp.III" localSheetId="16">#REF!</definedName>
    <definedName name="Sp.III" localSheetId="15">#REF!</definedName>
    <definedName name="Sp.III" localSheetId="14">#REF!</definedName>
    <definedName name="Sp.III" localSheetId="25">#REF!</definedName>
    <definedName name="Sp.III" localSheetId="24">#REF!</definedName>
    <definedName name="Sp.III" localSheetId="23">#REF!</definedName>
    <definedName name="Sp.III" localSheetId="22">#REF!</definedName>
    <definedName name="Sp.III" localSheetId="21">#REF!</definedName>
    <definedName name="Sp.III" localSheetId="20">#REF!</definedName>
    <definedName name="Sp.III" localSheetId="13">#REF!</definedName>
    <definedName name="Sp.III" localSheetId="12">#REF!</definedName>
    <definedName name="Sp.III" localSheetId="11">#REF!</definedName>
    <definedName name="Sp.III" localSheetId="10">#REF!</definedName>
    <definedName name="Sp.III" localSheetId="9">#REF!</definedName>
    <definedName name="Sp.III" localSheetId="8">#REF!</definedName>
    <definedName name="sp.IV" localSheetId="19">#REF!</definedName>
    <definedName name="sp.IV" localSheetId="18">#REF!</definedName>
    <definedName name="sp.IV" localSheetId="17">#REF!</definedName>
    <definedName name="sp.IV" localSheetId="16">#REF!</definedName>
    <definedName name="sp.IV" localSheetId="15">#REF!</definedName>
    <definedName name="sp.IV" localSheetId="14">#REF!</definedName>
    <definedName name="sp.IV" localSheetId="25">#REF!</definedName>
    <definedName name="sp.IV" localSheetId="24">#REF!</definedName>
    <definedName name="sp.IV" localSheetId="23">#REF!</definedName>
    <definedName name="sp.IV" localSheetId="22">#REF!</definedName>
    <definedName name="sp.IV" localSheetId="21">#REF!</definedName>
    <definedName name="sp.IV" localSheetId="20">#REF!</definedName>
    <definedName name="sp.IV" localSheetId="13">#REF!</definedName>
    <definedName name="sp.IV" localSheetId="12">#REF!</definedName>
    <definedName name="sp.IV" localSheetId="11">#REF!</definedName>
    <definedName name="sp.IV" localSheetId="10">#REF!</definedName>
    <definedName name="sp.IV" localSheetId="9">#REF!</definedName>
    <definedName name="sp.IV" localSheetId="8">#REF!</definedName>
    <definedName name="sp.iv.a" localSheetId="19">#REF!</definedName>
    <definedName name="sp.iv.a" localSheetId="18">#REF!</definedName>
    <definedName name="sp.iv.a" localSheetId="17">#REF!</definedName>
    <definedName name="sp.iv.a" localSheetId="16">#REF!</definedName>
    <definedName name="sp.iv.a" localSheetId="15">#REF!</definedName>
    <definedName name="sp.iv.a" localSheetId="14">#REF!</definedName>
    <definedName name="sp.iv.a" localSheetId="25">#REF!</definedName>
    <definedName name="sp.iv.a" localSheetId="24">#REF!</definedName>
    <definedName name="sp.iv.a" localSheetId="23">#REF!</definedName>
    <definedName name="sp.iv.a" localSheetId="22">#REF!</definedName>
    <definedName name="sp.iv.a" localSheetId="21">#REF!</definedName>
    <definedName name="sp.iv.a" localSheetId="20">#REF!</definedName>
    <definedName name="sp.iv.a" localSheetId="13">#REF!</definedName>
    <definedName name="sp.iv.a" localSheetId="12">#REF!</definedName>
    <definedName name="sp.iv.a" localSheetId="11">#REF!</definedName>
    <definedName name="sp.iv.a" localSheetId="10">#REF!</definedName>
    <definedName name="sp.iv.a" localSheetId="9">#REF!</definedName>
    <definedName name="sp.iv.a" localSheetId="8">#REF!</definedName>
    <definedName name="sp.iv.b" localSheetId="19">#REF!</definedName>
    <definedName name="sp.iv.b" localSheetId="18">#REF!</definedName>
    <definedName name="sp.iv.b" localSheetId="17">#REF!</definedName>
    <definedName name="sp.iv.b" localSheetId="16">#REF!</definedName>
    <definedName name="sp.iv.b" localSheetId="15">#REF!</definedName>
    <definedName name="sp.iv.b" localSheetId="14">#REF!</definedName>
    <definedName name="sp.iv.b" localSheetId="25">#REF!</definedName>
    <definedName name="sp.iv.b" localSheetId="24">#REF!</definedName>
    <definedName name="sp.iv.b" localSheetId="23">#REF!</definedName>
    <definedName name="sp.iv.b" localSheetId="22">#REF!</definedName>
    <definedName name="sp.iv.b" localSheetId="21">#REF!</definedName>
    <definedName name="sp.iv.b" localSheetId="20">#REF!</definedName>
    <definedName name="sp.iv.b" localSheetId="13">#REF!</definedName>
    <definedName name="sp.iv.b" localSheetId="12">#REF!</definedName>
    <definedName name="sp.iv.b" localSheetId="11">#REF!</definedName>
    <definedName name="sp.iv.b" localSheetId="10">#REF!</definedName>
    <definedName name="sp.iv.b" localSheetId="9">#REF!</definedName>
    <definedName name="sp.iv.b" localSheetId="8">#REF!</definedName>
    <definedName name="SP.IX" localSheetId="19">#REF!</definedName>
    <definedName name="SP.IX" localSheetId="18">#REF!</definedName>
    <definedName name="SP.IX" localSheetId="17">#REF!</definedName>
    <definedName name="SP.IX" localSheetId="16">#REF!</definedName>
    <definedName name="SP.IX" localSheetId="15">#REF!</definedName>
    <definedName name="SP.IX" localSheetId="14">#REF!</definedName>
    <definedName name="SP.IX" localSheetId="25">#REF!</definedName>
    <definedName name="SP.IX" localSheetId="24">#REF!</definedName>
    <definedName name="SP.IX" localSheetId="23">#REF!</definedName>
    <definedName name="SP.IX" localSheetId="22">#REF!</definedName>
    <definedName name="SP.IX" localSheetId="21">#REF!</definedName>
    <definedName name="SP.IX" localSheetId="20">#REF!</definedName>
    <definedName name="SP.IX" localSheetId="13">#REF!</definedName>
    <definedName name="SP.IX" localSheetId="12">#REF!</definedName>
    <definedName name="SP.IX" localSheetId="11">#REF!</definedName>
    <definedName name="SP.IX" localSheetId="10">#REF!</definedName>
    <definedName name="SP.IX" localSheetId="9">#REF!</definedName>
    <definedName name="SP.IX" localSheetId="8">#REF!</definedName>
    <definedName name="sp.ix.a" localSheetId="19">#REF!</definedName>
    <definedName name="sp.ix.a" localSheetId="18">#REF!</definedName>
    <definedName name="sp.ix.a" localSheetId="17">#REF!</definedName>
    <definedName name="sp.ix.a" localSheetId="16">#REF!</definedName>
    <definedName name="sp.ix.a" localSheetId="15">#REF!</definedName>
    <definedName name="sp.ix.a" localSheetId="14">#REF!</definedName>
    <definedName name="sp.ix.a" localSheetId="25">#REF!</definedName>
    <definedName name="sp.ix.a" localSheetId="24">#REF!</definedName>
    <definedName name="sp.ix.a" localSheetId="23">#REF!</definedName>
    <definedName name="sp.ix.a" localSheetId="22">#REF!</definedName>
    <definedName name="sp.ix.a" localSheetId="21">#REF!</definedName>
    <definedName name="sp.ix.a" localSheetId="20">#REF!</definedName>
    <definedName name="sp.ix.a" localSheetId="13">#REF!</definedName>
    <definedName name="sp.ix.a" localSheetId="12">#REF!</definedName>
    <definedName name="sp.ix.a" localSheetId="11">#REF!</definedName>
    <definedName name="sp.ix.a" localSheetId="10">#REF!</definedName>
    <definedName name="sp.ix.a" localSheetId="9">#REF!</definedName>
    <definedName name="sp.ix.a" localSheetId="8">#REF!</definedName>
    <definedName name="sp.v" localSheetId="19">#REF!</definedName>
    <definedName name="sp.v" localSheetId="18">#REF!</definedName>
    <definedName name="sp.v" localSheetId="17">#REF!</definedName>
    <definedName name="sp.v" localSheetId="16">#REF!</definedName>
    <definedName name="sp.v" localSheetId="15">#REF!</definedName>
    <definedName name="sp.v" localSheetId="14">#REF!</definedName>
    <definedName name="sp.v" localSheetId="25">#REF!</definedName>
    <definedName name="sp.v" localSheetId="24">#REF!</definedName>
    <definedName name="sp.v" localSheetId="23">#REF!</definedName>
    <definedName name="sp.v" localSheetId="22">#REF!</definedName>
    <definedName name="sp.v" localSheetId="21">#REF!</definedName>
    <definedName name="sp.v" localSheetId="20">#REF!</definedName>
    <definedName name="sp.v" localSheetId="13">#REF!</definedName>
    <definedName name="sp.v" localSheetId="12">#REF!</definedName>
    <definedName name="sp.v" localSheetId="11">#REF!</definedName>
    <definedName name="sp.v" localSheetId="10">#REF!</definedName>
    <definedName name="sp.v" localSheetId="9">#REF!</definedName>
    <definedName name="sp.v" localSheetId="8">#REF!</definedName>
    <definedName name="sp.v.4" localSheetId="19">#REF!</definedName>
    <definedName name="sp.v.4" localSheetId="18">#REF!</definedName>
    <definedName name="sp.v.4" localSheetId="17">#REF!</definedName>
    <definedName name="sp.v.4" localSheetId="16">#REF!</definedName>
    <definedName name="sp.v.4" localSheetId="15">#REF!</definedName>
    <definedName name="sp.v.4" localSheetId="14">#REF!</definedName>
    <definedName name="sp.v.4" localSheetId="25">#REF!</definedName>
    <definedName name="sp.v.4" localSheetId="24">#REF!</definedName>
    <definedName name="sp.v.4" localSheetId="23">#REF!</definedName>
    <definedName name="sp.v.4" localSheetId="22">#REF!</definedName>
    <definedName name="sp.v.4" localSheetId="21">#REF!</definedName>
    <definedName name="sp.v.4" localSheetId="20">#REF!</definedName>
    <definedName name="sp.v.4" localSheetId="13">#REF!</definedName>
    <definedName name="sp.v.4" localSheetId="12">#REF!</definedName>
    <definedName name="sp.v.4" localSheetId="11">#REF!</definedName>
    <definedName name="sp.v.4" localSheetId="10">#REF!</definedName>
    <definedName name="sp.v.4" localSheetId="9">#REF!</definedName>
    <definedName name="sp.v.4" localSheetId="8">#REF!</definedName>
    <definedName name="sp.vi" localSheetId="19">#REF!</definedName>
    <definedName name="sp.vi" localSheetId="18">#REF!</definedName>
    <definedName name="sp.vi" localSheetId="17">#REF!</definedName>
    <definedName name="sp.vi" localSheetId="16">#REF!</definedName>
    <definedName name="sp.vi" localSheetId="15">#REF!</definedName>
    <definedName name="sp.vi" localSheetId="14">#REF!</definedName>
    <definedName name="sp.vi" localSheetId="25">#REF!</definedName>
    <definedName name="sp.vi" localSheetId="24">#REF!</definedName>
    <definedName name="sp.vi" localSheetId="23">#REF!</definedName>
    <definedName name="sp.vi" localSheetId="22">#REF!</definedName>
    <definedName name="sp.vi" localSheetId="21">#REF!</definedName>
    <definedName name="sp.vi" localSheetId="20">#REF!</definedName>
    <definedName name="sp.vi" localSheetId="13">#REF!</definedName>
    <definedName name="sp.vi" localSheetId="12">#REF!</definedName>
    <definedName name="sp.vi" localSheetId="11">#REF!</definedName>
    <definedName name="sp.vi" localSheetId="10">#REF!</definedName>
    <definedName name="sp.vi" localSheetId="9">#REF!</definedName>
    <definedName name="sp.vi" localSheetId="8">#REF!</definedName>
    <definedName name="sp.vi.1" localSheetId="19">#REF!</definedName>
    <definedName name="sp.vi.1" localSheetId="18">#REF!</definedName>
    <definedName name="sp.vi.1" localSheetId="17">#REF!</definedName>
    <definedName name="sp.vi.1" localSheetId="16">#REF!</definedName>
    <definedName name="sp.vi.1" localSheetId="15">#REF!</definedName>
    <definedName name="sp.vi.1" localSheetId="14">#REF!</definedName>
    <definedName name="sp.vi.1" localSheetId="25">#REF!</definedName>
    <definedName name="sp.vi.1" localSheetId="24">#REF!</definedName>
    <definedName name="sp.vi.1" localSheetId="23">#REF!</definedName>
    <definedName name="sp.vi.1" localSheetId="22">#REF!</definedName>
    <definedName name="sp.vi.1" localSheetId="21">#REF!</definedName>
    <definedName name="sp.vi.1" localSheetId="20">#REF!</definedName>
    <definedName name="sp.vi.1" localSheetId="13">#REF!</definedName>
    <definedName name="sp.vi.1" localSheetId="12">#REF!</definedName>
    <definedName name="sp.vi.1" localSheetId="11">#REF!</definedName>
    <definedName name="sp.vi.1" localSheetId="10">#REF!</definedName>
    <definedName name="sp.vi.1" localSheetId="9">#REF!</definedName>
    <definedName name="sp.vi.1" localSheetId="8">#REF!</definedName>
    <definedName name="sp.vii.a" localSheetId="19">#REF!</definedName>
    <definedName name="sp.vii.a" localSheetId="18">#REF!</definedName>
    <definedName name="sp.vii.a" localSheetId="17">#REF!</definedName>
    <definedName name="sp.vii.a" localSheetId="16">#REF!</definedName>
    <definedName name="sp.vii.a" localSheetId="15">#REF!</definedName>
    <definedName name="sp.vii.a" localSheetId="14">#REF!</definedName>
    <definedName name="sp.vii.a" localSheetId="25">#REF!</definedName>
    <definedName name="sp.vii.a" localSheetId="24">#REF!</definedName>
    <definedName name="sp.vii.a" localSheetId="23">#REF!</definedName>
    <definedName name="sp.vii.a" localSheetId="22">#REF!</definedName>
    <definedName name="sp.vii.a" localSheetId="21">#REF!</definedName>
    <definedName name="sp.vii.a" localSheetId="20">#REF!</definedName>
    <definedName name="sp.vii.a" localSheetId="13">#REF!</definedName>
    <definedName name="sp.vii.a" localSheetId="12">#REF!</definedName>
    <definedName name="sp.vii.a" localSheetId="11">#REF!</definedName>
    <definedName name="sp.vii.a" localSheetId="10">#REF!</definedName>
    <definedName name="sp.vii.a" localSheetId="9">#REF!</definedName>
    <definedName name="sp.vii.a" localSheetId="8">#REF!</definedName>
    <definedName name="sp.viii" localSheetId="19">#REF!</definedName>
    <definedName name="sp.viii" localSheetId="18">#REF!</definedName>
    <definedName name="sp.viii" localSheetId="17">#REF!</definedName>
    <definedName name="sp.viii" localSheetId="16">#REF!</definedName>
    <definedName name="sp.viii" localSheetId="15">#REF!</definedName>
    <definedName name="sp.viii" localSheetId="14">#REF!</definedName>
    <definedName name="sp.viii" localSheetId="25">#REF!</definedName>
    <definedName name="sp.viii" localSheetId="24">#REF!</definedName>
    <definedName name="sp.viii" localSheetId="23">#REF!</definedName>
    <definedName name="sp.viii" localSheetId="22">#REF!</definedName>
    <definedName name="sp.viii" localSheetId="21">#REF!</definedName>
    <definedName name="sp.viii" localSheetId="20">#REF!</definedName>
    <definedName name="sp.viii" localSheetId="13">#REF!</definedName>
    <definedName name="sp.viii" localSheetId="12">#REF!</definedName>
    <definedName name="sp.viii" localSheetId="11">#REF!</definedName>
    <definedName name="sp.viii" localSheetId="10">#REF!</definedName>
    <definedName name="sp.viii" localSheetId="9">#REF!</definedName>
    <definedName name="sp.viii" localSheetId="8">#REF!</definedName>
    <definedName name="sp.xxx" localSheetId="19">#REF!</definedName>
    <definedName name="sp.xxx" localSheetId="18">#REF!</definedName>
    <definedName name="sp.xxx" localSheetId="17">#REF!</definedName>
    <definedName name="sp.xxx" localSheetId="16">#REF!</definedName>
    <definedName name="sp.xxx" localSheetId="15">#REF!</definedName>
    <definedName name="sp.xxx" localSheetId="14">#REF!</definedName>
    <definedName name="sp.xxx" localSheetId="25">#REF!</definedName>
    <definedName name="sp.xxx" localSheetId="24">#REF!</definedName>
    <definedName name="sp.xxx" localSheetId="23">#REF!</definedName>
    <definedName name="sp.xxx" localSheetId="22">#REF!</definedName>
    <definedName name="sp.xxx" localSheetId="21">#REF!</definedName>
    <definedName name="sp.xxx" localSheetId="20">#REF!</definedName>
    <definedName name="sp.xxx" localSheetId="13">#REF!</definedName>
    <definedName name="sp.xxx" localSheetId="12">#REF!</definedName>
    <definedName name="sp.xxx" localSheetId="11">#REF!</definedName>
    <definedName name="sp.xxx" localSheetId="10">#REF!</definedName>
    <definedName name="sp.xxx" localSheetId="9">#REF!</definedName>
    <definedName name="sp.xxx" localSheetId="8">#REF!</definedName>
    <definedName name="Stamper" localSheetId="19">#REF!</definedName>
    <definedName name="Stamper" localSheetId="18">#REF!</definedName>
    <definedName name="Stamper" localSheetId="17">#REF!</definedName>
    <definedName name="Stamper" localSheetId="16">#REF!</definedName>
    <definedName name="Stamper" localSheetId="15">#REF!</definedName>
    <definedName name="Stamper" localSheetId="14">#REF!</definedName>
    <definedName name="Stamper" localSheetId="25">#REF!</definedName>
    <definedName name="Stamper" localSheetId="24">#REF!</definedName>
    <definedName name="Stamper" localSheetId="23">#REF!</definedName>
    <definedName name="Stamper" localSheetId="22">#REF!</definedName>
    <definedName name="Stamper" localSheetId="21">#REF!</definedName>
    <definedName name="Stamper" localSheetId="20">#REF!</definedName>
    <definedName name="Stamper" localSheetId="13">#REF!</definedName>
    <definedName name="Stamper" localSheetId="12">#REF!</definedName>
    <definedName name="Stamper" localSheetId="11">#REF!</definedName>
    <definedName name="Stamper" localSheetId="10">#REF!</definedName>
    <definedName name="Stamper" localSheetId="9">#REF!</definedName>
    <definedName name="Stamper" localSheetId="8">#REF!</definedName>
    <definedName name="Surveyor" localSheetId="19">#REF!</definedName>
    <definedName name="Surveyor" localSheetId="18">#REF!</definedName>
    <definedName name="Surveyor" localSheetId="17">#REF!</definedName>
    <definedName name="Surveyor" localSheetId="16">#REF!</definedName>
    <definedName name="Surveyor" localSheetId="15">#REF!</definedName>
    <definedName name="Surveyor" localSheetId="14">#REF!</definedName>
    <definedName name="Surveyor" localSheetId="25">#REF!</definedName>
    <definedName name="Surveyor" localSheetId="24">#REF!</definedName>
    <definedName name="Surveyor" localSheetId="23">#REF!</definedName>
    <definedName name="Surveyor" localSheetId="22">#REF!</definedName>
    <definedName name="Surveyor" localSheetId="21">#REF!</definedName>
    <definedName name="Surveyor" localSheetId="20">#REF!</definedName>
    <definedName name="Surveyor" localSheetId="13">#REF!</definedName>
    <definedName name="Surveyor" localSheetId="12">#REF!</definedName>
    <definedName name="Surveyor" localSheetId="11">#REF!</definedName>
    <definedName name="Surveyor" localSheetId="10">#REF!</definedName>
    <definedName name="Surveyor" localSheetId="9">#REF!</definedName>
    <definedName name="Surveyor" localSheetId="8">#REF!</definedName>
    <definedName name="tabel1" localSheetId="19">[17]SubGiatMak!#REF!</definedName>
    <definedName name="tabel1" localSheetId="18">[17]SubGiatMak!#REF!</definedName>
    <definedName name="tabel1" localSheetId="17">[17]SubGiatMak!#REF!</definedName>
    <definedName name="tabel1" localSheetId="16">[17]SubGiatMak!#REF!</definedName>
    <definedName name="tabel1" localSheetId="15">[17]SubGiatMak!#REF!</definedName>
    <definedName name="tabel1" localSheetId="14">[17]SubGiatMak!#REF!</definedName>
    <definedName name="tabel1" localSheetId="25">[17]SubGiatMak!#REF!</definedName>
    <definedName name="tabel1" localSheetId="24">[17]SubGiatMak!#REF!</definedName>
    <definedName name="tabel1" localSheetId="23">[17]SubGiatMak!#REF!</definedName>
    <definedName name="tabel1" localSheetId="22">[17]SubGiatMak!#REF!</definedName>
    <definedName name="tabel1" localSheetId="21">[17]SubGiatMak!#REF!</definedName>
    <definedName name="tabel1" localSheetId="20">[17]SubGiatMak!#REF!</definedName>
    <definedName name="tabel1" localSheetId="13">[18]SubGiatMak!#REF!</definedName>
    <definedName name="tabel1" localSheetId="12">[18]SubGiatMak!#REF!</definedName>
    <definedName name="tabel1" localSheetId="11">[18]SubGiatMak!#REF!</definedName>
    <definedName name="tabel1" localSheetId="10">[18]SubGiatMak!#REF!</definedName>
    <definedName name="tabel1" localSheetId="9">[18]SubGiatMak!#REF!</definedName>
    <definedName name="tabel1" localSheetId="8">[18]SubGiatMak!#REF!</definedName>
    <definedName name="tabel2" localSheetId="19">[17]SubGiatMak!#REF!</definedName>
    <definedName name="tabel2" localSheetId="18">[17]SubGiatMak!#REF!</definedName>
    <definedName name="tabel2" localSheetId="17">[17]SubGiatMak!#REF!</definedName>
    <definedName name="tabel2" localSheetId="16">[17]SubGiatMak!#REF!</definedName>
    <definedName name="tabel2" localSheetId="15">[17]SubGiatMak!#REF!</definedName>
    <definedName name="tabel2" localSheetId="14">[17]SubGiatMak!#REF!</definedName>
    <definedName name="tabel2" localSheetId="25">[17]SubGiatMak!#REF!</definedName>
    <definedName name="tabel2" localSheetId="24">[17]SubGiatMak!#REF!</definedName>
    <definedName name="tabel2" localSheetId="23">[17]SubGiatMak!#REF!</definedName>
    <definedName name="tabel2" localSheetId="22">[17]SubGiatMak!#REF!</definedName>
    <definedName name="tabel2" localSheetId="21">[17]SubGiatMak!#REF!</definedName>
    <definedName name="tabel2" localSheetId="20">[17]SubGiatMak!#REF!</definedName>
    <definedName name="tabel2" localSheetId="13">[18]SubGiatMak!#REF!</definedName>
    <definedName name="tabel2" localSheetId="12">[18]SubGiatMak!#REF!</definedName>
    <definedName name="tabel2" localSheetId="11">[18]SubGiatMak!#REF!</definedName>
    <definedName name="tabel2" localSheetId="10">[18]SubGiatMak!#REF!</definedName>
    <definedName name="tabel2" localSheetId="9">[18]SubGiatMak!#REF!</definedName>
    <definedName name="tabel2" localSheetId="8">[18]SubGiatMak!#REF!</definedName>
    <definedName name="tanah.pilihan" localSheetId="19">#REF!</definedName>
    <definedName name="tanah.pilihan" localSheetId="18">#REF!</definedName>
    <definedName name="tanah.pilihan" localSheetId="17">#REF!</definedName>
    <definedName name="tanah.pilihan" localSheetId="16">#REF!</definedName>
    <definedName name="tanah.pilihan" localSheetId="15">#REF!</definedName>
    <definedName name="tanah.pilihan" localSheetId="14">#REF!</definedName>
    <definedName name="tanah.pilihan" localSheetId="25">#REF!</definedName>
    <definedName name="tanah.pilihan" localSheetId="24">#REF!</definedName>
    <definedName name="tanah.pilihan" localSheetId="23">#REF!</definedName>
    <definedName name="tanah.pilihan" localSheetId="22">#REF!</definedName>
    <definedName name="tanah.pilihan" localSheetId="21">#REF!</definedName>
    <definedName name="tanah.pilihan" localSheetId="20">#REF!</definedName>
    <definedName name="tanah.pilihan" localSheetId="13">#REF!</definedName>
    <definedName name="tanah.pilihan" localSheetId="12">#REF!</definedName>
    <definedName name="tanah.pilihan" localSheetId="11">#REF!</definedName>
    <definedName name="tanah.pilihan" localSheetId="10">#REF!</definedName>
    <definedName name="tanah.pilihan" localSheetId="9">#REF!</definedName>
    <definedName name="tanah.pilihan" localSheetId="8">#REF!</definedName>
    <definedName name="tanah.urug" localSheetId="19">#REF!</definedName>
    <definedName name="tanah.urug" localSheetId="18">#REF!</definedName>
    <definedName name="tanah.urug" localSheetId="17">#REF!</definedName>
    <definedName name="tanah.urug" localSheetId="16">#REF!</definedName>
    <definedName name="tanah.urug" localSheetId="15">#REF!</definedName>
    <definedName name="tanah.urug" localSheetId="14">#REF!</definedName>
    <definedName name="tanah.urug" localSheetId="25">#REF!</definedName>
    <definedName name="tanah.urug" localSheetId="24">#REF!</definedName>
    <definedName name="tanah.urug" localSheetId="23">#REF!</definedName>
    <definedName name="tanah.urug" localSheetId="22">#REF!</definedName>
    <definedName name="tanah.urug" localSheetId="21">#REF!</definedName>
    <definedName name="tanah.urug" localSheetId="20">#REF!</definedName>
    <definedName name="tanah.urug" localSheetId="13">#REF!</definedName>
    <definedName name="tanah.urug" localSheetId="12">#REF!</definedName>
    <definedName name="tanah.urug" localSheetId="11">#REF!</definedName>
    <definedName name="tanah.urug" localSheetId="10">#REF!</definedName>
    <definedName name="tanah.urug" localSheetId="9">#REF!</definedName>
    <definedName name="tanah.urug" localSheetId="8">#REF!</definedName>
    <definedName name="Teakwood" localSheetId="19">#REF!</definedName>
    <definedName name="Teakwood" localSheetId="18">#REF!</definedName>
    <definedName name="Teakwood" localSheetId="17">#REF!</definedName>
    <definedName name="Teakwood" localSheetId="16">#REF!</definedName>
    <definedName name="Teakwood" localSheetId="15">#REF!</definedName>
    <definedName name="Teakwood" localSheetId="14">#REF!</definedName>
    <definedName name="Teakwood" localSheetId="25">#REF!</definedName>
    <definedName name="Teakwood" localSheetId="24">#REF!</definedName>
    <definedName name="Teakwood" localSheetId="23">#REF!</definedName>
    <definedName name="Teakwood" localSheetId="22">#REF!</definedName>
    <definedName name="Teakwood" localSheetId="21">#REF!</definedName>
    <definedName name="Teakwood" localSheetId="20">#REF!</definedName>
    <definedName name="Teakwood" localSheetId="13">#REF!</definedName>
    <definedName name="Teakwood" localSheetId="12">#REF!</definedName>
    <definedName name="Teakwood" localSheetId="11">#REF!</definedName>
    <definedName name="Teakwood" localSheetId="10">#REF!</definedName>
    <definedName name="Teakwood" localSheetId="9">#REF!</definedName>
    <definedName name="Teakwood" localSheetId="8">#REF!</definedName>
    <definedName name="teer" localSheetId="19">#REF!</definedName>
    <definedName name="teer" localSheetId="18">#REF!</definedName>
    <definedName name="teer" localSheetId="17">#REF!</definedName>
    <definedName name="teer" localSheetId="16">#REF!</definedName>
    <definedName name="teer" localSheetId="15">#REF!</definedName>
    <definedName name="teer" localSheetId="14">#REF!</definedName>
    <definedName name="teer" localSheetId="25">#REF!</definedName>
    <definedName name="teer" localSheetId="24">#REF!</definedName>
    <definedName name="teer" localSheetId="23">#REF!</definedName>
    <definedName name="teer" localSheetId="22">#REF!</definedName>
    <definedName name="teer" localSheetId="21">#REF!</definedName>
    <definedName name="teer" localSheetId="20">#REF!</definedName>
    <definedName name="teer" localSheetId="13">#REF!</definedName>
    <definedName name="teer" localSheetId="12">#REF!</definedName>
    <definedName name="teer" localSheetId="11">#REF!</definedName>
    <definedName name="teer" localSheetId="10">#REF!</definedName>
    <definedName name="teer" localSheetId="9">#REF!</definedName>
    <definedName name="teer" localSheetId="8">#REF!</definedName>
    <definedName name="tegel.abu" localSheetId="19">#REF!</definedName>
    <definedName name="tegel.abu" localSheetId="18">#REF!</definedName>
    <definedName name="tegel.abu" localSheetId="17">#REF!</definedName>
    <definedName name="tegel.abu" localSheetId="16">#REF!</definedName>
    <definedName name="tegel.abu" localSheetId="15">#REF!</definedName>
    <definedName name="tegel.abu" localSheetId="14">#REF!</definedName>
    <definedName name="tegel.abu" localSheetId="25">#REF!</definedName>
    <definedName name="tegel.abu" localSheetId="24">#REF!</definedName>
    <definedName name="tegel.abu" localSheetId="23">#REF!</definedName>
    <definedName name="tegel.abu" localSheetId="22">#REF!</definedName>
    <definedName name="tegel.abu" localSheetId="21">#REF!</definedName>
    <definedName name="tegel.abu" localSheetId="20">#REF!</definedName>
    <definedName name="tegel.abu" localSheetId="13">#REF!</definedName>
    <definedName name="tegel.abu" localSheetId="12">#REF!</definedName>
    <definedName name="tegel.abu" localSheetId="11">#REF!</definedName>
    <definedName name="tegel.abu" localSheetId="10">#REF!</definedName>
    <definedName name="tegel.abu" localSheetId="9">#REF!</definedName>
    <definedName name="tegel.abu" localSheetId="8">#REF!</definedName>
    <definedName name="tegel.warna" localSheetId="19">#REF!</definedName>
    <definedName name="tegel.warna" localSheetId="18">#REF!</definedName>
    <definedName name="tegel.warna" localSheetId="17">#REF!</definedName>
    <definedName name="tegel.warna" localSheetId="16">#REF!</definedName>
    <definedName name="tegel.warna" localSheetId="15">#REF!</definedName>
    <definedName name="tegel.warna" localSheetId="14">#REF!</definedName>
    <definedName name="tegel.warna" localSheetId="25">#REF!</definedName>
    <definedName name="tegel.warna" localSheetId="24">#REF!</definedName>
    <definedName name="tegel.warna" localSheetId="23">#REF!</definedName>
    <definedName name="tegel.warna" localSheetId="22">#REF!</definedName>
    <definedName name="tegel.warna" localSheetId="21">#REF!</definedName>
    <definedName name="tegel.warna" localSheetId="20">#REF!</definedName>
    <definedName name="tegel.warna" localSheetId="13">#REF!</definedName>
    <definedName name="tegel.warna" localSheetId="12">#REF!</definedName>
    <definedName name="tegel.warna" localSheetId="11">#REF!</definedName>
    <definedName name="tegel.warna" localSheetId="10">#REF!</definedName>
    <definedName name="tegel.warna" localSheetId="9">#REF!</definedName>
    <definedName name="tegel.warna" localSheetId="8">#REF!</definedName>
    <definedName name="test" localSheetId="19">[17]SubGiatMak!#REF!</definedName>
    <definedName name="test" localSheetId="18">[17]SubGiatMak!#REF!</definedName>
    <definedName name="test" localSheetId="17">[17]SubGiatMak!#REF!</definedName>
    <definedName name="test" localSheetId="16">[17]SubGiatMak!#REF!</definedName>
    <definedName name="test" localSheetId="15">[17]SubGiatMak!#REF!</definedName>
    <definedName name="test" localSheetId="14">[17]SubGiatMak!#REF!</definedName>
    <definedName name="test" localSheetId="25">[17]SubGiatMak!#REF!</definedName>
    <definedName name="test" localSheetId="24">[17]SubGiatMak!#REF!</definedName>
    <definedName name="test" localSheetId="23">[17]SubGiatMak!#REF!</definedName>
    <definedName name="test" localSheetId="22">[17]SubGiatMak!#REF!</definedName>
    <definedName name="test" localSheetId="21">[17]SubGiatMak!#REF!</definedName>
    <definedName name="test" localSheetId="20">[17]SubGiatMak!#REF!</definedName>
    <definedName name="test" localSheetId="13">[18]SubGiatMak!#REF!</definedName>
    <definedName name="test" localSheetId="12">[18]SubGiatMak!#REF!</definedName>
    <definedName name="test" localSheetId="11">[18]SubGiatMak!#REF!</definedName>
    <definedName name="test" localSheetId="10">[18]SubGiatMak!#REF!</definedName>
    <definedName name="test" localSheetId="9">[18]SubGiatMak!#REF!</definedName>
    <definedName name="test" localSheetId="8">[18]SubGiatMak!#REF!</definedName>
    <definedName name="Tk.Batu" localSheetId="19">#REF!</definedName>
    <definedName name="Tk.Batu" localSheetId="18">#REF!</definedName>
    <definedName name="Tk.Batu" localSheetId="17">#REF!</definedName>
    <definedName name="Tk.Batu" localSheetId="16">#REF!</definedName>
    <definedName name="Tk.Batu" localSheetId="15">#REF!</definedName>
    <definedName name="Tk.Batu" localSheetId="14">#REF!</definedName>
    <definedName name="Tk.Batu" localSheetId="25">#REF!</definedName>
    <definedName name="Tk.Batu" localSheetId="24">#REF!</definedName>
    <definedName name="Tk.Batu" localSheetId="23">#REF!</definedName>
    <definedName name="Tk.Batu" localSheetId="22">#REF!</definedName>
    <definedName name="Tk.Batu" localSheetId="21">#REF!</definedName>
    <definedName name="Tk.Batu" localSheetId="20">#REF!</definedName>
    <definedName name="Tk.Batu" localSheetId="13">#REF!</definedName>
    <definedName name="Tk.Batu" localSheetId="12">#REF!</definedName>
    <definedName name="Tk.Batu" localSheetId="11">#REF!</definedName>
    <definedName name="Tk.Batu" localSheetId="10">#REF!</definedName>
    <definedName name="Tk.Batu" localSheetId="9">#REF!</definedName>
    <definedName name="Tk.Batu" localSheetId="8">#REF!</definedName>
    <definedName name="tk.besi" localSheetId="19">#REF!</definedName>
    <definedName name="tk.besi" localSheetId="18">#REF!</definedName>
    <definedName name="tk.besi" localSheetId="17">#REF!</definedName>
    <definedName name="tk.besi" localSheetId="16">#REF!</definedName>
    <definedName name="tk.besi" localSheetId="15">#REF!</definedName>
    <definedName name="tk.besi" localSheetId="14">#REF!</definedName>
    <definedName name="tk.besi" localSheetId="25">#REF!</definedName>
    <definedName name="tk.besi" localSheetId="24">#REF!</definedName>
    <definedName name="tk.besi" localSheetId="23">#REF!</definedName>
    <definedName name="tk.besi" localSheetId="22">#REF!</definedName>
    <definedName name="tk.besi" localSheetId="21">#REF!</definedName>
    <definedName name="tk.besi" localSheetId="20">#REF!</definedName>
    <definedName name="tk.besi" localSheetId="13">#REF!</definedName>
    <definedName name="tk.besi" localSheetId="12">#REF!</definedName>
    <definedName name="tk.besi" localSheetId="11">#REF!</definedName>
    <definedName name="tk.besi" localSheetId="10">#REF!</definedName>
    <definedName name="tk.besi" localSheetId="9">#REF!</definedName>
    <definedName name="tk.besi" localSheetId="8">#REF!</definedName>
    <definedName name="tk.cat" localSheetId="19">#REF!</definedName>
    <definedName name="tk.cat" localSheetId="18">#REF!</definedName>
    <definedName name="tk.cat" localSheetId="17">#REF!</definedName>
    <definedName name="tk.cat" localSheetId="16">#REF!</definedName>
    <definedName name="tk.cat" localSheetId="15">#REF!</definedName>
    <definedName name="tk.cat" localSheetId="14">#REF!</definedName>
    <definedName name="tk.cat" localSheetId="25">#REF!</definedName>
    <definedName name="tk.cat" localSheetId="24">#REF!</definedName>
    <definedName name="tk.cat" localSheetId="23">#REF!</definedName>
    <definedName name="tk.cat" localSheetId="22">#REF!</definedName>
    <definedName name="tk.cat" localSheetId="21">#REF!</definedName>
    <definedName name="tk.cat" localSheetId="20">#REF!</definedName>
    <definedName name="tk.cat" localSheetId="13">#REF!</definedName>
    <definedName name="tk.cat" localSheetId="12">#REF!</definedName>
    <definedName name="tk.cat" localSheetId="11">#REF!</definedName>
    <definedName name="tk.cat" localSheetId="10">#REF!</definedName>
    <definedName name="tk.cat" localSheetId="9">#REF!</definedName>
    <definedName name="tk.cat" localSheetId="8">#REF!</definedName>
    <definedName name="Tk.kayu" localSheetId="19">#REF!</definedName>
    <definedName name="Tk.kayu" localSheetId="18">#REF!</definedName>
    <definedName name="Tk.kayu" localSheetId="17">#REF!</definedName>
    <definedName name="Tk.kayu" localSheetId="16">#REF!</definedName>
    <definedName name="Tk.kayu" localSheetId="15">#REF!</definedName>
    <definedName name="Tk.kayu" localSheetId="14">#REF!</definedName>
    <definedName name="Tk.kayu" localSheetId="25">#REF!</definedName>
    <definedName name="Tk.kayu" localSheetId="24">#REF!</definedName>
    <definedName name="Tk.kayu" localSheetId="23">#REF!</definedName>
    <definedName name="Tk.kayu" localSheetId="22">#REF!</definedName>
    <definedName name="Tk.kayu" localSheetId="21">#REF!</definedName>
    <definedName name="Tk.kayu" localSheetId="20">#REF!</definedName>
    <definedName name="Tk.kayu" localSheetId="13">#REF!</definedName>
    <definedName name="Tk.kayu" localSheetId="12">#REF!</definedName>
    <definedName name="Tk.kayu" localSheetId="11">#REF!</definedName>
    <definedName name="Tk.kayu" localSheetId="10">#REF!</definedName>
    <definedName name="Tk.kayu" localSheetId="9">#REF!</definedName>
    <definedName name="Tk.kayu" localSheetId="8">#REF!</definedName>
    <definedName name="Tk.Las" localSheetId="19">#REF!</definedName>
    <definedName name="Tk.Las" localSheetId="18">#REF!</definedName>
    <definedName name="Tk.Las" localSheetId="17">#REF!</definedName>
    <definedName name="Tk.Las" localSheetId="16">#REF!</definedName>
    <definedName name="Tk.Las" localSheetId="15">#REF!</definedName>
    <definedName name="Tk.Las" localSheetId="14">#REF!</definedName>
    <definedName name="Tk.Las" localSheetId="25">#REF!</definedName>
    <definedName name="Tk.Las" localSheetId="24">#REF!</definedName>
    <definedName name="Tk.Las" localSheetId="23">#REF!</definedName>
    <definedName name="Tk.Las" localSheetId="22">#REF!</definedName>
    <definedName name="Tk.Las" localSheetId="21">#REF!</definedName>
    <definedName name="Tk.Las" localSheetId="20">#REF!</definedName>
    <definedName name="Tk.Las" localSheetId="13">#REF!</definedName>
    <definedName name="Tk.Las" localSheetId="12">#REF!</definedName>
    <definedName name="Tk.Las" localSheetId="11">#REF!</definedName>
    <definedName name="Tk.Las" localSheetId="10">#REF!</definedName>
    <definedName name="Tk.Las" localSheetId="9">#REF!</definedName>
    <definedName name="Tk.Las" localSheetId="8">#REF!</definedName>
    <definedName name="tk.pelitur" localSheetId="19">#REF!</definedName>
    <definedName name="tk.pelitur" localSheetId="18">#REF!</definedName>
    <definedName name="tk.pelitur" localSheetId="17">#REF!</definedName>
    <definedName name="tk.pelitur" localSheetId="16">#REF!</definedName>
    <definedName name="tk.pelitur" localSheetId="15">#REF!</definedName>
    <definedName name="tk.pelitur" localSheetId="14">#REF!</definedName>
    <definedName name="tk.pelitur" localSheetId="25">#REF!</definedName>
    <definedName name="tk.pelitur" localSheetId="24">#REF!</definedName>
    <definedName name="tk.pelitur" localSheetId="23">#REF!</definedName>
    <definedName name="tk.pelitur" localSheetId="22">#REF!</definedName>
    <definedName name="tk.pelitur" localSheetId="21">#REF!</definedName>
    <definedName name="tk.pelitur" localSheetId="20">#REF!</definedName>
    <definedName name="tk.pelitur" localSheetId="13">#REF!</definedName>
    <definedName name="tk.pelitur" localSheetId="12">#REF!</definedName>
    <definedName name="tk.pelitur" localSheetId="11">#REF!</definedName>
    <definedName name="tk.pelitur" localSheetId="10">#REF!</definedName>
    <definedName name="tk.pelitur" localSheetId="9">#REF!</definedName>
    <definedName name="tk.pelitur" localSheetId="8">#REF!</definedName>
    <definedName name="Tk.pipa" localSheetId="19">#REF!</definedName>
    <definedName name="Tk.pipa" localSheetId="18">#REF!</definedName>
    <definedName name="Tk.pipa" localSheetId="17">#REF!</definedName>
    <definedName name="Tk.pipa" localSheetId="16">#REF!</definedName>
    <definedName name="Tk.pipa" localSheetId="15">#REF!</definedName>
    <definedName name="Tk.pipa" localSheetId="14">#REF!</definedName>
    <definedName name="Tk.pipa" localSheetId="25">#REF!</definedName>
    <definedName name="Tk.pipa" localSheetId="24">#REF!</definedName>
    <definedName name="Tk.pipa" localSheetId="23">#REF!</definedName>
    <definedName name="Tk.pipa" localSheetId="22">#REF!</definedName>
    <definedName name="Tk.pipa" localSheetId="21">#REF!</definedName>
    <definedName name="Tk.pipa" localSheetId="20">#REF!</definedName>
    <definedName name="Tk.pipa" localSheetId="13">#REF!</definedName>
    <definedName name="Tk.pipa" localSheetId="12">#REF!</definedName>
    <definedName name="Tk.pipa" localSheetId="11">#REF!</definedName>
    <definedName name="Tk.pipa" localSheetId="10">#REF!</definedName>
    <definedName name="Tk.pipa" localSheetId="9">#REF!</definedName>
    <definedName name="Tk.pipa" localSheetId="8">#REF!</definedName>
    <definedName name="tp.1" localSheetId="19">#REF!</definedName>
    <definedName name="tp.1" localSheetId="18">#REF!</definedName>
    <definedName name="tp.1" localSheetId="17">#REF!</definedName>
    <definedName name="tp.1" localSheetId="16">#REF!</definedName>
    <definedName name="tp.1" localSheetId="15">#REF!</definedName>
    <definedName name="tp.1" localSheetId="14">#REF!</definedName>
    <definedName name="tp.1" localSheetId="25">#REF!</definedName>
    <definedName name="tp.1" localSheetId="24">#REF!</definedName>
    <definedName name="tp.1" localSheetId="23">#REF!</definedName>
    <definedName name="tp.1" localSheetId="22">#REF!</definedName>
    <definedName name="tp.1" localSheetId="21">#REF!</definedName>
    <definedName name="tp.1" localSheetId="20">#REF!</definedName>
    <definedName name="tp.1" localSheetId="13">#REF!</definedName>
    <definedName name="tp.1" localSheetId="12">#REF!</definedName>
    <definedName name="tp.1" localSheetId="11">#REF!</definedName>
    <definedName name="tp.1" localSheetId="10">#REF!</definedName>
    <definedName name="tp.1" localSheetId="9">#REF!</definedName>
    <definedName name="tp.1" localSheetId="8">#REF!</definedName>
    <definedName name="tp.2" localSheetId="19">#REF!</definedName>
    <definedName name="tp.2" localSheetId="18">#REF!</definedName>
    <definedName name="tp.2" localSheetId="17">#REF!</definedName>
    <definedName name="tp.2" localSheetId="16">#REF!</definedName>
    <definedName name="tp.2" localSheetId="15">#REF!</definedName>
    <definedName name="tp.2" localSheetId="14">#REF!</definedName>
    <definedName name="tp.2" localSheetId="25">#REF!</definedName>
    <definedName name="tp.2" localSheetId="24">#REF!</definedName>
    <definedName name="tp.2" localSheetId="23">#REF!</definedName>
    <definedName name="tp.2" localSheetId="22">#REF!</definedName>
    <definedName name="tp.2" localSheetId="21">#REF!</definedName>
    <definedName name="tp.2" localSheetId="20">#REF!</definedName>
    <definedName name="tp.2" localSheetId="13">#REF!</definedName>
    <definedName name="tp.2" localSheetId="12">#REF!</definedName>
    <definedName name="tp.2" localSheetId="11">#REF!</definedName>
    <definedName name="tp.2" localSheetId="10">#REF!</definedName>
    <definedName name="tp.2" localSheetId="9">#REF!</definedName>
    <definedName name="tp.2" localSheetId="8">#REF!</definedName>
    <definedName name="tp.3" localSheetId="19">#REF!</definedName>
    <definedName name="tp.3" localSheetId="18">#REF!</definedName>
    <definedName name="tp.3" localSheetId="17">#REF!</definedName>
    <definedName name="tp.3" localSheetId="16">#REF!</definedName>
    <definedName name="tp.3" localSheetId="15">#REF!</definedName>
    <definedName name="tp.3" localSheetId="14">#REF!</definedName>
    <definedName name="tp.3" localSheetId="25">#REF!</definedName>
    <definedName name="tp.3" localSheetId="24">#REF!</definedName>
    <definedName name="tp.3" localSheetId="23">#REF!</definedName>
    <definedName name="tp.3" localSheetId="22">#REF!</definedName>
    <definedName name="tp.3" localSheetId="21">#REF!</definedName>
    <definedName name="tp.3" localSheetId="20">#REF!</definedName>
    <definedName name="tp.3" localSheetId="13">#REF!</definedName>
    <definedName name="tp.3" localSheetId="12">#REF!</definedName>
    <definedName name="tp.3" localSheetId="11">#REF!</definedName>
    <definedName name="tp.3" localSheetId="10">#REF!</definedName>
    <definedName name="tp.3" localSheetId="9">#REF!</definedName>
    <definedName name="tp.3" localSheetId="8">#REF!</definedName>
    <definedName name="tp.4" localSheetId="19">#REF!</definedName>
    <definedName name="tp.4" localSheetId="18">#REF!</definedName>
    <definedName name="tp.4" localSheetId="17">#REF!</definedName>
    <definedName name="tp.4" localSheetId="16">#REF!</definedName>
    <definedName name="tp.4" localSheetId="15">#REF!</definedName>
    <definedName name="tp.4" localSheetId="14">#REF!</definedName>
    <definedName name="tp.4" localSheetId="25">#REF!</definedName>
    <definedName name="tp.4" localSheetId="24">#REF!</definedName>
    <definedName name="tp.4" localSheetId="23">#REF!</definedName>
    <definedName name="tp.4" localSheetId="22">#REF!</definedName>
    <definedName name="tp.4" localSheetId="21">#REF!</definedName>
    <definedName name="tp.4" localSheetId="20">#REF!</definedName>
    <definedName name="tp.4" localSheetId="13">#REF!</definedName>
    <definedName name="tp.4" localSheetId="12">#REF!</definedName>
    <definedName name="tp.4" localSheetId="11">#REF!</definedName>
    <definedName name="tp.4" localSheetId="10">#REF!</definedName>
    <definedName name="tp.4" localSheetId="9">#REF!</definedName>
    <definedName name="tp.4" localSheetId="8">#REF!</definedName>
    <definedName name="tp.5" localSheetId="19">#REF!</definedName>
    <definedName name="tp.5" localSheetId="18">#REF!</definedName>
    <definedName name="tp.5" localSheetId="17">#REF!</definedName>
    <definedName name="tp.5" localSheetId="16">#REF!</definedName>
    <definedName name="tp.5" localSheetId="15">#REF!</definedName>
    <definedName name="tp.5" localSheetId="14">#REF!</definedName>
    <definedName name="tp.5" localSheetId="25">#REF!</definedName>
    <definedName name="tp.5" localSheetId="24">#REF!</definedName>
    <definedName name="tp.5" localSheetId="23">#REF!</definedName>
    <definedName name="tp.5" localSheetId="22">#REF!</definedName>
    <definedName name="tp.5" localSheetId="21">#REF!</definedName>
    <definedName name="tp.5" localSheetId="20">#REF!</definedName>
    <definedName name="tp.5" localSheetId="13">#REF!</definedName>
    <definedName name="tp.5" localSheetId="12">#REF!</definedName>
    <definedName name="tp.5" localSheetId="11">#REF!</definedName>
    <definedName name="tp.5" localSheetId="10">#REF!</definedName>
    <definedName name="tp.5" localSheetId="9">#REF!</definedName>
    <definedName name="tp.5" localSheetId="8">#REF!</definedName>
    <definedName name="tp.6" localSheetId="19">#REF!</definedName>
    <definedName name="tp.6" localSheetId="18">#REF!</definedName>
    <definedName name="tp.6" localSheetId="17">#REF!</definedName>
    <definedName name="tp.6" localSheetId="16">#REF!</definedName>
    <definedName name="tp.6" localSheetId="15">#REF!</definedName>
    <definedName name="tp.6" localSheetId="14">#REF!</definedName>
    <definedName name="tp.6" localSheetId="25">#REF!</definedName>
    <definedName name="tp.6" localSheetId="24">#REF!</definedName>
    <definedName name="tp.6" localSheetId="23">#REF!</definedName>
    <definedName name="tp.6" localSheetId="22">#REF!</definedName>
    <definedName name="tp.6" localSheetId="21">#REF!</definedName>
    <definedName name="tp.6" localSheetId="20">#REF!</definedName>
    <definedName name="tp.6" localSheetId="13">#REF!</definedName>
    <definedName name="tp.6" localSheetId="12">#REF!</definedName>
    <definedName name="tp.6" localSheetId="11">#REF!</definedName>
    <definedName name="tp.6" localSheetId="10">#REF!</definedName>
    <definedName name="tp.6" localSheetId="9">#REF!</definedName>
    <definedName name="tp.6" localSheetId="8">#REF!</definedName>
    <definedName name="tp.a" localSheetId="19">#REF!</definedName>
    <definedName name="tp.a" localSheetId="18">#REF!</definedName>
    <definedName name="tp.a" localSheetId="17">#REF!</definedName>
    <definedName name="tp.a" localSheetId="16">#REF!</definedName>
    <definedName name="tp.a" localSheetId="15">#REF!</definedName>
    <definedName name="tp.a" localSheetId="14">#REF!</definedName>
    <definedName name="tp.a" localSheetId="25">#REF!</definedName>
    <definedName name="tp.a" localSheetId="24">#REF!</definedName>
    <definedName name="tp.a" localSheetId="23">#REF!</definedName>
    <definedName name="tp.a" localSheetId="22">#REF!</definedName>
    <definedName name="tp.a" localSheetId="21">#REF!</definedName>
    <definedName name="tp.a" localSheetId="20">#REF!</definedName>
    <definedName name="tp.a" localSheetId="13">#REF!</definedName>
    <definedName name="tp.a" localSheetId="12">#REF!</definedName>
    <definedName name="tp.a" localSheetId="11">#REF!</definedName>
    <definedName name="tp.a" localSheetId="10">#REF!</definedName>
    <definedName name="tp.a" localSheetId="9">#REF!</definedName>
    <definedName name="tp.a" localSheetId="8">#REF!</definedName>
    <definedName name="tp.b" localSheetId="19">#REF!</definedName>
    <definedName name="tp.b" localSheetId="18">#REF!</definedName>
    <definedName name="tp.b" localSheetId="17">#REF!</definedName>
    <definedName name="tp.b" localSheetId="16">#REF!</definedName>
    <definedName name="tp.b" localSheetId="15">#REF!</definedName>
    <definedName name="tp.b" localSheetId="14">#REF!</definedName>
    <definedName name="tp.b" localSheetId="25">#REF!</definedName>
    <definedName name="tp.b" localSheetId="24">#REF!</definedName>
    <definedName name="tp.b" localSheetId="23">#REF!</definedName>
    <definedName name="tp.b" localSheetId="22">#REF!</definedName>
    <definedName name="tp.b" localSheetId="21">#REF!</definedName>
    <definedName name="tp.b" localSheetId="20">#REF!</definedName>
    <definedName name="tp.b" localSheetId="13">#REF!</definedName>
    <definedName name="tp.b" localSheetId="12">#REF!</definedName>
    <definedName name="tp.b" localSheetId="11">#REF!</definedName>
    <definedName name="tp.b" localSheetId="10">#REF!</definedName>
    <definedName name="tp.b" localSheetId="9">#REF!</definedName>
    <definedName name="tp.b" localSheetId="8">#REF!</definedName>
    <definedName name="tp.c" localSheetId="19">#REF!</definedName>
    <definedName name="tp.c" localSheetId="18">#REF!</definedName>
    <definedName name="tp.c" localSheetId="17">#REF!</definedName>
    <definedName name="tp.c" localSheetId="16">#REF!</definedName>
    <definedName name="tp.c" localSheetId="15">#REF!</definedName>
    <definedName name="tp.c" localSheetId="14">#REF!</definedName>
    <definedName name="tp.c" localSheetId="25">#REF!</definedName>
    <definedName name="tp.c" localSheetId="24">#REF!</definedName>
    <definedName name="tp.c" localSheetId="23">#REF!</definedName>
    <definedName name="tp.c" localSheetId="22">#REF!</definedName>
    <definedName name="tp.c" localSheetId="21">#REF!</definedName>
    <definedName name="tp.c" localSheetId="20">#REF!</definedName>
    <definedName name="tp.c" localSheetId="13">#REF!</definedName>
    <definedName name="tp.c" localSheetId="12">#REF!</definedName>
    <definedName name="tp.c" localSheetId="11">#REF!</definedName>
    <definedName name="tp.c" localSheetId="10">#REF!</definedName>
    <definedName name="tp.c" localSheetId="9">#REF!</definedName>
    <definedName name="tp.c" localSheetId="8">#REF!</definedName>
    <definedName name="tracker" localSheetId="19">#REF!</definedName>
    <definedName name="tracker" localSheetId="18">#REF!</definedName>
    <definedName name="tracker" localSheetId="17">#REF!</definedName>
    <definedName name="tracker" localSheetId="16">#REF!</definedName>
    <definedName name="tracker" localSheetId="15">#REF!</definedName>
    <definedName name="tracker" localSheetId="14">#REF!</definedName>
    <definedName name="tracker" localSheetId="25">#REF!</definedName>
    <definedName name="tracker" localSheetId="24">#REF!</definedName>
    <definedName name="tracker" localSheetId="23">#REF!</definedName>
    <definedName name="tracker" localSheetId="22">#REF!</definedName>
    <definedName name="tracker" localSheetId="21">#REF!</definedName>
    <definedName name="tracker" localSheetId="20">#REF!</definedName>
    <definedName name="tracker" localSheetId="13">#REF!</definedName>
    <definedName name="tracker" localSheetId="12">#REF!</definedName>
    <definedName name="tracker" localSheetId="11">#REF!</definedName>
    <definedName name="tracker" localSheetId="10">#REF!</definedName>
    <definedName name="tracker" localSheetId="9">#REF!</definedName>
    <definedName name="tracker" localSheetId="8">#REF!</definedName>
    <definedName name="Triplek.2" localSheetId="19">#REF!</definedName>
    <definedName name="Triplek.2" localSheetId="18">#REF!</definedName>
    <definedName name="Triplek.2" localSheetId="17">#REF!</definedName>
    <definedName name="Triplek.2" localSheetId="16">#REF!</definedName>
    <definedName name="Triplek.2" localSheetId="15">#REF!</definedName>
    <definedName name="Triplek.2" localSheetId="14">#REF!</definedName>
    <definedName name="Triplek.2" localSheetId="25">#REF!</definedName>
    <definedName name="Triplek.2" localSheetId="24">#REF!</definedName>
    <definedName name="Triplek.2" localSheetId="23">#REF!</definedName>
    <definedName name="Triplek.2" localSheetId="22">#REF!</definedName>
    <definedName name="Triplek.2" localSheetId="21">#REF!</definedName>
    <definedName name="Triplek.2" localSheetId="20">#REF!</definedName>
    <definedName name="Triplek.2" localSheetId="13">#REF!</definedName>
    <definedName name="Triplek.2" localSheetId="12">#REF!</definedName>
    <definedName name="Triplek.2" localSheetId="11">#REF!</definedName>
    <definedName name="Triplek.2" localSheetId="10">#REF!</definedName>
    <definedName name="Triplek.2" localSheetId="9">#REF!</definedName>
    <definedName name="Triplek.2" localSheetId="8">#REF!</definedName>
    <definedName name="Triplek.3" localSheetId="19">#REF!</definedName>
    <definedName name="Triplek.3" localSheetId="18">#REF!</definedName>
    <definedName name="Triplek.3" localSheetId="17">#REF!</definedName>
    <definedName name="Triplek.3" localSheetId="16">#REF!</definedName>
    <definedName name="Triplek.3" localSheetId="15">#REF!</definedName>
    <definedName name="Triplek.3" localSheetId="14">#REF!</definedName>
    <definedName name="Triplek.3" localSheetId="25">#REF!</definedName>
    <definedName name="Triplek.3" localSheetId="24">#REF!</definedName>
    <definedName name="Triplek.3" localSheetId="23">#REF!</definedName>
    <definedName name="Triplek.3" localSheetId="22">#REF!</definedName>
    <definedName name="Triplek.3" localSheetId="21">#REF!</definedName>
    <definedName name="Triplek.3" localSheetId="20">#REF!</definedName>
    <definedName name="Triplek.3" localSheetId="13">#REF!</definedName>
    <definedName name="Triplek.3" localSheetId="12">#REF!</definedName>
    <definedName name="Triplek.3" localSheetId="11">#REF!</definedName>
    <definedName name="Triplek.3" localSheetId="10">#REF!</definedName>
    <definedName name="Triplek.3" localSheetId="9">#REF!</definedName>
    <definedName name="Triplek.3" localSheetId="8">#REF!</definedName>
    <definedName name="triplek.6" localSheetId="19">#REF!</definedName>
    <definedName name="triplek.6" localSheetId="18">#REF!</definedName>
    <definedName name="triplek.6" localSheetId="17">#REF!</definedName>
    <definedName name="triplek.6" localSheetId="16">#REF!</definedName>
    <definedName name="triplek.6" localSheetId="15">#REF!</definedName>
    <definedName name="triplek.6" localSheetId="14">#REF!</definedName>
    <definedName name="triplek.6" localSheetId="25">#REF!</definedName>
    <definedName name="triplek.6" localSheetId="24">#REF!</definedName>
    <definedName name="triplek.6" localSheetId="23">#REF!</definedName>
    <definedName name="triplek.6" localSheetId="22">#REF!</definedName>
    <definedName name="triplek.6" localSheetId="21">#REF!</definedName>
    <definedName name="triplek.6" localSheetId="20">#REF!</definedName>
    <definedName name="triplek.6" localSheetId="13">#REF!</definedName>
    <definedName name="triplek.6" localSheetId="12">#REF!</definedName>
    <definedName name="triplek.6" localSheetId="11">#REF!</definedName>
    <definedName name="triplek.6" localSheetId="10">#REF!</definedName>
    <definedName name="triplek.6" localSheetId="9">#REF!</definedName>
    <definedName name="triplek.6" localSheetId="8">#REF!</definedName>
    <definedName name="Union.besar" localSheetId="19">#REF!</definedName>
    <definedName name="Union.besar" localSheetId="18">#REF!</definedName>
    <definedName name="Union.besar" localSheetId="17">#REF!</definedName>
    <definedName name="Union.besar" localSheetId="16">#REF!</definedName>
    <definedName name="Union.besar" localSheetId="15">#REF!</definedName>
    <definedName name="Union.besar" localSheetId="14">#REF!</definedName>
    <definedName name="Union.besar" localSheetId="25">#REF!</definedName>
    <definedName name="Union.besar" localSheetId="24">#REF!</definedName>
    <definedName name="Union.besar" localSheetId="23">#REF!</definedName>
    <definedName name="Union.besar" localSheetId="22">#REF!</definedName>
    <definedName name="Union.besar" localSheetId="21">#REF!</definedName>
    <definedName name="Union.besar" localSheetId="20">#REF!</definedName>
    <definedName name="Union.besar" localSheetId="13">#REF!</definedName>
    <definedName name="Union.besar" localSheetId="12">#REF!</definedName>
    <definedName name="Union.besar" localSheetId="11">#REF!</definedName>
    <definedName name="Union.besar" localSheetId="10">#REF!</definedName>
    <definedName name="Union.besar" localSheetId="9">#REF!</definedName>
    <definedName name="Union.besar" localSheetId="8">#REF!</definedName>
    <definedName name="Union.kecil" localSheetId="19">#REF!</definedName>
    <definedName name="Union.kecil" localSheetId="18">#REF!</definedName>
    <definedName name="Union.kecil" localSheetId="17">#REF!</definedName>
    <definedName name="Union.kecil" localSheetId="16">#REF!</definedName>
    <definedName name="Union.kecil" localSheetId="15">#REF!</definedName>
    <definedName name="Union.kecil" localSheetId="14">#REF!</definedName>
    <definedName name="Union.kecil" localSheetId="25">#REF!</definedName>
    <definedName name="Union.kecil" localSheetId="24">#REF!</definedName>
    <definedName name="Union.kecil" localSheetId="23">#REF!</definedName>
    <definedName name="Union.kecil" localSheetId="22">#REF!</definedName>
    <definedName name="Union.kecil" localSheetId="21">#REF!</definedName>
    <definedName name="Union.kecil" localSheetId="20">#REF!</definedName>
    <definedName name="Union.kecil" localSheetId="13">#REF!</definedName>
    <definedName name="Union.kecil" localSheetId="12">#REF!</definedName>
    <definedName name="Union.kecil" localSheetId="11">#REF!</definedName>
    <definedName name="Union.kecil" localSheetId="10">#REF!</definedName>
    <definedName name="Union.kecil" localSheetId="9">#REF!</definedName>
    <definedName name="Union.kecil" localSheetId="8">#REF!</definedName>
    <definedName name="w.1.a" localSheetId="19">#REF!</definedName>
    <definedName name="w.1.a" localSheetId="18">#REF!</definedName>
    <definedName name="w.1.a" localSheetId="17">#REF!</definedName>
    <definedName name="w.1.a" localSheetId="16">#REF!</definedName>
    <definedName name="w.1.a" localSheetId="15">#REF!</definedName>
    <definedName name="w.1.a" localSheetId="14">#REF!</definedName>
    <definedName name="w.1.a" localSheetId="25">#REF!</definedName>
    <definedName name="w.1.a" localSheetId="24">#REF!</definedName>
    <definedName name="w.1.a" localSheetId="23">#REF!</definedName>
    <definedName name="w.1.a" localSheetId="22">#REF!</definedName>
    <definedName name="w.1.a" localSheetId="21">#REF!</definedName>
    <definedName name="w.1.a" localSheetId="20">#REF!</definedName>
    <definedName name="w.1.a" localSheetId="13">#REF!</definedName>
    <definedName name="w.1.a" localSheetId="12">#REF!</definedName>
    <definedName name="w.1.a" localSheetId="11">#REF!</definedName>
    <definedName name="w.1.a" localSheetId="10">#REF!</definedName>
    <definedName name="w.1.a" localSheetId="9">#REF!</definedName>
    <definedName name="w.1.a" localSheetId="8">#REF!</definedName>
    <definedName name="w.1.b" localSheetId="19">#REF!</definedName>
    <definedName name="w.1.b" localSheetId="18">#REF!</definedName>
    <definedName name="w.1.b" localSheetId="17">#REF!</definedName>
    <definedName name="w.1.b" localSheetId="16">#REF!</definedName>
    <definedName name="w.1.b" localSheetId="15">#REF!</definedName>
    <definedName name="w.1.b" localSheetId="14">#REF!</definedName>
    <definedName name="w.1.b" localSheetId="25">#REF!</definedName>
    <definedName name="w.1.b" localSheetId="24">#REF!</definedName>
    <definedName name="w.1.b" localSheetId="23">#REF!</definedName>
    <definedName name="w.1.b" localSheetId="22">#REF!</definedName>
    <definedName name="w.1.b" localSheetId="21">#REF!</definedName>
    <definedName name="w.1.b" localSheetId="20">#REF!</definedName>
    <definedName name="w.1.b" localSheetId="13">#REF!</definedName>
    <definedName name="w.1.b" localSheetId="12">#REF!</definedName>
    <definedName name="w.1.b" localSheetId="11">#REF!</definedName>
    <definedName name="w.1.b" localSheetId="10">#REF!</definedName>
    <definedName name="w.1.b" localSheetId="9">#REF!</definedName>
    <definedName name="w.1.b" localSheetId="8">#REF!</definedName>
    <definedName name="w.3" localSheetId="19">#REF!</definedName>
    <definedName name="w.3" localSheetId="18">#REF!</definedName>
    <definedName name="w.3" localSheetId="17">#REF!</definedName>
    <definedName name="w.3" localSheetId="16">#REF!</definedName>
    <definedName name="w.3" localSheetId="15">#REF!</definedName>
    <definedName name="w.3" localSheetId="14">#REF!</definedName>
    <definedName name="w.3" localSheetId="25">#REF!</definedName>
    <definedName name="w.3" localSheetId="24">#REF!</definedName>
    <definedName name="w.3" localSheetId="23">#REF!</definedName>
    <definedName name="w.3" localSheetId="22">#REF!</definedName>
    <definedName name="w.3" localSheetId="21">#REF!</definedName>
    <definedName name="w.3" localSheetId="20">#REF!</definedName>
    <definedName name="w.3" localSheetId="13">#REF!</definedName>
    <definedName name="w.3" localSheetId="12">#REF!</definedName>
    <definedName name="w.3" localSheetId="11">#REF!</definedName>
    <definedName name="w.3" localSheetId="10">#REF!</definedName>
    <definedName name="w.3" localSheetId="9">#REF!</definedName>
    <definedName name="w.3" localSheetId="8">#REF!</definedName>
    <definedName name="w.5" localSheetId="19">#REF!</definedName>
    <definedName name="w.5" localSheetId="18">#REF!</definedName>
    <definedName name="w.5" localSheetId="17">#REF!</definedName>
    <definedName name="w.5" localSheetId="16">#REF!</definedName>
    <definedName name="w.5" localSheetId="15">#REF!</definedName>
    <definedName name="w.5" localSheetId="14">#REF!</definedName>
    <definedName name="w.5" localSheetId="25">#REF!</definedName>
    <definedName name="w.5" localSheetId="24">#REF!</definedName>
    <definedName name="w.5" localSheetId="23">#REF!</definedName>
    <definedName name="w.5" localSheetId="22">#REF!</definedName>
    <definedName name="w.5" localSheetId="21">#REF!</definedName>
    <definedName name="w.5" localSheetId="20">#REF!</definedName>
    <definedName name="w.5" localSheetId="13">#REF!</definedName>
    <definedName name="w.5" localSheetId="12">#REF!</definedName>
    <definedName name="w.5" localSheetId="11">#REF!</definedName>
    <definedName name="w.5" localSheetId="10">#REF!</definedName>
    <definedName name="w.5" localSheetId="9">#REF!</definedName>
    <definedName name="w.5" localSheetId="8">#REF!</definedName>
    <definedName name="w.6" localSheetId="19">#REF!</definedName>
    <definedName name="w.6" localSheetId="18">#REF!</definedName>
    <definedName name="w.6" localSheetId="17">#REF!</definedName>
    <definedName name="w.6" localSheetId="16">#REF!</definedName>
    <definedName name="w.6" localSheetId="15">#REF!</definedName>
    <definedName name="w.6" localSheetId="14">#REF!</definedName>
    <definedName name="w.6" localSheetId="25">#REF!</definedName>
    <definedName name="w.6" localSheetId="24">#REF!</definedName>
    <definedName name="w.6" localSheetId="23">#REF!</definedName>
    <definedName name="w.6" localSheetId="22">#REF!</definedName>
    <definedName name="w.6" localSheetId="21">#REF!</definedName>
    <definedName name="w.6" localSheetId="20">#REF!</definedName>
    <definedName name="w.6" localSheetId="13">#REF!</definedName>
    <definedName name="w.6" localSheetId="12">#REF!</definedName>
    <definedName name="w.6" localSheetId="11">#REF!</definedName>
    <definedName name="w.6" localSheetId="10">#REF!</definedName>
    <definedName name="w.6" localSheetId="9">#REF!</definedName>
    <definedName name="w.6" localSheetId="8">#REF!</definedName>
    <definedName name="Wales" localSheetId="19">#REF!</definedName>
    <definedName name="Wales" localSheetId="18">#REF!</definedName>
    <definedName name="Wales" localSheetId="17">#REF!</definedName>
    <definedName name="Wales" localSheetId="16">#REF!</definedName>
    <definedName name="Wales" localSheetId="15">#REF!</definedName>
    <definedName name="Wales" localSheetId="14">#REF!</definedName>
    <definedName name="Wales" localSheetId="25">#REF!</definedName>
    <definedName name="Wales" localSheetId="24">#REF!</definedName>
    <definedName name="Wales" localSheetId="23">#REF!</definedName>
    <definedName name="Wales" localSheetId="22">#REF!</definedName>
    <definedName name="Wales" localSheetId="21">#REF!</definedName>
    <definedName name="Wales" localSheetId="20">#REF!</definedName>
    <definedName name="Wales" localSheetId="13">#REF!</definedName>
    <definedName name="Wales" localSheetId="12">#REF!</definedName>
    <definedName name="Wales" localSheetId="11">#REF!</definedName>
    <definedName name="Wales" localSheetId="10">#REF!</definedName>
    <definedName name="Wales" localSheetId="9">#REF!</definedName>
    <definedName name="Wales" localSheetId="8">#REF!</definedName>
    <definedName name="wt.3" localSheetId="19">#REF!</definedName>
    <definedName name="wt.3" localSheetId="18">#REF!</definedName>
    <definedName name="wt.3" localSheetId="17">#REF!</definedName>
    <definedName name="wt.3" localSheetId="16">#REF!</definedName>
    <definedName name="wt.3" localSheetId="15">#REF!</definedName>
    <definedName name="wt.3" localSheetId="14">#REF!</definedName>
    <definedName name="wt.3" localSheetId="25">#REF!</definedName>
    <definedName name="wt.3" localSheetId="24">#REF!</definedName>
    <definedName name="wt.3" localSheetId="23">#REF!</definedName>
    <definedName name="wt.3" localSheetId="22">#REF!</definedName>
    <definedName name="wt.3" localSheetId="21">#REF!</definedName>
    <definedName name="wt.3" localSheetId="20">#REF!</definedName>
    <definedName name="wt.3" localSheetId="13">#REF!</definedName>
    <definedName name="wt.3" localSheetId="12">#REF!</definedName>
    <definedName name="wt.3" localSheetId="11">#REF!</definedName>
    <definedName name="wt.3" localSheetId="10">#REF!</definedName>
    <definedName name="wt.3" localSheetId="9">#REF!</definedName>
    <definedName name="wt.3" localSheetId="8">#REF!</definedName>
    <definedName name="Yale.besar" localSheetId="19">#REF!</definedName>
    <definedName name="Yale.besar" localSheetId="18">#REF!</definedName>
    <definedName name="Yale.besar" localSheetId="17">#REF!</definedName>
    <definedName name="Yale.besar" localSheetId="16">#REF!</definedName>
    <definedName name="Yale.besar" localSheetId="15">#REF!</definedName>
    <definedName name="Yale.besar" localSheetId="14">#REF!</definedName>
    <definedName name="Yale.besar" localSheetId="25">#REF!</definedName>
    <definedName name="Yale.besar" localSheetId="24">#REF!</definedName>
    <definedName name="Yale.besar" localSheetId="23">#REF!</definedName>
    <definedName name="Yale.besar" localSheetId="22">#REF!</definedName>
    <definedName name="Yale.besar" localSheetId="21">#REF!</definedName>
    <definedName name="Yale.besar" localSheetId="20">#REF!</definedName>
    <definedName name="Yale.besar" localSheetId="13">#REF!</definedName>
    <definedName name="Yale.besar" localSheetId="12">#REF!</definedName>
    <definedName name="Yale.besar" localSheetId="11">#REF!</definedName>
    <definedName name="Yale.besar" localSheetId="10">#REF!</definedName>
    <definedName name="Yale.besar" localSheetId="9">#REF!</definedName>
    <definedName name="Yale.besar" localSheetId="8">#REF!</definedName>
    <definedName name="Yale.kecil" localSheetId="19">#REF!</definedName>
    <definedName name="Yale.kecil" localSheetId="18">#REF!</definedName>
    <definedName name="Yale.kecil" localSheetId="17">#REF!</definedName>
    <definedName name="Yale.kecil" localSheetId="16">#REF!</definedName>
    <definedName name="Yale.kecil" localSheetId="15">#REF!</definedName>
    <definedName name="Yale.kecil" localSheetId="14">#REF!</definedName>
    <definedName name="Yale.kecil" localSheetId="25">#REF!</definedName>
    <definedName name="Yale.kecil" localSheetId="24">#REF!</definedName>
    <definedName name="Yale.kecil" localSheetId="23">#REF!</definedName>
    <definedName name="Yale.kecil" localSheetId="22">#REF!</definedName>
    <definedName name="Yale.kecil" localSheetId="21">#REF!</definedName>
    <definedName name="Yale.kecil" localSheetId="20">#REF!</definedName>
    <definedName name="Yale.kecil" localSheetId="13">#REF!</definedName>
    <definedName name="Yale.kecil" localSheetId="12">#REF!</definedName>
    <definedName name="Yale.kecil" localSheetId="11">#REF!</definedName>
    <definedName name="Yale.kecil" localSheetId="10">#REF!</definedName>
    <definedName name="Yale.kecil" localSheetId="9">#REF!</definedName>
    <definedName name="Yale.kecil" localSheetId="8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21" l="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N29" i="27"/>
  <c r="D3" i="21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C28" i="7" s="1"/>
  <c r="F21" i="7"/>
  <c r="E21" i="7"/>
  <c r="D21" i="7"/>
  <c r="C21" i="7"/>
  <c r="C22" i="7" s="1"/>
  <c r="T26" i="27"/>
  <c r="Q26" i="27"/>
  <c r="Q24" i="27"/>
  <c r="Q23" i="27"/>
  <c r="Q22" i="27"/>
  <c r="Q21" i="27"/>
  <c r="Q20" i="27"/>
  <c r="Q19" i="27"/>
  <c r="N26" i="27"/>
  <c r="N24" i="27"/>
  <c r="N23" i="27"/>
  <c r="N22" i="27"/>
  <c r="N21" i="27"/>
  <c r="N20" i="27"/>
  <c r="N19" i="27"/>
  <c r="AO12" i="27"/>
  <c r="AO13" i="27"/>
  <c r="AO14" i="27"/>
  <c r="AO15" i="27"/>
  <c r="AO16" i="27"/>
  <c r="AO11" i="27"/>
  <c r="AN12" i="27"/>
  <c r="AN13" i="27"/>
  <c r="AN14" i="27"/>
  <c r="AN15" i="27"/>
  <c r="AN16" i="27"/>
  <c r="AN11" i="27"/>
  <c r="AM12" i="27"/>
  <c r="AM13" i="27"/>
  <c r="AM14" i="27"/>
  <c r="AM15" i="27"/>
  <c r="AM16" i="27"/>
  <c r="AM11" i="27"/>
  <c r="AJ12" i="27"/>
  <c r="AJ13" i="27"/>
  <c r="AJ14" i="27"/>
  <c r="AJ15" i="27"/>
  <c r="AJ16" i="27"/>
  <c r="AJ11" i="27"/>
  <c r="AI12" i="27"/>
  <c r="AI13" i="27"/>
  <c r="AI14" i="27"/>
  <c r="AI15" i="27"/>
  <c r="AI16" i="27"/>
  <c r="AI11" i="27"/>
  <c r="AH12" i="27"/>
  <c r="AH13" i="27"/>
  <c r="AH14" i="27"/>
  <c r="AH15" i="27"/>
  <c r="AH16" i="27"/>
  <c r="AH11" i="27"/>
  <c r="AE12" i="27"/>
  <c r="AE13" i="27"/>
  <c r="AE14" i="27"/>
  <c r="AE15" i="27"/>
  <c r="AE16" i="27"/>
  <c r="AE11" i="27"/>
  <c r="AD12" i="27"/>
  <c r="AD13" i="27"/>
  <c r="AD14" i="27"/>
  <c r="AD15" i="27"/>
  <c r="AD16" i="27"/>
  <c r="AD11" i="27"/>
  <c r="AC12" i="27"/>
  <c r="AC13" i="27"/>
  <c r="AC14" i="27"/>
  <c r="AC15" i="27"/>
  <c r="AC16" i="27"/>
  <c r="AC11" i="27"/>
  <c r="Z12" i="27"/>
  <c r="Z13" i="27"/>
  <c r="Z14" i="27"/>
  <c r="Z15" i="27"/>
  <c r="Z16" i="27"/>
  <c r="Z11" i="27"/>
  <c r="Y12" i="27"/>
  <c r="Y13" i="27"/>
  <c r="Y14" i="27"/>
  <c r="Y15" i="27"/>
  <c r="Y16" i="27"/>
  <c r="Y11" i="27"/>
  <c r="X12" i="27"/>
  <c r="X13" i="27"/>
  <c r="X14" i="27"/>
  <c r="X15" i="27"/>
  <c r="X16" i="27"/>
  <c r="X11" i="27"/>
  <c r="U12" i="27"/>
  <c r="U13" i="27"/>
  <c r="U14" i="27"/>
  <c r="U15" i="27"/>
  <c r="U16" i="27"/>
  <c r="U11" i="27"/>
  <c r="T12" i="27"/>
  <c r="T13" i="27"/>
  <c r="T14" i="27"/>
  <c r="T15" i="27"/>
  <c r="T16" i="27"/>
  <c r="T11" i="27"/>
  <c r="S12" i="27"/>
  <c r="S13" i="27"/>
  <c r="S14" i="27"/>
  <c r="S15" i="27"/>
  <c r="S16" i="27"/>
  <c r="S11" i="27"/>
  <c r="P12" i="27"/>
  <c r="P13" i="27"/>
  <c r="P14" i="27"/>
  <c r="P15" i="27"/>
  <c r="P16" i="27"/>
  <c r="P11" i="27"/>
  <c r="O12" i="27"/>
  <c r="O13" i="27"/>
  <c r="O14" i="27"/>
  <c r="O15" i="27"/>
  <c r="O16" i="27"/>
  <c r="O11" i="27"/>
  <c r="N12" i="27"/>
  <c r="N13" i="27"/>
  <c r="N14" i="27"/>
  <c r="N15" i="27"/>
  <c r="N16" i="27"/>
  <c r="N11" i="27"/>
  <c r="AO4" i="27"/>
  <c r="AO5" i="27"/>
  <c r="AO6" i="27"/>
  <c r="AO7" i="27"/>
  <c r="AO8" i="27"/>
  <c r="AO3" i="27"/>
  <c r="AN4" i="27"/>
  <c r="AN5" i="27"/>
  <c r="AN6" i="27"/>
  <c r="AN7" i="27"/>
  <c r="AN8" i="27"/>
  <c r="AN3" i="27"/>
  <c r="AM4" i="27"/>
  <c r="AM5" i="27"/>
  <c r="AM6" i="27"/>
  <c r="AM7" i="27"/>
  <c r="AM8" i="27"/>
  <c r="AM3" i="27"/>
  <c r="AJ4" i="27"/>
  <c r="AJ5" i="27"/>
  <c r="AJ6" i="27"/>
  <c r="AJ7" i="27"/>
  <c r="AJ8" i="27"/>
  <c r="AJ3" i="27"/>
  <c r="AI4" i="27"/>
  <c r="AI5" i="27"/>
  <c r="AI6" i="27"/>
  <c r="AI7" i="27"/>
  <c r="AI8" i="27"/>
  <c r="AI3" i="27"/>
  <c r="AH4" i="27"/>
  <c r="AH5" i="27"/>
  <c r="AH6" i="27"/>
  <c r="AH7" i="27"/>
  <c r="AH8" i="27"/>
  <c r="AH3" i="27"/>
  <c r="AE4" i="27"/>
  <c r="AE5" i="27"/>
  <c r="AE6" i="27"/>
  <c r="AE7" i="27"/>
  <c r="AE8" i="27"/>
  <c r="AE3" i="27"/>
  <c r="AD4" i="27"/>
  <c r="AD5" i="27"/>
  <c r="AD6" i="27"/>
  <c r="AD7" i="27"/>
  <c r="AD8" i="27"/>
  <c r="AD3" i="27"/>
  <c r="AC4" i="27"/>
  <c r="AC5" i="27"/>
  <c r="AC6" i="27"/>
  <c r="AC7" i="27"/>
  <c r="AC8" i="27"/>
  <c r="AC3" i="27"/>
  <c r="Z4" i="27"/>
  <c r="Z5" i="27"/>
  <c r="Z6" i="27"/>
  <c r="Z7" i="27"/>
  <c r="Z8" i="27"/>
  <c r="Z3" i="27"/>
  <c r="Y4" i="27"/>
  <c r="Y5" i="27"/>
  <c r="Y6" i="27"/>
  <c r="Y7" i="27"/>
  <c r="Y8" i="27"/>
  <c r="Y3" i="27"/>
  <c r="X4" i="27"/>
  <c r="X5" i="27"/>
  <c r="X6" i="27"/>
  <c r="X7" i="27"/>
  <c r="X8" i="27"/>
  <c r="X3" i="27"/>
  <c r="U4" i="27"/>
  <c r="U5" i="27"/>
  <c r="U6" i="27"/>
  <c r="U7" i="27"/>
  <c r="U8" i="27"/>
  <c r="U3" i="27"/>
  <c r="T4" i="27"/>
  <c r="T5" i="27"/>
  <c r="T6" i="27"/>
  <c r="T7" i="27"/>
  <c r="T8" i="27"/>
  <c r="T3" i="27"/>
  <c r="S4" i="27"/>
  <c r="S5" i="27"/>
  <c r="S6" i="27"/>
  <c r="S7" i="27"/>
  <c r="S8" i="27"/>
  <c r="S3" i="27"/>
  <c r="P4" i="27"/>
  <c r="P5" i="27"/>
  <c r="P6" i="27"/>
  <c r="P7" i="27"/>
  <c r="P8" i="27"/>
  <c r="P3" i="27"/>
  <c r="O4" i="27"/>
  <c r="O5" i="27"/>
  <c r="O6" i="27"/>
  <c r="O7" i="27"/>
  <c r="O8" i="27"/>
  <c r="O3" i="27"/>
  <c r="N4" i="27"/>
  <c r="N5" i="27"/>
  <c r="N6" i="27"/>
  <c r="N7" i="27"/>
  <c r="N8" i="27"/>
  <c r="N3" i="27"/>
  <c r="J23" i="27"/>
  <c r="I23" i="27"/>
  <c r="J22" i="27"/>
  <c r="I22" i="27"/>
  <c r="J21" i="27"/>
  <c r="I21" i="27"/>
  <c r="J20" i="27"/>
  <c r="I20" i="27"/>
  <c r="J19" i="27"/>
  <c r="I19" i="27"/>
  <c r="J18" i="27"/>
  <c r="I18" i="27"/>
  <c r="J16" i="27"/>
  <c r="I16" i="27"/>
  <c r="J15" i="27"/>
  <c r="I15" i="27"/>
  <c r="J14" i="27"/>
  <c r="I14" i="27"/>
  <c r="J13" i="27"/>
  <c r="I13" i="27"/>
  <c r="J12" i="27"/>
  <c r="I12" i="27"/>
  <c r="J11" i="27"/>
  <c r="I11" i="27"/>
  <c r="J8" i="27"/>
  <c r="I8" i="27"/>
  <c r="J7" i="27"/>
  <c r="I7" i="27"/>
  <c r="J6" i="27"/>
  <c r="I6" i="27"/>
  <c r="J5" i="27"/>
  <c r="I5" i="27"/>
  <c r="J4" i="27"/>
  <c r="I4" i="27"/>
  <c r="J3" i="27"/>
  <c r="I3" i="27"/>
  <c r="C3" i="23"/>
  <c r="D28" i="7"/>
  <c r="N4" i="23" l="1"/>
  <c r="N5" i="23"/>
  <c r="N6" i="23"/>
  <c r="N7" i="23"/>
  <c r="N8" i="23"/>
  <c r="N9" i="23"/>
  <c r="N10" i="23"/>
  <c r="N11" i="23"/>
  <c r="N12" i="23"/>
  <c r="N13" i="23"/>
  <c r="N14" i="23"/>
  <c r="N15" i="23"/>
  <c r="N16" i="23"/>
  <c r="N17" i="23"/>
  <c r="N18" i="23"/>
  <c r="N19" i="23"/>
  <c r="N20" i="23"/>
  <c r="N21" i="23"/>
  <c r="N3" i="23"/>
  <c r="M4" i="23"/>
  <c r="M5" i="23"/>
  <c r="M6" i="23"/>
  <c r="M7" i="23"/>
  <c r="M8" i="23"/>
  <c r="M9" i="23"/>
  <c r="M10" i="23"/>
  <c r="M11" i="23"/>
  <c r="M12" i="23"/>
  <c r="M13" i="23"/>
  <c r="M14" i="23"/>
  <c r="M15" i="23"/>
  <c r="M16" i="23"/>
  <c r="M17" i="23"/>
  <c r="M18" i="23"/>
  <c r="M19" i="23"/>
  <c r="M20" i="23"/>
  <c r="M21" i="23"/>
  <c r="M3" i="23"/>
  <c r="L4" i="23"/>
  <c r="L5" i="23"/>
  <c r="L6" i="23"/>
  <c r="L7" i="23"/>
  <c r="L8" i="23"/>
  <c r="L9" i="23"/>
  <c r="L10" i="23"/>
  <c r="L11" i="23"/>
  <c r="L12" i="23"/>
  <c r="L13" i="23"/>
  <c r="L14" i="23"/>
  <c r="L15" i="23"/>
  <c r="L16" i="23"/>
  <c r="L17" i="23"/>
  <c r="L18" i="23"/>
  <c r="L19" i="23"/>
  <c r="L20" i="23"/>
  <c r="L21" i="23"/>
  <c r="L3" i="23"/>
  <c r="K4" i="23"/>
  <c r="K5" i="23"/>
  <c r="K6" i="23"/>
  <c r="K7" i="23"/>
  <c r="K8" i="23"/>
  <c r="K9" i="23"/>
  <c r="K10" i="23"/>
  <c r="K11" i="23"/>
  <c r="K12" i="23"/>
  <c r="K13" i="23"/>
  <c r="K14" i="23"/>
  <c r="K15" i="23"/>
  <c r="K16" i="23"/>
  <c r="K17" i="23"/>
  <c r="K18" i="23"/>
  <c r="K19" i="23"/>
  <c r="K20" i="23"/>
  <c r="K21" i="23"/>
  <c r="K3" i="23"/>
  <c r="J4" i="23"/>
  <c r="J5" i="23"/>
  <c r="J6" i="23"/>
  <c r="J7" i="23"/>
  <c r="J8" i="23"/>
  <c r="J9" i="23"/>
  <c r="J10" i="23"/>
  <c r="J11" i="23"/>
  <c r="J12" i="23"/>
  <c r="J13" i="23"/>
  <c r="J14" i="23"/>
  <c r="J15" i="23"/>
  <c r="J16" i="23"/>
  <c r="J17" i="23"/>
  <c r="J18" i="23"/>
  <c r="J19" i="23"/>
  <c r="J20" i="23"/>
  <c r="J21" i="23"/>
  <c r="J3" i="23"/>
  <c r="I4" i="23"/>
  <c r="I5" i="23"/>
  <c r="I6" i="23"/>
  <c r="I7" i="23"/>
  <c r="I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3" i="23"/>
  <c r="H4" i="23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3" i="23"/>
  <c r="G4" i="23"/>
  <c r="G5" i="23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3" i="23"/>
  <c r="F4" i="23"/>
  <c r="F5" i="23"/>
  <c r="F6" i="23"/>
  <c r="F7" i="23"/>
  <c r="F8" i="23"/>
  <c r="F9" i="23"/>
  <c r="F10" i="23"/>
  <c r="F11" i="23"/>
  <c r="F12" i="23"/>
  <c r="F13" i="23"/>
  <c r="F14" i="23"/>
  <c r="F15" i="23"/>
  <c r="F16" i="23"/>
  <c r="F17" i="23"/>
  <c r="F18" i="23"/>
  <c r="F19" i="23"/>
  <c r="F20" i="23"/>
  <c r="F21" i="23"/>
  <c r="F3" i="23"/>
  <c r="E4" i="23"/>
  <c r="E5" i="23"/>
  <c r="E6" i="23"/>
  <c r="E7" i="23"/>
  <c r="E8" i="23"/>
  <c r="E9" i="23"/>
  <c r="E10" i="23"/>
  <c r="E11" i="23"/>
  <c r="E12" i="23"/>
  <c r="E13" i="23"/>
  <c r="E14" i="23"/>
  <c r="E15" i="23"/>
  <c r="E16" i="23"/>
  <c r="E17" i="23"/>
  <c r="E18" i="23"/>
  <c r="E19" i="23"/>
  <c r="E20" i="23"/>
  <c r="E21" i="23"/>
  <c r="E3" i="23"/>
  <c r="D4" i="23"/>
  <c r="D5" i="23"/>
  <c r="D6" i="23"/>
  <c r="D7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3" i="23"/>
  <c r="C4" i="23"/>
  <c r="C22" i="23" s="1"/>
  <c r="C5" i="23"/>
  <c r="C6" i="23"/>
  <c r="C7" i="23"/>
  <c r="C8" i="23"/>
  <c r="C9" i="23"/>
  <c r="C10" i="23"/>
  <c r="C11" i="23"/>
  <c r="C12" i="23"/>
  <c r="C13" i="23"/>
  <c r="C14" i="23"/>
  <c r="C15" i="23"/>
  <c r="C16" i="23"/>
  <c r="C17" i="23"/>
  <c r="C18" i="23"/>
  <c r="C19" i="23"/>
  <c r="C20" i="23"/>
  <c r="C21" i="23"/>
  <c r="N4" i="22"/>
  <c r="N5" i="22"/>
  <c r="N6" i="22"/>
  <c r="N7" i="22"/>
  <c r="N8" i="22"/>
  <c r="N9" i="22"/>
  <c r="N10" i="22"/>
  <c r="N11" i="22"/>
  <c r="N12" i="22"/>
  <c r="N13" i="22"/>
  <c r="N14" i="22"/>
  <c r="N15" i="22"/>
  <c r="N16" i="22"/>
  <c r="N17" i="22"/>
  <c r="N18" i="22"/>
  <c r="N19" i="22"/>
  <c r="N20" i="22"/>
  <c r="N21" i="22"/>
  <c r="N3" i="22"/>
  <c r="M4" i="22"/>
  <c r="M5" i="22"/>
  <c r="M6" i="22"/>
  <c r="M7" i="22"/>
  <c r="M8" i="22"/>
  <c r="M9" i="22"/>
  <c r="M10" i="22"/>
  <c r="M11" i="22"/>
  <c r="M12" i="22"/>
  <c r="M13" i="22"/>
  <c r="M14" i="22"/>
  <c r="M15" i="22"/>
  <c r="M16" i="22"/>
  <c r="M17" i="22"/>
  <c r="M18" i="22"/>
  <c r="M19" i="22"/>
  <c r="M20" i="22"/>
  <c r="M21" i="22"/>
  <c r="M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3" i="22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3" i="22"/>
  <c r="J4" i="22"/>
  <c r="J5" i="22"/>
  <c r="J6" i="22"/>
  <c r="J7" i="22"/>
  <c r="J8" i="22"/>
  <c r="J9" i="22"/>
  <c r="J10" i="22"/>
  <c r="J11" i="22"/>
  <c r="J12" i="22"/>
  <c r="J13" i="22"/>
  <c r="J14" i="22"/>
  <c r="J15" i="22"/>
  <c r="J16" i="22"/>
  <c r="J17" i="22"/>
  <c r="J18" i="22"/>
  <c r="J19" i="22"/>
  <c r="J20" i="22"/>
  <c r="J21" i="22"/>
  <c r="J3" i="22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3" i="22"/>
  <c r="H4" i="22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3" i="22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3" i="22"/>
  <c r="F4" i="22"/>
  <c r="F5" i="22"/>
  <c r="F6" i="22"/>
  <c r="F7" i="22"/>
  <c r="F8" i="22"/>
  <c r="F9" i="22"/>
  <c r="F10" i="22"/>
  <c r="F11" i="22"/>
  <c r="F12" i="22"/>
  <c r="F13" i="22"/>
  <c r="F14" i="22"/>
  <c r="F15" i="22"/>
  <c r="F16" i="22"/>
  <c r="F17" i="22"/>
  <c r="F18" i="22"/>
  <c r="F19" i="22"/>
  <c r="F20" i="22"/>
  <c r="F21" i="22"/>
  <c r="F3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3" i="22"/>
  <c r="D4" i="22"/>
  <c r="D5" i="22"/>
  <c r="D6" i="22"/>
  <c r="D7" i="22"/>
  <c r="D8" i="22"/>
  <c r="D9" i="22"/>
  <c r="D10" i="22"/>
  <c r="D11" i="22"/>
  <c r="D12" i="22"/>
  <c r="D13" i="22"/>
  <c r="D14" i="22"/>
  <c r="D15" i="22"/>
  <c r="D16" i="22"/>
  <c r="D17" i="22"/>
  <c r="D18" i="22"/>
  <c r="D19" i="22"/>
  <c r="D20" i="22"/>
  <c r="D21" i="22"/>
  <c r="D3" i="22"/>
  <c r="C4" i="22"/>
  <c r="C5" i="22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3" i="22"/>
  <c r="N4" i="21"/>
  <c r="N5" i="21"/>
  <c r="N6" i="21"/>
  <c r="N7" i="21"/>
  <c r="N8" i="21"/>
  <c r="N9" i="21"/>
  <c r="N10" i="21"/>
  <c r="N11" i="21"/>
  <c r="N12" i="21"/>
  <c r="N13" i="21"/>
  <c r="N14" i="21"/>
  <c r="N15" i="21"/>
  <c r="N16" i="21"/>
  <c r="N17" i="21"/>
  <c r="N18" i="21"/>
  <c r="N19" i="21"/>
  <c r="N20" i="21"/>
  <c r="N21" i="21"/>
  <c r="N3" i="21"/>
  <c r="L4" i="21"/>
  <c r="L5" i="21"/>
  <c r="L6" i="21"/>
  <c r="L7" i="21"/>
  <c r="L8" i="21"/>
  <c r="L9" i="21"/>
  <c r="L10" i="21"/>
  <c r="L11" i="21"/>
  <c r="L12" i="21"/>
  <c r="L13" i="21"/>
  <c r="L14" i="21"/>
  <c r="L15" i="21"/>
  <c r="L16" i="21"/>
  <c r="L17" i="21"/>
  <c r="L18" i="21"/>
  <c r="L19" i="21"/>
  <c r="L20" i="21"/>
  <c r="L21" i="21"/>
  <c r="L3" i="21"/>
  <c r="J4" i="21"/>
  <c r="J5" i="21"/>
  <c r="J6" i="21"/>
  <c r="J7" i="21"/>
  <c r="J8" i="21"/>
  <c r="J9" i="21"/>
  <c r="J10" i="21"/>
  <c r="J11" i="21"/>
  <c r="J12" i="21"/>
  <c r="J13" i="21"/>
  <c r="J14" i="21"/>
  <c r="J15" i="21"/>
  <c r="J16" i="21"/>
  <c r="J17" i="21"/>
  <c r="J18" i="21"/>
  <c r="J19" i="21"/>
  <c r="J20" i="21"/>
  <c r="J21" i="21"/>
  <c r="J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3" i="21"/>
  <c r="M4" i="21"/>
  <c r="M5" i="21"/>
  <c r="M6" i="21"/>
  <c r="M7" i="21"/>
  <c r="M8" i="21"/>
  <c r="M9" i="21"/>
  <c r="M10" i="21"/>
  <c r="M11" i="21"/>
  <c r="M12" i="21"/>
  <c r="M13" i="21"/>
  <c r="M14" i="21"/>
  <c r="M15" i="21"/>
  <c r="M16" i="21"/>
  <c r="M17" i="21"/>
  <c r="M18" i="21"/>
  <c r="M19" i="21"/>
  <c r="M20" i="21"/>
  <c r="M21" i="21"/>
  <c r="M3" i="21"/>
  <c r="K4" i="21"/>
  <c r="K5" i="21"/>
  <c r="K6" i="21"/>
  <c r="K7" i="21"/>
  <c r="K8" i="21"/>
  <c r="K9" i="21"/>
  <c r="K10" i="21"/>
  <c r="K11" i="21"/>
  <c r="K12" i="21"/>
  <c r="K13" i="21"/>
  <c r="K14" i="21"/>
  <c r="K15" i="21"/>
  <c r="K16" i="21"/>
  <c r="K17" i="21"/>
  <c r="K18" i="21"/>
  <c r="K19" i="21"/>
  <c r="K20" i="21"/>
  <c r="K21" i="21"/>
  <c r="K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3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3" i="21"/>
  <c r="C4" i="21"/>
  <c r="C5" i="21"/>
  <c r="C6" i="21"/>
  <c r="C7" i="21"/>
  <c r="C8" i="21"/>
  <c r="C9" i="21"/>
  <c r="C10" i="21"/>
  <c r="C11" i="21"/>
  <c r="C12" i="21"/>
  <c r="C13" i="21"/>
  <c r="C14" i="21"/>
  <c r="C15" i="21"/>
  <c r="C16" i="21"/>
  <c r="C17" i="21"/>
  <c r="C18" i="21"/>
  <c r="C19" i="21"/>
  <c r="C20" i="21"/>
  <c r="C21" i="21"/>
  <c r="C3" i="21"/>
  <c r="N20" i="24" l="1"/>
  <c r="B90" i="25" s="1"/>
  <c r="J20" i="24"/>
  <c r="B66" i="25" s="1"/>
  <c r="F20" i="24"/>
  <c r="B43" i="25" s="1"/>
  <c r="V20" i="24"/>
  <c r="B137" i="25" s="1"/>
  <c r="R20" i="24"/>
  <c r="B113" i="25" s="1"/>
  <c r="B20" i="24"/>
  <c r="B20" i="25" s="1"/>
  <c r="V30" i="24"/>
  <c r="F124" i="25" s="1"/>
  <c r="F30" i="24"/>
  <c r="F30" i="25" s="1"/>
  <c r="J30" i="24"/>
  <c r="F53" i="25" s="1"/>
  <c r="B30" i="24"/>
  <c r="F7" i="25" s="1"/>
  <c r="R30" i="24"/>
  <c r="F100" i="25" s="1"/>
  <c r="N30" i="24"/>
  <c r="F77" i="25" s="1"/>
  <c r="V64" i="24"/>
  <c r="J135" i="25" s="1"/>
  <c r="N64" i="24"/>
  <c r="J88" i="25" s="1"/>
  <c r="F64" i="24"/>
  <c r="J41" i="25" s="1"/>
  <c r="R64" i="24"/>
  <c r="J111" i="25" s="1"/>
  <c r="J64" i="24"/>
  <c r="J64" i="25" s="1"/>
  <c r="B64" i="24"/>
  <c r="J18" i="25" s="1"/>
  <c r="V56" i="24"/>
  <c r="J127" i="25" s="1"/>
  <c r="N56" i="24"/>
  <c r="J80" i="25" s="1"/>
  <c r="F56" i="24"/>
  <c r="J33" i="25" s="1"/>
  <c r="R56" i="24"/>
  <c r="J103" i="25" s="1"/>
  <c r="J56" i="24"/>
  <c r="J56" i="25" s="1"/>
  <c r="B56" i="24"/>
  <c r="J10" i="25" s="1"/>
  <c r="R72" i="24"/>
  <c r="B72" i="24"/>
  <c r="N72" i="24"/>
  <c r="J72" i="24"/>
  <c r="V72" i="24"/>
  <c r="F72" i="24"/>
  <c r="R83" i="24"/>
  <c r="N106" i="25" s="1"/>
  <c r="J83" i="24"/>
  <c r="N59" i="25" s="1"/>
  <c r="B83" i="24"/>
  <c r="N13" i="25" s="1"/>
  <c r="N83" i="24"/>
  <c r="N83" i="25" s="1"/>
  <c r="F83" i="24"/>
  <c r="N36" i="25" s="1"/>
  <c r="V83" i="24"/>
  <c r="N130" i="25" s="1"/>
  <c r="J75" i="24"/>
  <c r="N51" i="25" s="1"/>
  <c r="B75" i="24"/>
  <c r="N5" i="25" s="1"/>
  <c r="V75" i="24"/>
  <c r="N122" i="25" s="1"/>
  <c r="R75" i="24"/>
  <c r="N98" i="25" s="1"/>
  <c r="F75" i="24"/>
  <c r="N28" i="25" s="1"/>
  <c r="N75" i="24"/>
  <c r="N75" i="25" s="1"/>
  <c r="R109" i="24"/>
  <c r="R109" i="25" s="1"/>
  <c r="V109" i="24"/>
  <c r="R133" i="25" s="1"/>
  <c r="F109" i="24"/>
  <c r="R39" i="25" s="1"/>
  <c r="N109" i="24"/>
  <c r="R86" i="25" s="1"/>
  <c r="B109" i="24"/>
  <c r="R16" i="25" s="1"/>
  <c r="J109" i="24"/>
  <c r="R62" i="25" s="1"/>
  <c r="V101" i="24"/>
  <c r="R125" i="25" s="1"/>
  <c r="N101" i="24"/>
  <c r="R78" i="25" s="1"/>
  <c r="B101" i="24"/>
  <c r="R8" i="25" s="1"/>
  <c r="J101" i="24"/>
  <c r="R54" i="25" s="1"/>
  <c r="R101" i="24"/>
  <c r="R101" i="25" s="1"/>
  <c r="F101" i="24"/>
  <c r="R31" i="25" s="1"/>
  <c r="R136" i="24"/>
  <c r="V112" i="25" s="1"/>
  <c r="J136" i="24"/>
  <c r="V65" i="25" s="1"/>
  <c r="B136" i="24"/>
  <c r="V19" i="25" s="1"/>
  <c r="V136" i="24"/>
  <c r="V136" i="25" s="1"/>
  <c r="N136" i="24"/>
  <c r="V89" i="25" s="1"/>
  <c r="F136" i="24"/>
  <c r="V42" i="25" s="1"/>
  <c r="R128" i="24"/>
  <c r="V104" i="25" s="1"/>
  <c r="J128" i="24"/>
  <c r="V57" i="25" s="1"/>
  <c r="B128" i="24"/>
  <c r="V11" i="25" s="1"/>
  <c r="N128" i="24"/>
  <c r="V81" i="25" s="1"/>
  <c r="V128" i="24"/>
  <c r="V128" i="25" s="1"/>
  <c r="F128" i="24"/>
  <c r="V34" i="25" s="1"/>
  <c r="R120" i="24"/>
  <c r="V96" i="25" s="1"/>
  <c r="J120" i="24"/>
  <c r="V49" i="25" s="1"/>
  <c r="B120" i="24"/>
  <c r="V3" i="25" s="1"/>
  <c r="F120" i="24"/>
  <c r="V26" i="25" s="1"/>
  <c r="V120" i="24"/>
  <c r="V120" i="25" s="1"/>
  <c r="N120" i="24"/>
  <c r="V73" i="25" s="1"/>
  <c r="W14" i="24"/>
  <c r="C131" i="25" s="1"/>
  <c r="O14" i="24"/>
  <c r="C84" i="25" s="1"/>
  <c r="G14" i="24"/>
  <c r="C37" i="25" s="1"/>
  <c r="C14" i="24"/>
  <c r="C14" i="25" s="1"/>
  <c r="S14" i="24"/>
  <c r="C107" i="25" s="1"/>
  <c r="K14" i="24"/>
  <c r="C60" i="25" s="1"/>
  <c r="W6" i="24"/>
  <c r="C123" i="25" s="1"/>
  <c r="O6" i="24"/>
  <c r="C76" i="25" s="1"/>
  <c r="G6" i="24"/>
  <c r="C29" i="25" s="1"/>
  <c r="C6" i="24"/>
  <c r="C6" i="25" s="1"/>
  <c r="K6" i="24"/>
  <c r="C52" i="25" s="1"/>
  <c r="S6" i="24"/>
  <c r="C99" i="25" s="1"/>
  <c r="S40" i="24"/>
  <c r="G110" i="25" s="1"/>
  <c r="C40" i="24"/>
  <c r="G17" i="25" s="1"/>
  <c r="W40" i="24"/>
  <c r="G134" i="25" s="1"/>
  <c r="G40" i="24"/>
  <c r="G40" i="25" s="1"/>
  <c r="O40" i="24"/>
  <c r="G87" i="25" s="1"/>
  <c r="K40" i="24"/>
  <c r="G63" i="25" s="1"/>
  <c r="S32" i="24"/>
  <c r="G102" i="25" s="1"/>
  <c r="C32" i="24"/>
  <c r="G9" i="25" s="1"/>
  <c r="W32" i="24"/>
  <c r="G126" i="25" s="1"/>
  <c r="G32" i="24"/>
  <c r="G32" i="25" s="1"/>
  <c r="O32" i="24"/>
  <c r="G79" i="25" s="1"/>
  <c r="K32" i="24"/>
  <c r="G55" i="25" s="1"/>
  <c r="S66" i="24"/>
  <c r="K113" i="25" s="1"/>
  <c r="K66" i="24"/>
  <c r="K66" i="25" s="1"/>
  <c r="C66" i="24"/>
  <c r="K20" i="25" s="1"/>
  <c r="W66" i="24"/>
  <c r="K137" i="25" s="1"/>
  <c r="O66" i="24"/>
  <c r="K90" i="25" s="1"/>
  <c r="G66" i="24"/>
  <c r="K43" i="25" s="1"/>
  <c r="S58" i="24"/>
  <c r="K105" i="25" s="1"/>
  <c r="K58" i="24"/>
  <c r="K58" i="25" s="1"/>
  <c r="C58" i="24"/>
  <c r="K12" i="25" s="1"/>
  <c r="W58" i="24"/>
  <c r="K129" i="25" s="1"/>
  <c r="O58" i="24"/>
  <c r="K82" i="25" s="1"/>
  <c r="G58" i="24"/>
  <c r="K35" i="25" s="1"/>
  <c r="S50" i="24"/>
  <c r="K97" i="25" s="1"/>
  <c r="K50" i="24"/>
  <c r="K50" i="25" s="1"/>
  <c r="C50" i="24"/>
  <c r="K4" i="25" s="1"/>
  <c r="W50" i="24"/>
  <c r="K121" i="25" s="1"/>
  <c r="O50" i="24"/>
  <c r="K74" i="25" s="1"/>
  <c r="G50" i="24"/>
  <c r="K27" i="25" s="1"/>
  <c r="S85" i="24"/>
  <c r="O108" i="25" s="1"/>
  <c r="W85" i="24"/>
  <c r="O132" i="25" s="1"/>
  <c r="O85" i="24"/>
  <c r="O85" i="25" s="1"/>
  <c r="G85" i="24"/>
  <c r="O38" i="25" s="1"/>
  <c r="K85" i="24"/>
  <c r="O61" i="25" s="1"/>
  <c r="C85" i="24"/>
  <c r="O15" i="25" s="1"/>
  <c r="S77" i="24"/>
  <c r="O100" i="25" s="1"/>
  <c r="W77" i="24"/>
  <c r="O124" i="25" s="1"/>
  <c r="O77" i="24"/>
  <c r="O77" i="25" s="1"/>
  <c r="G77" i="24"/>
  <c r="O30" i="25" s="1"/>
  <c r="K77" i="24"/>
  <c r="O53" i="25" s="1"/>
  <c r="C77" i="24"/>
  <c r="O7" i="25" s="1"/>
  <c r="W111" i="24"/>
  <c r="S135" i="25" s="1"/>
  <c r="O111" i="24"/>
  <c r="S88" i="25" s="1"/>
  <c r="C111" i="24"/>
  <c r="S18" i="25" s="1"/>
  <c r="K111" i="24"/>
  <c r="S64" i="25" s="1"/>
  <c r="S111" i="24"/>
  <c r="S111" i="25" s="1"/>
  <c r="G111" i="24"/>
  <c r="S41" i="25" s="1"/>
  <c r="W103" i="24"/>
  <c r="S127" i="25" s="1"/>
  <c r="S103" i="24"/>
  <c r="S103" i="25" s="1"/>
  <c r="G103" i="24"/>
  <c r="S33" i="25" s="1"/>
  <c r="O103" i="24"/>
  <c r="S80" i="25" s="1"/>
  <c r="C103" i="24"/>
  <c r="S10" i="25" s="1"/>
  <c r="K103" i="24"/>
  <c r="S56" i="25" s="1"/>
  <c r="G119" i="24"/>
  <c r="C119" i="24"/>
  <c r="W119" i="24"/>
  <c r="S119" i="24"/>
  <c r="O119" i="24"/>
  <c r="K119" i="24"/>
  <c r="W130" i="24"/>
  <c r="W130" i="25" s="1"/>
  <c r="O130" i="24"/>
  <c r="W83" i="25" s="1"/>
  <c r="G130" i="24"/>
  <c r="W36" i="25" s="1"/>
  <c r="S130" i="24"/>
  <c r="W106" i="25" s="1"/>
  <c r="K130" i="24"/>
  <c r="W59" i="25" s="1"/>
  <c r="C130" i="24"/>
  <c r="W13" i="25" s="1"/>
  <c r="W122" i="24"/>
  <c r="W122" i="25" s="1"/>
  <c r="O122" i="24"/>
  <c r="W75" i="25" s="1"/>
  <c r="G122" i="24"/>
  <c r="W28" i="25" s="1"/>
  <c r="S122" i="24"/>
  <c r="W98" i="25" s="1"/>
  <c r="K122" i="24"/>
  <c r="W51" i="25" s="1"/>
  <c r="C122" i="24"/>
  <c r="W5" i="25" s="1"/>
  <c r="K22" i="22"/>
  <c r="N12" i="24"/>
  <c r="B82" i="25" s="1"/>
  <c r="J12" i="24"/>
  <c r="B58" i="25" s="1"/>
  <c r="F12" i="24"/>
  <c r="B35" i="25" s="1"/>
  <c r="R12" i="24"/>
  <c r="B105" i="25" s="1"/>
  <c r="V12" i="24"/>
  <c r="B129" i="25" s="1"/>
  <c r="B12" i="24"/>
  <c r="B12" i="25" s="1"/>
  <c r="B3" i="24"/>
  <c r="B3" i="25" s="1"/>
  <c r="F3" i="24"/>
  <c r="B26" i="25" s="1"/>
  <c r="N3" i="24"/>
  <c r="B73" i="25" s="1"/>
  <c r="J3" i="24"/>
  <c r="B49" i="25" s="1"/>
  <c r="V3" i="24"/>
  <c r="B120" i="25" s="1"/>
  <c r="R3" i="24"/>
  <c r="B96" i="25" s="1"/>
  <c r="R74" i="24"/>
  <c r="N97" i="25" s="1"/>
  <c r="F74" i="24"/>
  <c r="N27" i="25" s="1"/>
  <c r="N74" i="24"/>
  <c r="N74" i="25" s="1"/>
  <c r="V74" i="24"/>
  <c r="N121" i="25" s="1"/>
  <c r="J74" i="24"/>
  <c r="N50" i="25" s="1"/>
  <c r="B74" i="24"/>
  <c r="N4" i="25" s="1"/>
  <c r="K13" i="24"/>
  <c r="C59" i="25" s="1"/>
  <c r="W13" i="24"/>
  <c r="C130" i="25" s="1"/>
  <c r="S13" i="24"/>
  <c r="C106" i="25" s="1"/>
  <c r="C13" i="24"/>
  <c r="C13" i="25" s="1"/>
  <c r="O13" i="24"/>
  <c r="C83" i="25" s="1"/>
  <c r="G13" i="24"/>
  <c r="C36" i="25" s="1"/>
  <c r="S57" i="24"/>
  <c r="K104" i="25" s="1"/>
  <c r="K57" i="24"/>
  <c r="K57" i="25" s="1"/>
  <c r="C57" i="24"/>
  <c r="K11" i="25" s="1"/>
  <c r="W57" i="24"/>
  <c r="K128" i="25" s="1"/>
  <c r="O57" i="24"/>
  <c r="K81" i="25" s="1"/>
  <c r="G57" i="24"/>
  <c r="K34" i="25" s="1"/>
  <c r="S121" i="24"/>
  <c r="W97" i="25" s="1"/>
  <c r="K121" i="24"/>
  <c r="W50" i="25" s="1"/>
  <c r="C121" i="24"/>
  <c r="W4" i="25" s="1"/>
  <c r="W121" i="24"/>
  <c r="W121" i="25" s="1"/>
  <c r="O121" i="24"/>
  <c r="W74" i="25" s="1"/>
  <c r="G121" i="24"/>
  <c r="W27" i="25" s="1"/>
  <c r="J10" i="24"/>
  <c r="B56" i="25" s="1"/>
  <c r="R10" i="24"/>
  <c r="B103" i="25" s="1"/>
  <c r="V10" i="24"/>
  <c r="B127" i="25" s="1"/>
  <c r="N10" i="24"/>
  <c r="B80" i="25" s="1"/>
  <c r="F10" i="24"/>
  <c r="B33" i="25" s="1"/>
  <c r="B10" i="24"/>
  <c r="B10" i="25" s="1"/>
  <c r="R62" i="24"/>
  <c r="J109" i="25" s="1"/>
  <c r="J62" i="24"/>
  <c r="J62" i="25" s="1"/>
  <c r="N62" i="24"/>
  <c r="J86" i="25" s="1"/>
  <c r="V62" i="24"/>
  <c r="J133" i="25" s="1"/>
  <c r="F62" i="24"/>
  <c r="J39" i="25" s="1"/>
  <c r="B62" i="24"/>
  <c r="J16" i="25" s="1"/>
  <c r="V107" i="24"/>
  <c r="R131" i="25" s="1"/>
  <c r="N107" i="24"/>
  <c r="R84" i="25" s="1"/>
  <c r="B107" i="24"/>
  <c r="R14" i="25" s="1"/>
  <c r="J107" i="24"/>
  <c r="R60" i="25" s="1"/>
  <c r="F107" i="24"/>
  <c r="R37" i="25" s="1"/>
  <c r="R107" i="24"/>
  <c r="R107" i="25" s="1"/>
  <c r="C20" i="24"/>
  <c r="C20" i="25" s="1"/>
  <c r="S20" i="24"/>
  <c r="C113" i="25" s="1"/>
  <c r="O20" i="24"/>
  <c r="C90" i="25" s="1"/>
  <c r="K20" i="24"/>
  <c r="C66" i="25" s="1"/>
  <c r="W20" i="24"/>
  <c r="C137" i="25" s="1"/>
  <c r="G20" i="24"/>
  <c r="C43" i="25" s="1"/>
  <c r="C4" i="24"/>
  <c r="C4" i="25" s="1"/>
  <c r="S4" i="24"/>
  <c r="C97" i="25" s="1"/>
  <c r="W4" i="24"/>
  <c r="C121" i="25" s="1"/>
  <c r="G4" i="24"/>
  <c r="C27" i="25" s="1"/>
  <c r="O4" i="24"/>
  <c r="C74" i="25" s="1"/>
  <c r="K4" i="24"/>
  <c r="C50" i="25" s="1"/>
  <c r="S72" i="24"/>
  <c r="C72" i="24"/>
  <c r="O72" i="24"/>
  <c r="K72" i="24"/>
  <c r="G72" i="24"/>
  <c r="W72" i="24"/>
  <c r="W75" i="24"/>
  <c r="O122" i="25" s="1"/>
  <c r="O75" i="24"/>
  <c r="O75" i="25" s="1"/>
  <c r="S75" i="24"/>
  <c r="O98" i="25" s="1"/>
  <c r="K75" i="24"/>
  <c r="O51" i="25" s="1"/>
  <c r="C75" i="24"/>
  <c r="O5" i="25" s="1"/>
  <c r="G75" i="24"/>
  <c r="O28" i="25" s="1"/>
  <c r="S101" i="24"/>
  <c r="S101" i="25" s="1"/>
  <c r="W101" i="24"/>
  <c r="S125" i="25" s="1"/>
  <c r="O101" i="24"/>
  <c r="S78" i="25" s="1"/>
  <c r="C101" i="24"/>
  <c r="S8" i="25" s="1"/>
  <c r="K101" i="24"/>
  <c r="S54" i="25" s="1"/>
  <c r="G101" i="24"/>
  <c r="S31" i="25" s="1"/>
  <c r="S128" i="24"/>
  <c r="W104" i="25" s="1"/>
  <c r="K128" i="24"/>
  <c r="W57" i="25" s="1"/>
  <c r="C128" i="24"/>
  <c r="W11" i="25" s="1"/>
  <c r="W128" i="24"/>
  <c r="W128" i="25" s="1"/>
  <c r="O128" i="24"/>
  <c r="W81" i="25" s="1"/>
  <c r="G128" i="24"/>
  <c r="W34" i="25" s="1"/>
  <c r="K22" i="23"/>
  <c r="M22" i="23"/>
  <c r="S110" i="24"/>
  <c r="S110" i="25" s="1"/>
  <c r="K110" i="24"/>
  <c r="S63" i="25" s="1"/>
  <c r="C110" i="24"/>
  <c r="S17" i="25" s="1"/>
  <c r="W110" i="24"/>
  <c r="S134" i="25" s="1"/>
  <c r="O110" i="24"/>
  <c r="S87" i="25" s="1"/>
  <c r="G110" i="24"/>
  <c r="S40" i="25" s="1"/>
  <c r="N28" i="24"/>
  <c r="F75" i="25" s="1"/>
  <c r="J28" i="24"/>
  <c r="F51" i="25" s="1"/>
  <c r="F28" i="24"/>
  <c r="F28" i="25" s="1"/>
  <c r="B28" i="24"/>
  <c r="F5" i="25" s="1"/>
  <c r="V28" i="24"/>
  <c r="F122" i="25" s="1"/>
  <c r="R28" i="24"/>
  <c r="F98" i="25" s="1"/>
  <c r="F73" i="24"/>
  <c r="N26" i="25" s="1"/>
  <c r="R73" i="24"/>
  <c r="N96" i="25" s="1"/>
  <c r="N73" i="24"/>
  <c r="N73" i="25" s="1"/>
  <c r="J73" i="24"/>
  <c r="N49" i="25" s="1"/>
  <c r="B73" i="24"/>
  <c r="N3" i="25" s="1"/>
  <c r="V73" i="24"/>
  <c r="N120" i="25" s="1"/>
  <c r="C12" i="24"/>
  <c r="C12" i="25" s="1"/>
  <c r="S12" i="24"/>
  <c r="C105" i="25" s="1"/>
  <c r="W12" i="24"/>
  <c r="C129" i="25" s="1"/>
  <c r="O12" i="24"/>
  <c r="C82" i="25" s="1"/>
  <c r="K12" i="24"/>
  <c r="C58" i="25" s="1"/>
  <c r="G12" i="24"/>
  <c r="C35" i="25" s="1"/>
  <c r="K30" i="24"/>
  <c r="G53" i="25" s="1"/>
  <c r="O30" i="24"/>
  <c r="G77" i="25" s="1"/>
  <c r="C30" i="24"/>
  <c r="G7" i="25" s="1"/>
  <c r="G30" i="24"/>
  <c r="G30" i="25" s="1"/>
  <c r="W30" i="24"/>
  <c r="G124" i="25" s="1"/>
  <c r="S30" i="24"/>
  <c r="G100" i="25" s="1"/>
  <c r="W83" i="24"/>
  <c r="O130" i="25" s="1"/>
  <c r="S83" i="24"/>
  <c r="O106" i="25" s="1"/>
  <c r="K83" i="24"/>
  <c r="O59" i="25" s="1"/>
  <c r="C83" i="24"/>
  <c r="O13" i="25" s="1"/>
  <c r="O83" i="24"/>
  <c r="O83" i="25" s="1"/>
  <c r="G83" i="24"/>
  <c r="O36" i="25" s="1"/>
  <c r="K109" i="24"/>
  <c r="S62" i="25" s="1"/>
  <c r="S109" i="24"/>
  <c r="S109" i="25" s="1"/>
  <c r="W109" i="24"/>
  <c r="S133" i="25" s="1"/>
  <c r="G109" i="24"/>
  <c r="S39" i="25" s="1"/>
  <c r="O109" i="24"/>
  <c r="S86" i="25" s="1"/>
  <c r="C109" i="24"/>
  <c r="S16" i="25" s="1"/>
  <c r="S136" i="24"/>
  <c r="W112" i="25" s="1"/>
  <c r="K136" i="24"/>
  <c r="W65" i="25" s="1"/>
  <c r="C136" i="24"/>
  <c r="W19" i="25" s="1"/>
  <c r="W136" i="24"/>
  <c r="W136" i="25" s="1"/>
  <c r="O136" i="24"/>
  <c r="W89" i="25" s="1"/>
  <c r="G136" i="24"/>
  <c r="W42" i="25" s="1"/>
  <c r="N22" i="21"/>
  <c r="S120" i="24"/>
  <c r="W96" i="25" s="1"/>
  <c r="K120" i="24"/>
  <c r="W49" i="25" s="1"/>
  <c r="C120" i="24"/>
  <c r="W3" i="25" s="1"/>
  <c r="W120" i="24"/>
  <c r="W120" i="25" s="1"/>
  <c r="O120" i="24"/>
  <c r="W73" i="25" s="1"/>
  <c r="G120" i="24"/>
  <c r="W26" i="25" s="1"/>
  <c r="B17" i="24"/>
  <c r="B17" i="25" s="1"/>
  <c r="F17" i="24"/>
  <c r="B40" i="25" s="1"/>
  <c r="V17" i="24"/>
  <c r="B134" i="25" s="1"/>
  <c r="N17" i="24"/>
  <c r="B87" i="25" s="1"/>
  <c r="J17" i="24"/>
  <c r="B63" i="25" s="1"/>
  <c r="R17" i="24"/>
  <c r="B110" i="25" s="1"/>
  <c r="B9" i="24"/>
  <c r="B9" i="25" s="1"/>
  <c r="F9" i="24"/>
  <c r="B32" i="25" s="1"/>
  <c r="V9" i="24"/>
  <c r="B126" i="25" s="1"/>
  <c r="N9" i="24"/>
  <c r="B79" i="25" s="1"/>
  <c r="J9" i="24"/>
  <c r="B55" i="25" s="1"/>
  <c r="R9" i="24"/>
  <c r="B102" i="25" s="1"/>
  <c r="R43" i="24"/>
  <c r="F113" i="25" s="1"/>
  <c r="B43" i="24"/>
  <c r="F20" i="25" s="1"/>
  <c r="N43" i="24"/>
  <c r="F90" i="25" s="1"/>
  <c r="J43" i="24"/>
  <c r="F66" i="25" s="1"/>
  <c r="F43" i="24"/>
  <c r="F43" i="25" s="1"/>
  <c r="V43" i="24"/>
  <c r="F137" i="25" s="1"/>
  <c r="R35" i="24"/>
  <c r="F105" i="25" s="1"/>
  <c r="B35" i="24"/>
  <c r="F12" i="25" s="1"/>
  <c r="N35" i="24"/>
  <c r="F82" i="25" s="1"/>
  <c r="J35" i="24"/>
  <c r="F58" i="25" s="1"/>
  <c r="F35" i="24"/>
  <c r="F35" i="25" s="1"/>
  <c r="V35" i="24"/>
  <c r="F129" i="25" s="1"/>
  <c r="R27" i="24"/>
  <c r="F97" i="25" s="1"/>
  <c r="B27" i="24"/>
  <c r="F4" i="25" s="1"/>
  <c r="N27" i="24"/>
  <c r="F74" i="25" s="1"/>
  <c r="J27" i="24"/>
  <c r="F50" i="25" s="1"/>
  <c r="F27" i="24"/>
  <c r="F27" i="25" s="1"/>
  <c r="V27" i="24"/>
  <c r="F121" i="25" s="1"/>
  <c r="V61" i="24"/>
  <c r="J132" i="25" s="1"/>
  <c r="N61" i="24"/>
  <c r="J85" i="25" s="1"/>
  <c r="F61" i="24"/>
  <c r="J38" i="25" s="1"/>
  <c r="R61" i="24"/>
  <c r="J108" i="25" s="1"/>
  <c r="J61" i="24"/>
  <c r="J61" i="25" s="1"/>
  <c r="B61" i="24"/>
  <c r="J15" i="25" s="1"/>
  <c r="V53" i="24"/>
  <c r="J124" i="25" s="1"/>
  <c r="N53" i="24"/>
  <c r="J77" i="25" s="1"/>
  <c r="F53" i="24"/>
  <c r="J30" i="25" s="1"/>
  <c r="R53" i="24"/>
  <c r="J100" i="25" s="1"/>
  <c r="J53" i="24"/>
  <c r="J53" i="25" s="1"/>
  <c r="B53" i="24"/>
  <c r="J7" i="25" s="1"/>
  <c r="J88" i="24"/>
  <c r="N64" i="25" s="1"/>
  <c r="B88" i="24"/>
  <c r="N18" i="25" s="1"/>
  <c r="V88" i="24"/>
  <c r="N135" i="25" s="1"/>
  <c r="R88" i="24"/>
  <c r="N111" i="25" s="1"/>
  <c r="N88" i="24"/>
  <c r="N88" i="25" s="1"/>
  <c r="F88" i="24"/>
  <c r="N41" i="25" s="1"/>
  <c r="V80" i="24"/>
  <c r="N127" i="25" s="1"/>
  <c r="J80" i="24"/>
  <c r="N56" i="25" s="1"/>
  <c r="B80" i="24"/>
  <c r="N10" i="25" s="1"/>
  <c r="R80" i="24"/>
  <c r="N103" i="25" s="1"/>
  <c r="F80" i="24"/>
  <c r="N33" i="25" s="1"/>
  <c r="N80" i="24"/>
  <c r="N80" i="25" s="1"/>
  <c r="V95" i="24"/>
  <c r="F95" i="24"/>
  <c r="N95" i="24"/>
  <c r="J95" i="24"/>
  <c r="B95" i="24"/>
  <c r="R95" i="24"/>
  <c r="N106" i="24"/>
  <c r="R83" i="25" s="1"/>
  <c r="B106" i="24"/>
  <c r="R13" i="25" s="1"/>
  <c r="J106" i="24"/>
  <c r="R59" i="25" s="1"/>
  <c r="R106" i="24"/>
  <c r="R106" i="25" s="1"/>
  <c r="V106" i="24"/>
  <c r="R130" i="25" s="1"/>
  <c r="F106" i="24"/>
  <c r="R36" i="25" s="1"/>
  <c r="F98" i="24"/>
  <c r="R28" i="25" s="1"/>
  <c r="R98" i="24"/>
  <c r="R98" i="25" s="1"/>
  <c r="N98" i="24"/>
  <c r="R75" i="25" s="1"/>
  <c r="V98" i="24"/>
  <c r="R122" i="25" s="1"/>
  <c r="B98" i="24"/>
  <c r="R5" i="25" s="1"/>
  <c r="J98" i="24"/>
  <c r="R51" i="25" s="1"/>
  <c r="R133" i="24"/>
  <c r="V109" i="25" s="1"/>
  <c r="V133" i="24"/>
  <c r="V133" i="25" s="1"/>
  <c r="F133" i="24"/>
  <c r="V39" i="25" s="1"/>
  <c r="N133" i="24"/>
  <c r="V86" i="25" s="1"/>
  <c r="J133" i="24"/>
  <c r="V62" i="25" s="1"/>
  <c r="B133" i="24"/>
  <c r="V16" i="25" s="1"/>
  <c r="R125" i="24"/>
  <c r="V101" i="25" s="1"/>
  <c r="J125" i="24"/>
  <c r="V54" i="25" s="1"/>
  <c r="B125" i="24"/>
  <c r="V8" i="25" s="1"/>
  <c r="F125" i="24"/>
  <c r="V31" i="25" s="1"/>
  <c r="V125" i="24"/>
  <c r="V125" i="25" s="1"/>
  <c r="N125" i="24"/>
  <c r="V78" i="25" s="1"/>
  <c r="S19" i="24"/>
  <c r="C112" i="25" s="1"/>
  <c r="W19" i="24"/>
  <c r="C136" i="25" s="1"/>
  <c r="O19" i="24"/>
  <c r="C89" i="25" s="1"/>
  <c r="G19" i="24"/>
  <c r="C42" i="25" s="1"/>
  <c r="K19" i="24"/>
  <c r="C65" i="25" s="1"/>
  <c r="C19" i="24"/>
  <c r="C19" i="25" s="1"/>
  <c r="S11" i="24"/>
  <c r="C104" i="25" s="1"/>
  <c r="W11" i="24"/>
  <c r="C128" i="25" s="1"/>
  <c r="O11" i="24"/>
  <c r="C81" i="25" s="1"/>
  <c r="G11" i="24"/>
  <c r="C34" i="25" s="1"/>
  <c r="K11" i="24"/>
  <c r="C57" i="25" s="1"/>
  <c r="C11" i="24"/>
  <c r="C11" i="25" s="1"/>
  <c r="S3" i="24"/>
  <c r="C96" i="25" s="1"/>
  <c r="W3" i="24"/>
  <c r="C120" i="25" s="1"/>
  <c r="O3" i="24"/>
  <c r="C73" i="25" s="1"/>
  <c r="G3" i="24"/>
  <c r="C26" i="25" s="1"/>
  <c r="K3" i="24"/>
  <c r="C49" i="25" s="1"/>
  <c r="C3" i="24"/>
  <c r="C3" i="25" s="1"/>
  <c r="O37" i="24"/>
  <c r="G84" i="25" s="1"/>
  <c r="S37" i="24"/>
  <c r="G107" i="25" s="1"/>
  <c r="C37" i="24"/>
  <c r="G14" i="25" s="1"/>
  <c r="K37" i="24"/>
  <c r="G60" i="25" s="1"/>
  <c r="G37" i="24"/>
  <c r="G37" i="25" s="1"/>
  <c r="W37" i="24"/>
  <c r="G131" i="25" s="1"/>
  <c r="O29" i="24"/>
  <c r="G76" i="25" s="1"/>
  <c r="S29" i="24"/>
  <c r="G99" i="25" s="1"/>
  <c r="C29" i="24"/>
  <c r="G6" i="25" s="1"/>
  <c r="W29" i="24"/>
  <c r="G123" i="25" s="1"/>
  <c r="G29" i="24"/>
  <c r="G29" i="25" s="1"/>
  <c r="K29" i="24"/>
  <c r="G52" i="25" s="1"/>
  <c r="W63" i="24"/>
  <c r="K134" i="25" s="1"/>
  <c r="G63" i="24"/>
  <c r="K40" i="25" s="1"/>
  <c r="S63" i="24"/>
  <c r="K110" i="25" s="1"/>
  <c r="K63" i="24"/>
  <c r="K63" i="25" s="1"/>
  <c r="C63" i="24"/>
  <c r="K17" i="25" s="1"/>
  <c r="O63" i="24"/>
  <c r="K87" i="25" s="1"/>
  <c r="W55" i="24"/>
  <c r="K126" i="25" s="1"/>
  <c r="O55" i="24"/>
  <c r="K79" i="25" s="1"/>
  <c r="G55" i="24"/>
  <c r="K32" i="25" s="1"/>
  <c r="S55" i="24"/>
  <c r="K102" i="25" s="1"/>
  <c r="K55" i="24"/>
  <c r="K55" i="25" s="1"/>
  <c r="C55" i="24"/>
  <c r="K9" i="25" s="1"/>
  <c r="C90" i="24"/>
  <c r="O20" i="25" s="1"/>
  <c r="W90" i="24"/>
  <c r="O137" i="25" s="1"/>
  <c r="S90" i="24"/>
  <c r="O113" i="25" s="1"/>
  <c r="O90" i="24"/>
  <c r="O90" i="25" s="1"/>
  <c r="G90" i="24"/>
  <c r="O43" i="25" s="1"/>
  <c r="K90" i="24"/>
  <c r="O66" i="25" s="1"/>
  <c r="O82" i="24"/>
  <c r="O82" i="25" s="1"/>
  <c r="G82" i="24"/>
  <c r="O35" i="25" s="1"/>
  <c r="W82" i="24"/>
  <c r="O129" i="25" s="1"/>
  <c r="S82" i="24"/>
  <c r="O105" i="25" s="1"/>
  <c r="K82" i="24"/>
  <c r="O58" i="25" s="1"/>
  <c r="C82" i="24"/>
  <c r="O12" i="25" s="1"/>
  <c r="W74" i="24"/>
  <c r="O121" i="25" s="1"/>
  <c r="S74" i="24"/>
  <c r="O97" i="25" s="1"/>
  <c r="G74" i="24"/>
  <c r="O27" i="25" s="1"/>
  <c r="K74" i="24"/>
  <c r="O50" i="25" s="1"/>
  <c r="C74" i="24"/>
  <c r="O4" i="25" s="1"/>
  <c r="O74" i="24"/>
  <c r="O74" i="25" s="1"/>
  <c r="W108" i="24"/>
  <c r="S132" i="25" s="1"/>
  <c r="O108" i="24"/>
  <c r="S85" i="25" s="1"/>
  <c r="G108" i="24"/>
  <c r="S38" i="25" s="1"/>
  <c r="S108" i="24"/>
  <c r="S108" i="25" s="1"/>
  <c r="K108" i="24"/>
  <c r="S61" i="25" s="1"/>
  <c r="C108" i="24"/>
  <c r="S15" i="25" s="1"/>
  <c r="W100" i="24"/>
  <c r="S124" i="25" s="1"/>
  <c r="O100" i="24"/>
  <c r="S77" i="25" s="1"/>
  <c r="G100" i="24"/>
  <c r="S30" i="25" s="1"/>
  <c r="S100" i="24"/>
  <c r="S100" i="25" s="1"/>
  <c r="K100" i="24"/>
  <c r="S53" i="25" s="1"/>
  <c r="C100" i="24"/>
  <c r="S7" i="25" s="1"/>
  <c r="W135" i="24"/>
  <c r="W135" i="25" s="1"/>
  <c r="O135" i="24"/>
  <c r="W88" i="25" s="1"/>
  <c r="G135" i="24"/>
  <c r="W41" i="25" s="1"/>
  <c r="S135" i="24"/>
  <c r="W111" i="25" s="1"/>
  <c r="K135" i="24"/>
  <c r="W64" i="25" s="1"/>
  <c r="C135" i="24"/>
  <c r="W18" i="25" s="1"/>
  <c r="W127" i="24"/>
  <c r="W127" i="25" s="1"/>
  <c r="O127" i="24"/>
  <c r="W80" i="25" s="1"/>
  <c r="G127" i="24"/>
  <c r="W33" i="25" s="1"/>
  <c r="S127" i="24"/>
  <c r="W103" i="25" s="1"/>
  <c r="K127" i="24"/>
  <c r="W56" i="25" s="1"/>
  <c r="C127" i="24"/>
  <c r="W10" i="25" s="1"/>
  <c r="V38" i="24"/>
  <c r="F132" i="25" s="1"/>
  <c r="F38" i="24"/>
  <c r="F38" i="25" s="1"/>
  <c r="B38" i="24"/>
  <c r="F15" i="25" s="1"/>
  <c r="R38" i="24"/>
  <c r="F108" i="25" s="1"/>
  <c r="N38" i="24"/>
  <c r="F85" i="25" s="1"/>
  <c r="J38" i="24"/>
  <c r="F61" i="25" s="1"/>
  <c r="J37" i="24"/>
  <c r="F60" i="25" s="1"/>
  <c r="B37" i="24"/>
  <c r="F14" i="25" s="1"/>
  <c r="F37" i="24"/>
  <c r="F37" i="25" s="1"/>
  <c r="V37" i="24"/>
  <c r="F131" i="25" s="1"/>
  <c r="R37" i="24"/>
  <c r="F107" i="25" s="1"/>
  <c r="N37" i="24"/>
  <c r="F84" i="25" s="1"/>
  <c r="B90" i="24"/>
  <c r="N20" i="25" s="1"/>
  <c r="R90" i="24"/>
  <c r="N113" i="25" s="1"/>
  <c r="N90" i="24"/>
  <c r="N90" i="25" s="1"/>
  <c r="F90" i="24"/>
  <c r="N43" i="25" s="1"/>
  <c r="V90" i="24"/>
  <c r="N137" i="25" s="1"/>
  <c r="J90" i="24"/>
  <c r="N66" i="25" s="1"/>
  <c r="N82" i="24"/>
  <c r="N82" i="25" s="1"/>
  <c r="F82" i="24"/>
  <c r="N35" i="25" s="1"/>
  <c r="V82" i="24"/>
  <c r="N129" i="25" s="1"/>
  <c r="R82" i="24"/>
  <c r="N105" i="25" s="1"/>
  <c r="J82" i="24"/>
  <c r="N58" i="25" s="1"/>
  <c r="B82" i="24"/>
  <c r="N12" i="25" s="1"/>
  <c r="V135" i="24"/>
  <c r="V135" i="25" s="1"/>
  <c r="N135" i="24"/>
  <c r="V88" i="25" s="1"/>
  <c r="B135" i="24"/>
  <c r="V18" i="25" s="1"/>
  <c r="R135" i="24"/>
  <c r="V111" i="25" s="1"/>
  <c r="F135" i="24"/>
  <c r="V41" i="25" s="1"/>
  <c r="J135" i="24"/>
  <c r="V64" i="25" s="1"/>
  <c r="W39" i="24"/>
  <c r="G133" i="25" s="1"/>
  <c r="G39" i="24"/>
  <c r="G39" i="25" s="1"/>
  <c r="K39" i="24"/>
  <c r="G62" i="25" s="1"/>
  <c r="C39" i="24"/>
  <c r="G16" i="25" s="1"/>
  <c r="S39" i="24"/>
  <c r="G109" i="25" s="1"/>
  <c r="O39" i="24"/>
  <c r="G86" i="25" s="1"/>
  <c r="S65" i="24"/>
  <c r="K112" i="25" s="1"/>
  <c r="K65" i="24"/>
  <c r="K65" i="25" s="1"/>
  <c r="C65" i="24"/>
  <c r="K19" i="25" s="1"/>
  <c r="W65" i="24"/>
  <c r="K136" i="25" s="1"/>
  <c r="O65" i="24"/>
  <c r="K89" i="25" s="1"/>
  <c r="G65" i="24"/>
  <c r="K42" i="25" s="1"/>
  <c r="S137" i="24"/>
  <c r="W113" i="25" s="1"/>
  <c r="K137" i="24"/>
  <c r="W66" i="25" s="1"/>
  <c r="C137" i="24"/>
  <c r="W20" i="25" s="1"/>
  <c r="W137" i="24"/>
  <c r="W137" i="25" s="1"/>
  <c r="O137" i="24"/>
  <c r="W90" i="25" s="1"/>
  <c r="G137" i="24"/>
  <c r="W43" i="25" s="1"/>
  <c r="J18" i="24"/>
  <c r="B64" i="25" s="1"/>
  <c r="R18" i="24"/>
  <c r="B111" i="25" s="1"/>
  <c r="V18" i="24"/>
  <c r="B135" i="25" s="1"/>
  <c r="N18" i="24"/>
  <c r="B88" i="25" s="1"/>
  <c r="F18" i="24"/>
  <c r="B41" i="25" s="1"/>
  <c r="B18" i="24"/>
  <c r="B18" i="25" s="1"/>
  <c r="R54" i="24"/>
  <c r="J101" i="25" s="1"/>
  <c r="J54" i="24"/>
  <c r="J54" i="25" s="1"/>
  <c r="V54" i="24"/>
  <c r="J125" i="25" s="1"/>
  <c r="N54" i="24"/>
  <c r="J78" i="25" s="1"/>
  <c r="F54" i="24"/>
  <c r="J31" i="25" s="1"/>
  <c r="B54" i="24"/>
  <c r="J8" i="25" s="1"/>
  <c r="V126" i="24"/>
  <c r="V126" i="25" s="1"/>
  <c r="N126" i="24"/>
  <c r="V79" i="25" s="1"/>
  <c r="F126" i="24"/>
  <c r="V32" i="25" s="1"/>
  <c r="J126" i="24"/>
  <c r="V55" i="25" s="1"/>
  <c r="B126" i="24"/>
  <c r="V9" i="25" s="1"/>
  <c r="R126" i="24"/>
  <c r="V102" i="25" s="1"/>
  <c r="W56" i="24"/>
  <c r="K127" i="25" s="1"/>
  <c r="O56" i="24"/>
  <c r="K80" i="25" s="1"/>
  <c r="G56" i="24"/>
  <c r="K33" i="25" s="1"/>
  <c r="K56" i="24"/>
  <c r="K56" i="25" s="1"/>
  <c r="C56" i="24"/>
  <c r="K10" i="25" s="1"/>
  <c r="S56" i="24"/>
  <c r="K103" i="25" s="1"/>
  <c r="V42" i="24"/>
  <c r="F136" i="25" s="1"/>
  <c r="F42" i="24"/>
  <c r="F42" i="25" s="1"/>
  <c r="B42" i="24"/>
  <c r="F19" i="25" s="1"/>
  <c r="R42" i="24"/>
  <c r="F112" i="25" s="1"/>
  <c r="N42" i="24"/>
  <c r="F89" i="25" s="1"/>
  <c r="J42" i="24"/>
  <c r="F65" i="25" s="1"/>
  <c r="V60" i="24"/>
  <c r="J131" i="25" s="1"/>
  <c r="N60" i="24"/>
  <c r="J84" i="25" s="1"/>
  <c r="F60" i="24"/>
  <c r="J37" i="25" s="1"/>
  <c r="B60" i="24"/>
  <c r="J14" i="25" s="1"/>
  <c r="R60" i="24"/>
  <c r="J107" i="25" s="1"/>
  <c r="J60" i="24"/>
  <c r="J60" i="25" s="1"/>
  <c r="J79" i="24"/>
  <c r="N55" i="25" s="1"/>
  <c r="R79" i="24"/>
  <c r="N102" i="25" s="1"/>
  <c r="F79" i="24"/>
  <c r="N32" i="25" s="1"/>
  <c r="N79" i="24"/>
  <c r="N79" i="25" s="1"/>
  <c r="V79" i="24"/>
  <c r="N126" i="25" s="1"/>
  <c r="B79" i="24"/>
  <c r="N9" i="25" s="1"/>
  <c r="F97" i="24"/>
  <c r="R27" i="25" s="1"/>
  <c r="R97" i="24"/>
  <c r="R97" i="25" s="1"/>
  <c r="N97" i="24"/>
  <c r="R74" i="25" s="1"/>
  <c r="V97" i="24"/>
  <c r="R121" i="25" s="1"/>
  <c r="B97" i="24"/>
  <c r="R4" i="25" s="1"/>
  <c r="J97" i="24"/>
  <c r="R50" i="25" s="1"/>
  <c r="W10" i="24"/>
  <c r="C127" i="25" s="1"/>
  <c r="K10" i="24"/>
  <c r="C56" i="25" s="1"/>
  <c r="S10" i="24"/>
  <c r="C103" i="25" s="1"/>
  <c r="C10" i="24"/>
  <c r="C10" i="25" s="1"/>
  <c r="O10" i="24"/>
  <c r="C80" i="25" s="1"/>
  <c r="G10" i="24"/>
  <c r="C33" i="25" s="1"/>
  <c r="S28" i="24"/>
  <c r="G98" i="25" s="1"/>
  <c r="C28" i="24"/>
  <c r="G5" i="25" s="1"/>
  <c r="W28" i="24"/>
  <c r="G122" i="25" s="1"/>
  <c r="G28" i="24"/>
  <c r="G28" i="25" s="1"/>
  <c r="O28" i="24"/>
  <c r="G75" i="25" s="1"/>
  <c r="K28" i="24"/>
  <c r="G51" i="25" s="1"/>
  <c r="S89" i="24"/>
  <c r="O112" i="25" s="1"/>
  <c r="W89" i="24"/>
  <c r="O136" i="25" s="1"/>
  <c r="O89" i="24"/>
  <c r="O89" i="25" s="1"/>
  <c r="G89" i="24"/>
  <c r="O42" i="25" s="1"/>
  <c r="K89" i="24"/>
  <c r="O65" i="25" s="1"/>
  <c r="C89" i="24"/>
  <c r="O19" i="25" s="1"/>
  <c r="W107" i="24"/>
  <c r="S131" i="25" s="1"/>
  <c r="G107" i="24"/>
  <c r="S37" i="25" s="1"/>
  <c r="O107" i="24"/>
  <c r="S84" i="25" s="1"/>
  <c r="C107" i="24"/>
  <c r="S14" i="25" s="1"/>
  <c r="K107" i="24"/>
  <c r="S60" i="25" s="1"/>
  <c r="S107" i="24"/>
  <c r="S107" i="25" s="1"/>
  <c r="W134" i="24"/>
  <c r="W134" i="25" s="1"/>
  <c r="O134" i="24"/>
  <c r="W87" i="25" s="1"/>
  <c r="G134" i="24"/>
  <c r="W40" i="25" s="1"/>
  <c r="S134" i="24"/>
  <c r="W110" i="25" s="1"/>
  <c r="K134" i="24"/>
  <c r="W63" i="25" s="1"/>
  <c r="C134" i="24"/>
  <c r="W17" i="25" s="1"/>
  <c r="W126" i="24"/>
  <c r="W126" i="25" s="1"/>
  <c r="O126" i="24"/>
  <c r="W79" i="25" s="1"/>
  <c r="G126" i="24"/>
  <c r="W32" i="25" s="1"/>
  <c r="S126" i="24"/>
  <c r="W102" i="25" s="1"/>
  <c r="K126" i="24"/>
  <c r="W55" i="25" s="1"/>
  <c r="C126" i="24"/>
  <c r="W9" i="25" s="1"/>
  <c r="R63" i="24"/>
  <c r="J110" i="25" s="1"/>
  <c r="J63" i="24"/>
  <c r="J63" i="25" s="1"/>
  <c r="V63" i="24"/>
  <c r="J134" i="25" s="1"/>
  <c r="N63" i="24"/>
  <c r="J87" i="25" s="1"/>
  <c r="F63" i="24"/>
  <c r="J40" i="25" s="1"/>
  <c r="B63" i="24"/>
  <c r="J17" i="25" s="1"/>
  <c r="K2" i="24"/>
  <c r="W2" i="24"/>
  <c r="O2" i="24"/>
  <c r="C2" i="24"/>
  <c r="S2" i="24"/>
  <c r="G2" i="24"/>
  <c r="O76" i="24"/>
  <c r="O76" i="25" s="1"/>
  <c r="W76" i="24"/>
  <c r="O123" i="25" s="1"/>
  <c r="K76" i="24"/>
  <c r="O52" i="25" s="1"/>
  <c r="C76" i="24"/>
  <c r="O6" i="25" s="1"/>
  <c r="G76" i="24"/>
  <c r="O29" i="25" s="1"/>
  <c r="S76" i="24"/>
  <c r="O99" i="25" s="1"/>
  <c r="N36" i="24"/>
  <c r="F83" i="25" s="1"/>
  <c r="V36" i="24"/>
  <c r="F130" i="25" s="1"/>
  <c r="R36" i="24"/>
  <c r="F106" i="25" s="1"/>
  <c r="J36" i="24"/>
  <c r="F59" i="25" s="1"/>
  <c r="F36" i="24"/>
  <c r="F36" i="25" s="1"/>
  <c r="B36" i="24"/>
  <c r="F13" i="25" s="1"/>
  <c r="N81" i="24"/>
  <c r="N81" i="25" s="1"/>
  <c r="F81" i="24"/>
  <c r="N34" i="25" s="1"/>
  <c r="V81" i="24"/>
  <c r="N128" i="25" s="1"/>
  <c r="J81" i="24"/>
  <c r="N57" i="25" s="1"/>
  <c r="B81" i="24"/>
  <c r="N11" i="25" s="1"/>
  <c r="R81" i="24"/>
  <c r="N104" i="25" s="1"/>
  <c r="J99" i="24"/>
  <c r="R52" i="25" s="1"/>
  <c r="F99" i="24"/>
  <c r="R29" i="25" s="1"/>
  <c r="R99" i="24"/>
  <c r="R99" i="25" s="1"/>
  <c r="N99" i="24"/>
  <c r="R76" i="25" s="1"/>
  <c r="V99" i="24"/>
  <c r="R123" i="25" s="1"/>
  <c r="B99" i="24"/>
  <c r="R6" i="25" s="1"/>
  <c r="K38" i="24"/>
  <c r="G61" i="25" s="1"/>
  <c r="O38" i="24"/>
  <c r="G85" i="25" s="1"/>
  <c r="W38" i="24"/>
  <c r="G132" i="25" s="1"/>
  <c r="S38" i="24"/>
  <c r="G108" i="25" s="1"/>
  <c r="G38" i="24"/>
  <c r="G38" i="25" s="1"/>
  <c r="C38" i="24"/>
  <c r="G15" i="25" s="1"/>
  <c r="N16" i="24"/>
  <c r="B86" i="25" s="1"/>
  <c r="B16" i="24"/>
  <c r="B16" i="25" s="1"/>
  <c r="F16" i="24"/>
  <c r="B39" i="25" s="1"/>
  <c r="J16" i="24"/>
  <c r="B62" i="25" s="1"/>
  <c r="V16" i="24"/>
  <c r="B133" i="25" s="1"/>
  <c r="R16" i="24"/>
  <c r="B109" i="25" s="1"/>
  <c r="V34" i="24"/>
  <c r="F128" i="25" s="1"/>
  <c r="F34" i="24"/>
  <c r="F34" i="25" s="1"/>
  <c r="B34" i="24"/>
  <c r="F11" i="25" s="1"/>
  <c r="R34" i="24"/>
  <c r="F104" i="25" s="1"/>
  <c r="N34" i="24"/>
  <c r="F81" i="25" s="1"/>
  <c r="J34" i="24"/>
  <c r="F57" i="25" s="1"/>
  <c r="V52" i="24"/>
  <c r="J123" i="25" s="1"/>
  <c r="N52" i="24"/>
  <c r="J76" i="25" s="1"/>
  <c r="F52" i="24"/>
  <c r="J29" i="25" s="1"/>
  <c r="R52" i="24"/>
  <c r="J99" i="25" s="1"/>
  <c r="J52" i="24"/>
  <c r="J52" i="25" s="1"/>
  <c r="B52" i="24"/>
  <c r="J6" i="25" s="1"/>
  <c r="F113" i="24"/>
  <c r="R43" i="25" s="1"/>
  <c r="N113" i="24"/>
  <c r="R90" i="25" s="1"/>
  <c r="B113" i="24"/>
  <c r="R20" i="25" s="1"/>
  <c r="J113" i="24"/>
  <c r="R66" i="25" s="1"/>
  <c r="V113" i="24"/>
  <c r="R137" i="25" s="1"/>
  <c r="R113" i="24"/>
  <c r="R113" i="25" s="1"/>
  <c r="R132" i="24"/>
  <c r="V108" i="25" s="1"/>
  <c r="J132" i="24"/>
  <c r="V61" i="25" s="1"/>
  <c r="B132" i="24"/>
  <c r="V15" i="25" s="1"/>
  <c r="V132" i="24"/>
  <c r="V132" i="25" s="1"/>
  <c r="F132" i="24"/>
  <c r="V38" i="25" s="1"/>
  <c r="N132" i="24"/>
  <c r="V85" i="25" s="1"/>
  <c r="W18" i="24"/>
  <c r="C135" i="25" s="1"/>
  <c r="K18" i="24"/>
  <c r="C64" i="25" s="1"/>
  <c r="O18" i="24"/>
  <c r="C88" i="25" s="1"/>
  <c r="S18" i="24"/>
  <c r="C111" i="25" s="1"/>
  <c r="G18" i="24"/>
  <c r="C41" i="25" s="1"/>
  <c r="C18" i="24"/>
  <c r="C18" i="25" s="1"/>
  <c r="S36" i="24"/>
  <c r="G106" i="25" s="1"/>
  <c r="C36" i="24"/>
  <c r="G13" i="25" s="1"/>
  <c r="W36" i="24"/>
  <c r="G130" i="25" s="1"/>
  <c r="G36" i="24"/>
  <c r="G36" i="25" s="1"/>
  <c r="O36" i="24"/>
  <c r="G83" i="25" s="1"/>
  <c r="K36" i="24"/>
  <c r="G59" i="25" s="1"/>
  <c r="S54" i="24"/>
  <c r="K101" i="25" s="1"/>
  <c r="K54" i="24"/>
  <c r="K54" i="25" s="1"/>
  <c r="C54" i="24"/>
  <c r="K8" i="25" s="1"/>
  <c r="W54" i="24"/>
  <c r="K125" i="25" s="1"/>
  <c r="O54" i="24"/>
  <c r="K78" i="25" s="1"/>
  <c r="G54" i="24"/>
  <c r="K31" i="25" s="1"/>
  <c r="S81" i="24"/>
  <c r="O104" i="25" s="1"/>
  <c r="W81" i="24"/>
  <c r="O128" i="25" s="1"/>
  <c r="O81" i="24"/>
  <c r="O81" i="25" s="1"/>
  <c r="G81" i="24"/>
  <c r="O34" i="25" s="1"/>
  <c r="C81" i="24"/>
  <c r="O11" i="25" s="1"/>
  <c r="K81" i="24"/>
  <c r="O57" i="25" s="1"/>
  <c r="W99" i="24"/>
  <c r="S123" i="25" s="1"/>
  <c r="K99" i="24"/>
  <c r="S52" i="25" s="1"/>
  <c r="G99" i="24"/>
  <c r="S29" i="25" s="1"/>
  <c r="S99" i="24"/>
  <c r="S99" i="25" s="1"/>
  <c r="C99" i="24"/>
  <c r="S6" i="25" s="1"/>
  <c r="O99" i="24"/>
  <c r="S76" i="25" s="1"/>
  <c r="F7" i="24"/>
  <c r="B30" i="25" s="1"/>
  <c r="J7" i="24"/>
  <c r="B53" i="25" s="1"/>
  <c r="V7" i="24"/>
  <c r="B124" i="25" s="1"/>
  <c r="R7" i="24"/>
  <c r="B100" i="25" s="1"/>
  <c r="N7" i="24"/>
  <c r="B77" i="25" s="1"/>
  <c r="B7" i="24"/>
  <c r="B7" i="25" s="1"/>
  <c r="J41" i="24"/>
  <c r="F64" i="25" s="1"/>
  <c r="F41" i="24"/>
  <c r="F41" i="25" s="1"/>
  <c r="B41" i="24"/>
  <c r="F18" i="25" s="1"/>
  <c r="V41" i="24"/>
  <c r="F135" i="25" s="1"/>
  <c r="R41" i="24"/>
  <c r="F111" i="25" s="1"/>
  <c r="N41" i="24"/>
  <c r="F88" i="25" s="1"/>
  <c r="J33" i="24"/>
  <c r="F56" i="25" s="1"/>
  <c r="F33" i="24"/>
  <c r="F33" i="25" s="1"/>
  <c r="V33" i="24"/>
  <c r="F127" i="25" s="1"/>
  <c r="R33" i="24"/>
  <c r="F103" i="25" s="1"/>
  <c r="N33" i="24"/>
  <c r="F80" i="25" s="1"/>
  <c r="B33" i="24"/>
  <c r="F10" i="25" s="1"/>
  <c r="F48" i="24"/>
  <c r="J48" i="24"/>
  <c r="V48" i="24"/>
  <c r="B48" i="24"/>
  <c r="N48" i="24"/>
  <c r="R48" i="24"/>
  <c r="R59" i="24"/>
  <c r="J106" i="25" s="1"/>
  <c r="J59" i="24"/>
  <c r="J59" i="25" s="1"/>
  <c r="V59" i="24"/>
  <c r="J130" i="25" s="1"/>
  <c r="N59" i="24"/>
  <c r="J83" i="25" s="1"/>
  <c r="F59" i="24"/>
  <c r="J36" i="25" s="1"/>
  <c r="B59" i="24"/>
  <c r="J13" i="25" s="1"/>
  <c r="R51" i="24"/>
  <c r="J98" i="25" s="1"/>
  <c r="B51" i="24"/>
  <c r="J5" i="25" s="1"/>
  <c r="V51" i="24"/>
  <c r="J122" i="25" s="1"/>
  <c r="N51" i="24"/>
  <c r="J75" i="25" s="1"/>
  <c r="F51" i="24"/>
  <c r="J28" i="25" s="1"/>
  <c r="J51" i="24"/>
  <c r="J51" i="25" s="1"/>
  <c r="V86" i="24"/>
  <c r="N133" i="25" s="1"/>
  <c r="N86" i="24"/>
  <c r="N86" i="25" s="1"/>
  <c r="F86" i="24"/>
  <c r="N39" i="25" s="1"/>
  <c r="R86" i="24"/>
  <c r="N109" i="25" s="1"/>
  <c r="J86" i="24"/>
  <c r="N62" i="25" s="1"/>
  <c r="B86" i="24"/>
  <c r="N16" i="25" s="1"/>
  <c r="R78" i="24"/>
  <c r="N101" i="25" s="1"/>
  <c r="F78" i="24"/>
  <c r="N31" i="25" s="1"/>
  <c r="N78" i="24"/>
  <c r="N78" i="25" s="1"/>
  <c r="V78" i="24"/>
  <c r="N125" i="25" s="1"/>
  <c r="J78" i="24"/>
  <c r="N54" i="25" s="1"/>
  <c r="B78" i="24"/>
  <c r="N8" i="25" s="1"/>
  <c r="N112" i="24"/>
  <c r="R89" i="25" s="1"/>
  <c r="B112" i="24"/>
  <c r="R19" i="25" s="1"/>
  <c r="J112" i="24"/>
  <c r="R65" i="25" s="1"/>
  <c r="F112" i="24"/>
  <c r="R42" i="25" s="1"/>
  <c r="R112" i="24"/>
  <c r="R112" i="25" s="1"/>
  <c r="V112" i="24"/>
  <c r="R136" i="25" s="1"/>
  <c r="J104" i="24"/>
  <c r="R57" i="25" s="1"/>
  <c r="R104" i="24"/>
  <c r="R104" i="25" s="1"/>
  <c r="F104" i="24"/>
  <c r="R34" i="25" s="1"/>
  <c r="V104" i="24"/>
  <c r="R128" i="25" s="1"/>
  <c r="N104" i="24"/>
  <c r="R81" i="25" s="1"/>
  <c r="B104" i="24"/>
  <c r="R11" i="25" s="1"/>
  <c r="R96" i="24"/>
  <c r="R96" i="25" s="1"/>
  <c r="N96" i="24"/>
  <c r="R73" i="25" s="1"/>
  <c r="V96" i="24"/>
  <c r="R120" i="25" s="1"/>
  <c r="B96" i="24"/>
  <c r="R3" i="25" s="1"/>
  <c r="J96" i="24"/>
  <c r="R49" i="25" s="1"/>
  <c r="F96" i="24"/>
  <c r="R26" i="25" s="1"/>
  <c r="V131" i="24"/>
  <c r="V131" i="25" s="1"/>
  <c r="N131" i="24"/>
  <c r="V84" i="25" s="1"/>
  <c r="F131" i="24"/>
  <c r="V37" i="25" s="1"/>
  <c r="R131" i="24"/>
  <c r="V107" i="25" s="1"/>
  <c r="J131" i="24"/>
  <c r="V60" i="25" s="1"/>
  <c r="B131" i="24"/>
  <c r="V14" i="25" s="1"/>
  <c r="V123" i="24"/>
  <c r="V123" i="25" s="1"/>
  <c r="N123" i="24"/>
  <c r="V76" i="25" s="1"/>
  <c r="B123" i="24"/>
  <c r="V6" i="25" s="1"/>
  <c r="F123" i="24"/>
  <c r="V29" i="25" s="1"/>
  <c r="R123" i="24"/>
  <c r="V99" i="25" s="1"/>
  <c r="J123" i="24"/>
  <c r="V52" i="25" s="1"/>
  <c r="C17" i="24"/>
  <c r="C17" i="25" s="1"/>
  <c r="W17" i="24"/>
  <c r="C134" i="25" s="1"/>
  <c r="S17" i="24"/>
  <c r="C110" i="25" s="1"/>
  <c r="G17" i="24"/>
  <c r="C40" i="25" s="1"/>
  <c r="O17" i="24"/>
  <c r="C87" i="25" s="1"/>
  <c r="K17" i="24"/>
  <c r="C63" i="25" s="1"/>
  <c r="C9" i="24"/>
  <c r="C9" i="25" s="1"/>
  <c r="G9" i="24"/>
  <c r="C32" i="25" s="1"/>
  <c r="O9" i="24"/>
  <c r="C79" i="25" s="1"/>
  <c r="K9" i="24"/>
  <c r="C55" i="25" s="1"/>
  <c r="W9" i="24"/>
  <c r="C126" i="25" s="1"/>
  <c r="S9" i="24"/>
  <c r="C102" i="25" s="1"/>
  <c r="W43" i="24"/>
  <c r="G137" i="25" s="1"/>
  <c r="G43" i="24"/>
  <c r="G43" i="25" s="1"/>
  <c r="K43" i="24"/>
  <c r="G66" i="25" s="1"/>
  <c r="C43" i="24"/>
  <c r="G20" i="25" s="1"/>
  <c r="S43" i="24"/>
  <c r="G113" i="25" s="1"/>
  <c r="O43" i="24"/>
  <c r="G90" i="25" s="1"/>
  <c r="W35" i="24"/>
  <c r="G129" i="25" s="1"/>
  <c r="G35" i="24"/>
  <c r="G35" i="25" s="1"/>
  <c r="K35" i="24"/>
  <c r="G58" i="25" s="1"/>
  <c r="C35" i="24"/>
  <c r="G12" i="25" s="1"/>
  <c r="S35" i="24"/>
  <c r="G105" i="25" s="1"/>
  <c r="O35" i="24"/>
  <c r="G82" i="25" s="1"/>
  <c r="W27" i="24"/>
  <c r="G121" i="25" s="1"/>
  <c r="G27" i="24"/>
  <c r="G27" i="25" s="1"/>
  <c r="K27" i="24"/>
  <c r="G50" i="25" s="1"/>
  <c r="C27" i="24"/>
  <c r="G4" i="25" s="1"/>
  <c r="S27" i="24"/>
  <c r="G97" i="25" s="1"/>
  <c r="O27" i="24"/>
  <c r="G74" i="25" s="1"/>
  <c r="S61" i="24"/>
  <c r="K108" i="25" s="1"/>
  <c r="K61" i="24"/>
  <c r="K61" i="25" s="1"/>
  <c r="W61" i="24"/>
  <c r="K132" i="25" s="1"/>
  <c r="O61" i="24"/>
  <c r="K85" i="25" s="1"/>
  <c r="G61" i="24"/>
  <c r="K38" i="25" s="1"/>
  <c r="C61" i="24"/>
  <c r="K15" i="25" s="1"/>
  <c r="S53" i="24"/>
  <c r="K100" i="25" s="1"/>
  <c r="K53" i="24"/>
  <c r="K53" i="25" s="1"/>
  <c r="C53" i="24"/>
  <c r="K7" i="25" s="1"/>
  <c r="W53" i="24"/>
  <c r="K124" i="25" s="1"/>
  <c r="O53" i="24"/>
  <c r="K77" i="25" s="1"/>
  <c r="G53" i="24"/>
  <c r="K30" i="25" s="1"/>
  <c r="S88" i="24"/>
  <c r="O111" i="25" s="1"/>
  <c r="K88" i="24"/>
  <c r="O64" i="25" s="1"/>
  <c r="C88" i="24"/>
  <c r="O18" i="25" s="1"/>
  <c r="W88" i="24"/>
  <c r="O135" i="25" s="1"/>
  <c r="O88" i="24"/>
  <c r="O88" i="25" s="1"/>
  <c r="G88" i="24"/>
  <c r="O41" i="25" s="1"/>
  <c r="W80" i="24"/>
  <c r="O127" i="25" s="1"/>
  <c r="K80" i="24"/>
  <c r="O56" i="25" s="1"/>
  <c r="C80" i="24"/>
  <c r="O10" i="25" s="1"/>
  <c r="S80" i="24"/>
  <c r="O103" i="25" s="1"/>
  <c r="O80" i="24"/>
  <c r="O80" i="25" s="1"/>
  <c r="G80" i="24"/>
  <c r="O33" i="25" s="1"/>
  <c r="O95" i="24"/>
  <c r="K95" i="24"/>
  <c r="G95" i="24"/>
  <c r="C95" i="24"/>
  <c r="W95" i="24"/>
  <c r="S95" i="24"/>
  <c r="S106" i="24"/>
  <c r="S106" i="25" s="1"/>
  <c r="K106" i="24"/>
  <c r="S59" i="25" s="1"/>
  <c r="C106" i="24"/>
  <c r="S13" i="25" s="1"/>
  <c r="W106" i="24"/>
  <c r="S130" i="25" s="1"/>
  <c r="O106" i="24"/>
  <c r="S83" i="25" s="1"/>
  <c r="G106" i="24"/>
  <c r="S36" i="25" s="1"/>
  <c r="S98" i="24"/>
  <c r="S98" i="25" s="1"/>
  <c r="K98" i="24"/>
  <c r="S51" i="25" s="1"/>
  <c r="C98" i="24"/>
  <c r="S5" i="25" s="1"/>
  <c r="W98" i="24"/>
  <c r="S122" i="25" s="1"/>
  <c r="O98" i="24"/>
  <c r="S75" i="25" s="1"/>
  <c r="G98" i="24"/>
  <c r="S28" i="25" s="1"/>
  <c r="S133" i="24"/>
  <c r="W109" i="25" s="1"/>
  <c r="K133" i="24"/>
  <c r="W62" i="25" s="1"/>
  <c r="C133" i="24"/>
  <c r="W16" i="25" s="1"/>
  <c r="W133" i="24"/>
  <c r="W133" i="25" s="1"/>
  <c r="O133" i="24"/>
  <c r="W86" i="25" s="1"/>
  <c r="G133" i="24"/>
  <c r="W39" i="25" s="1"/>
  <c r="S125" i="24"/>
  <c r="W101" i="25" s="1"/>
  <c r="K125" i="24"/>
  <c r="W54" i="25" s="1"/>
  <c r="C125" i="24"/>
  <c r="W8" i="25" s="1"/>
  <c r="W125" i="24"/>
  <c r="W125" i="25" s="1"/>
  <c r="O125" i="24"/>
  <c r="W78" i="25" s="1"/>
  <c r="G125" i="24"/>
  <c r="W31" i="25" s="1"/>
  <c r="I22" i="22"/>
  <c r="B19" i="24"/>
  <c r="B19" i="25" s="1"/>
  <c r="J19" i="24"/>
  <c r="B65" i="25" s="1"/>
  <c r="V19" i="24"/>
  <c r="B136" i="25" s="1"/>
  <c r="R19" i="24"/>
  <c r="B112" i="25" s="1"/>
  <c r="N19" i="24"/>
  <c r="B89" i="25" s="1"/>
  <c r="F19" i="24"/>
  <c r="B42" i="25" s="1"/>
  <c r="J29" i="24"/>
  <c r="F52" i="25" s="1"/>
  <c r="F29" i="24"/>
  <c r="F29" i="25" s="1"/>
  <c r="B29" i="24"/>
  <c r="F6" i="25" s="1"/>
  <c r="V29" i="24"/>
  <c r="F123" i="25" s="1"/>
  <c r="R29" i="24"/>
  <c r="F99" i="25" s="1"/>
  <c r="N29" i="24"/>
  <c r="F76" i="25" s="1"/>
  <c r="B100" i="24"/>
  <c r="R7" i="25" s="1"/>
  <c r="J100" i="24"/>
  <c r="R53" i="25" s="1"/>
  <c r="F100" i="24"/>
  <c r="R30" i="25" s="1"/>
  <c r="V100" i="24"/>
  <c r="R124" i="25" s="1"/>
  <c r="N100" i="24"/>
  <c r="R77" i="25" s="1"/>
  <c r="R100" i="24"/>
  <c r="R100" i="25" s="1"/>
  <c r="K5" i="24"/>
  <c r="C51" i="25" s="1"/>
  <c r="O5" i="24"/>
  <c r="C75" i="25" s="1"/>
  <c r="W5" i="24"/>
  <c r="C122" i="25" s="1"/>
  <c r="S5" i="24"/>
  <c r="C98" i="25" s="1"/>
  <c r="G5" i="24"/>
  <c r="C28" i="25" s="1"/>
  <c r="C5" i="24"/>
  <c r="C5" i="25" s="1"/>
  <c r="S84" i="24"/>
  <c r="O107" i="25" s="1"/>
  <c r="K84" i="24"/>
  <c r="O60" i="25" s="1"/>
  <c r="C84" i="24"/>
  <c r="O14" i="25" s="1"/>
  <c r="W84" i="24"/>
  <c r="O131" i="25" s="1"/>
  <c r="O84" i="24"/>
  <c r="O84" i="25" s="1"/>
  <c r="G84" i="24"/>
  <c r="O37" i="25" s="1"/>
  <c r="R25" i="24"/>
  <c r="B25" i="24"/>
  <c r="V25" i="24"/>
  <c r="F25" i="24"/>
  <c r="N25" i="24"/>
  <c r="J25" i="24"/>
  <c r="N89" i="24"/>
  <c r="N89" i="25" s="1"/>
  <c r="F89" i="24"/>
  <c r="N42" i="25" s="1"/>
  <c r="R89" i="24"/>
  <c r="N112" i="25" s="1"/>
  <c r="J89" i="24"/>
  <c r="N65" i="25" s="1"/>
  <c r="B89" i="24"/>
  <c r="N19" i="25" s="1"/>
  <c r="V89" i="24"/>
  <c r="N136" i="25" s="1"/>
  <c r="V134" i="24"/>
  <c r="V134" i="25" s="1"/>
  <c r="N134" i="24"/>
  <c r="V87" i="25" s="1"/>
  <c r="F134" i="24"/>
  <c r="V40" i="25" s="1"/>
  <c r="B134" i="24"/>
  <c r="V17" i="25" s="1"/>
  <c r="R134" i="24"/>
  <c r="V110" i="25" s="1"/>
  <c r="J134" i="24"/>
  <c r="V63" i="25" s="1"/>
  <c r="W64" i="24"/>
  <c r="K135" i="25" s="1"/>
  <c r="O64" i="24"/>
  <c r="K88" i="25" s="1"/>
  <c r="G64" i="24"/>
  <c r="K41" i="25" s="1"/>
  <c r="S64" i="24"/>
  <c r="K111" i="25" s="1"/>
  <c r="C64" i="24"/>
  <c r="K18" i="25" s="1"/>
  <c r="K64" i="24"/>
  <c r="K64" i="25" s="1"/>
  <c r="J8" i="24"/>
  <c r="B54" i="25" s="1"/>
  <c r="R8" i="24"/>
  <c r="B101" i="25" s="1"/>
  <c r="B8" i="24"/>
  <c r="B8" i="25" s="1"/>
  <c r="V8" i="24"/>
  <c r="B125" i="25" s="1"/>
  <c r="N8" i="24"/>
  <c r="B78" i="25" s="1"/>
  <c r="F8" i="24"/>
  <c r="B31" i="25" s="1"/>
  <c r="V26" i="24"/>
  <c r="F120" i="25" s="1"/>
  <c r="F26" i="24"/>
  <c r="F26" i="25" s="1"/>
  <c r="R26" i="24"/>
  <c r="F96" i="25" s="1"/>
  <c r="B26" i="24"/>
  <c r="F3" i="25" s="1"/>
  <c r="N26" i="24"/>
  <c r="F73" i="25" s="1"/>
  <c r="J26" i="24"/>
  <c r="F49" i="25" s="1"/>
  <c r="J87" i="24"/>
  <c r="N63" i="25" s="1"/>
  <c r="B87" i="24"/>
  <c r="N17" i="25" s="1"/>
  <c r="V87" i="24"/>
  <c r="N134" i="25" s="1"/>
  <c r="N87" i="24"/>
  <c r="N87" i="25" s="1"/>
  <c r="F87" i="24"/>
  <c r="N40" i="25" s="1"/>
  <c r="R87" i="24"/>
  <c r="N110" i="25" s="1"/>
  <c r="J105" i="24"/>
  <c r="R58" i="25" s="1"/>
  <c r="R105" i="24"/>
  <c r="R105" i="25" s="1"/>
  <c r="F105" i="24"/>
  <c r="R35" i="25" s="1"/>
  <c r="V105" i="24"/>
  <c r="R129" i="25" s="1"/>
  <c r="B105" i="24"/>
  <c r="R12" i="25" s="1"/>
  <c r="N105" i="24"/>
  <c r="R82" i="25" s="1"/>
  <c r="R124" i="24"/>
  <c r="V100" i="25" s="1"/>
  <c r="J124" i="24"/>
  <c r="V53" i="25" s="1"/>
  <c r="B124" i="24"/>
  <c r="V7" i="25" s="1"/>
  <c r="F124" i="24"/>
  <c r="V30" i="25" s="1"/>
  <c r="V124" i="24"/>
  <c r="V124" i="25" s="1"/>
  <c r="N124" i="24"/>
  <c r="V77" i="25" s="1"/>
  <c r="O25" i="24"/>
  <c r="K25" i="24"/>
  <c r="G25" i="24"/>
  <c r="C25" i="24"/>
  <c r="W25" i="24"/>
  <c r="S25" i="24"/>
  <c r="S62" i="24"/>
  <c r="K109" i="25" s="1"/>
  <c r="K62" i="24"/>
  <c r="K62" i="25" s="1"/>
  <c r="C62" i="24"/>
  <c r="K16" i="25" s="1"/>
  <c r="W62" i="24"/>
  <c r="K133" i="25" s="1"/>
  <c r="O62" i="24"/>
  <c r="K86" i="25" s="1"/>
  <c r="G62" i="24"/>
  <c r="K39" i="25" s="1"/>
  <c r="S73" i="24"/>
  <c r="O96" i="25" s="1"/>
  <c r="W73" i="24"/>
  <c r="O120" i="25" s="1"/>
  <c r="O73" i="24"/>
  <c r="O73" i="25" s="1"/>
  <c r="G73" i="24"/>
  <c r="O26" i="25" s="1"/>
  <c r="K73" i="24"/>
  <c r="O49" i="25" s="1"/>
  <c r="C73" i="24"/>
  <c r="O3" i="25" s="1"/>
  <c r="F15" i="24"/>
  <c r="B38" i="25" s="1"/>
  <c r="J15" i="24"/>
  <c r="B61" i="25" s="1"/>
  <c r="N15" i="24"/>
  <c r="B85" i="25" s="1"/>
  <c r="B15" i="24"/>
  <c r="B15" i="25" s="1"/>
  <c r="V15" i="24"/>
  <c r="B132" i="25" s="1"/>
  <c r="R15" i="24"/>
  <c r="B108" i="25" s="1"/>
  <c r="N14" i="24"/>
  <c r="B84" i="25" s="1"/>
  <c r="R14" i="24"/>
  <c r="B107" i="25" s="1"/>
  <c r="B14" i="24"/>
  <c r="B14" i="25" s="1"/>
  <c r="F14" i="24"/>
  <c r="B37" i="25" s="1"/>
  <c r="V14" i="24"/>
  <c r="B131" i="25" s="1"/>
  <c r="J14" i="24"/>
  <c r="B60" i="25" s="1"/>
  <c r="N6" i="24"/>
  <c r="B76" i="25" s="1"/>
  <c r="R6" i="24"/>
  <c r="B99" i="25" s="1"/>
  <c r="B6" i="24"/>
  <c r="B6" i="25" s="1"/>
  <c r="J6" i="24"/>
  <c r="B52" i="25" s="1"/>
  <c r="V6" i="24"/>
  <c r="B123" i="25" s="1"/>
  <c r="F6" i="24"/>
  <c r="B29" i="25" s="1"/>
  <c r="N40" i="24"/>
  <c r="F87" i="25" s="1"/>
  <c r="J40" i="24"/>
  <c r="F63" i="25" s="1"/>
  <c r="F40" i="24"/>
  <c r="F40" i="25" s="1"/>
  <c r="B40" i="24"/>
  <c r="F17" i="25" s="1"/>
  <c r="V40" i="24"/>
  <c r="F134" i="25" s="1"/>
  <c r="R40" i="24"/>
  <c r="F110" i="25" s="1"/>
  <c r="N32" i="24"/>
  <c r="F79" i="25" s="1"/>
  <c r="J32" i="24"/>
  <c r="F55" i="25" s="1"/>
  <c r="V32" i="24"/>
  <c r="F126" i="25" s="1"/>
  <c r="F32" i="24"/>
  <c r="F32" i="25" s="1"/>
  <c r="B32" i="24"/>
  <c r="F9" i="25" s="1"/>
  <c r="R32" i="24"/>
  <c r="F102" i="25" s="1"/>
  <c r="R66" i="24"/>
  <c r="J113" i="25" s="1"/>
  <c r="J66" i="24"/>
  <c r="J66" i="25" s="1"/>
  <c r="F66" i="24"/>
  <c r="J43" i="25" s="1"/>
  <c r="V66" i="24"/>
  <c r="J137" i="25" s="1"/>
  <c r="N66" i="24"/>
  <c r="J90" i="25" s="1"/>
  <c r="B66" i="24"/>
  <c r="J20" i="25" s="1"/>
  <c r="R58" i="24"/>
  <c r="J105" i="25" s="1"/>
  <c r="J58" i="24"/>
  <c r="J58" i="25" s="1"/>
  <c r="V58" i="24"/>
  <c r="J129" i="25" s="1"/>
  <c r="N58" i="24"/>
  <c r="J82" i="25" s="1"/>
  <c r="F58" i="24"/>
  <c r="J35" i="25" s="1"/>
  <c r="B58" i="24"/>
  <c r="J12" i="25" s="1"/>
  <c r="R50" i="24"/>
  <c r="J97" i="25" s="1"/>
  <c r="J50" i="24"/>
  <c r="J50" i="25" s="1"/>
  <c r="B50" i="24"/>
  <c r="J4" i="25" s="1"/>
  <c r="F50" i="24"/>
  <c r="J27" i="25" s="1"/>
  <c r="V50" i="24"/>
  <c r="J121" i="25" s="1"/>
  <c r="N50" i="24"/>
  <c r="J74" i="25" s="1"/>
  <c r="V85" i="24"/>
  <c r="N132" i="25" s="1"/>
  <c r="N85" i="24"/>
  <c r="N85" i="25" s="1"/>
  <c r="F85" i="24"/>
  <c r="N38" i="25" s="1"/>
  <c r="R85" i="24"/>
  <c r="N108" i="25" s="1"/>
  <c r="J85" i="24"/>
  <c r="N61" i="25" s="1"/>
  <c r="B85" i="24"/>
  <c r="N15" i="25" s="1"/>
  <c r="F77" i="24"/>
  <c r="N30" i="25" s="1"/>
  <c r="N77" i="24"/>
  <c r="N77" i="25" s="1"/>
  <c r="V77" i="24"/>
  <c r="N124" i="25" s="1"/>
  <c r="J77" i="24"/>
  <c r="N53" i="25" s="1"/>
  <c r="B77" i="24"/>
  <c r="N7" i="25" s="1"/>
  <c r="R77" i="24"/>
  <c r="N100" i="25" s="1"/>
  <c r="B111" i="24"/>
  <c r="R18" i="25" s="1"/>
  <c r="J111" i="24"/>
  <c r="R64" i="25" s="1"/>
  <c r="R111" i="24"/>
  <c r="R111" i="25" s="1"/>
  <c r="V111" i="24"/>
  <c r="R135" i="25" s="1"/>
  <c r="F111" i="24"/>
  <c r="R41" i="25" s="1"/>
  <c r="N111" i="24"/>
  <c r="R88" i="25" s="1"/>
  <c r="R103" i="24"/>
  <c r="R103" i="25" s="1"/>
  <c r="F103" i="24"/>
  <c r="R33" i="25" s="1"/>
  <c r="V103" i="24"/>
  <c r="R127" i="25" s="1"/>
  <c r="N103" i="24"/>
  <c r="R80" i="25" s="1"/>
  <c r="B103" i="24"/>
  <c r="R10" i="25" s="1"/>
  <c r="J103" i="24"/>
  <c r="R56" i="25" s="1"/>
  <c r="N119" i="24"/>
  <c r="V119" i="24"/>
  <c r="F119" i="24"/>
  <c r="R119" i="24"/>
  <c r="B119" i="24"/>
  <c r="J119" i="24"/>
  <c r="V130" i="24"/>
  <c r="V130" i="25" s="1"/>
  <c r="N130" i="24"/>
  <c r="V83" i="25" s="1"/>
  <c r="F130" i="24"/>
  <c r="V36" i="25" s="1"/>
  <c r="R130" i="24"/>
  <c r="V106" i="25" s="1"/>
  <c r="J130" i="24"/>
  <c r="V59" i="25" s="1"/>
  <c r="B130" i="24"/>
  <c r="V13" i="25" s="1"/>
  <c r="V122" i="24"/>
  <c r="V122" i="25" s="1"/>
  <c r="N122" i="24"/>
  <c r="V75" i="25" s="1"/>
  <c r="F122" i="24"/>
  <c r="V28" i="25" s="1"/>
  <c r="R122" i="24"/>
  <c r="V98" i="25" s="1"/>
  <c r="B122" i="24"/>
  <c r="V5" i="25" s="1"/>
  <c r="J122" i="24"/>
  <c r="V51" i="25" s="1"/>
  <c r="K16" i="24"/>
  <c r="C62" i="25" s="1"/>
  <c r="S16" i="24"/>
  <c r="C109" i="25" s="1"/>
  <c r="O16" i="24"/>
  <c r="C86" i="25" s="1"/>
  <c r="G16" i="24"/>
  <c r="C39" i="25" s="1"/>
  <c r="W16" i="24"/>
  <c r="C133" i="25" s="1"/>
  <c r="C16" i="24"/>
  <c r="C16" i="25" s="1"/>
  <c r="K8" i="24"/>
  <c r="C54" i="25" s="1"/>
  <c r="S8" i="24"/>
  <c r="C101" i="25" s="1"/>
  <c r="O8" i="24"/>
  <c r="C78" i="25" s="1"/>
  <c r="G8" i="24"/>
  <c r="C31" i="25" s="1"/>
  <c r="C8" i="24"/>
  <c r="C8" i="25" s="1"/>
  <c r="W8" i="24"/>
  <c r="C125" i="25" s="1"/>
  <c r="K42" i="24"/>
  <c r="G65" i="25" s="1"/>
  <c r="O42" i="24"/>
  <c r="G89" i="25" s="1"/>
  <c r="G42" i="24"/>
  <c r="G42" i="25" s="1"/>
  <c r="C42" i="24"/>
  <c r="G19" i="25" s="1"/>
  <c r="S42" i="24"/>
  <c r="G112" i="25" s="1"/>
  <c r="W42" i="24"/>
  <c r="G136" i="25" s="1"/>
  <c r="K34" i="24"/>
  <c r="G57" i="25" s="1"/>
  <c r="O34" i="24"/>
  <c r="G81" i="25" s="1"/>
  <c r="C34" i="24"/>
  <c r="G11" i="25" s="1"/>
  <c r="G34" i="24"/>
  <c r="G34" i="25" s="1"/>
  <c r="W34" i="24"/>
  <c r="G128" i="25" s="1"/>
  <c r="S34" i="24"/>
  <c r="G104" i="25" s="1"/>
  <c r="W26" i="24"/>
  <c r="G120" i="25" s="1"/>
  <c r="K26" i="24"/>
  <c r="G49" i="25" s="1"/>
  <c r="O26" i="24"/>
  <c r="G73" i="25" s="1"/>
  <c r="C26" i="24"/>
  <c r="G3" i="25" s="1"/>
  <c r="S26" i="24"/>
  <c r="G96" i="25" s="1"/>
  <c r="G26" i="24"/>
  <c r="G26" i="25" s="1"/>
  <c r="W60" i="24"/>
  <c r="K131" i="25" s="1"/>
  <c r="O60" i="24"/>
  <c r="K84" i="25" s="1"/>
  <c r="G60" i="24"/>
  <c r="K37" i="25" s="1"/>
  <c r="S60" i="24"/>
  <c r="K107" i="25" s="1"/>
  <c r="K60" i="24"/>
  <c r="K60" i="25" s="1"/>
  <c r="C60" i="24"/>
  <c r="K14" i="25" s="1"/>
  <c r="W52" i="24"/>
  <c r="K123" i="25" s="1"/>
  <c r="O52" i="24"/>
  <c r="K76" i="25" s="1"/>
  <c r="G52" i="24"/>
  <c r="K29" i="25" s="1"/>
  <c r="K52" i="24"/>
  <c r="K52" i="25" s="1"/>
  <c r="C52" i="24"/>
  <c r="K6" i="25" s="1"/>
  <c r="S52" i="24"/>
  <c r="K99" i="25" s="1"/>
  <c r="W87" i="24"/>
  <c r="O134" i="25" s="1"/>
  <c r="S87" i="24"/>
  <c r="O110" i="25" s="1"/>
  <c r="K87" i="24"/>
  <c r="O63" i="25" s="1"/>
  <c r="C87" i="24"/>
  <c r="O17" i="25" s="1"/>
  <c r="O87" i="24"/>
  <c r="O87" i="25" s="1"/>
  <c r="G87" i="24"/>
  <c r="O40" i="25" s="1"/>
  <c r="W79" i="24"/>
  <c r="O126" i="25" s="1"/>
  <c r="O79" i="24"/>
  <c r="O79" i="25" s="1"/>
  <c r="S79" i="24"/>
  <c r="O102" i="25" s="1"/>
  <c r="K79" i="24"/>
  <c r="O55" i="25" s="1"/>
  <c r="C79" i="24"/>
  <c r="O9" i="25" s="1"/>
  <c r="G79" i="24"/>
  <c r="O32" i="25" s="1"/>
  <c r="W113" i="24"/>
  <c r="S137" i="25" s="1"/>
  <c r="S113" i="24"/>
  <c r="S113" i="25" s="1"/>
  <c r="G113" i="24"/>
  <c r="S43" i="25" s="1"/>
  <c r="O113" i="24"/>
  <c r="S90" i="25" s="1"/>
  <c r="C113" i="24"/>
  <c r="S20" i="25" s="1"/>
  <c r="K113" i="24"/>
  <c r="S66" i="25" s="1"/>
  <c r="S105" i="24"/>
  <c r="S105" i="25" s="1"/>
  <c r="C105" i="24"/>
  <c r="S12" i="25" s="1"/>
  <c r="K105" i="24"/>
  <c r="S58" i="25" s="1"/>
  <c r="G105" i="24"/>
  <c r="S35" i="25" s="1"/>
  <c r="O105" i="24"/>
  <c r="S82" i="25" s="1"/>
  <c r="W105" i="24"/>
  <c r="S129" i="25" s="1"/>
  <c r="S97" i="24"/>
  <c r="S97" i="25" s="1"/>
  <c r="G97" i="24"/>
  <c r="S27" i="25" s="1"/>
  <c r="O97" i="24"/>
  <c r="S74" i="25" s="1"/>
  <c r="W97" i="24"/>
  <c r="S121" i="25" s="1"/>
  <c r="C97" i="24"/>
  <c r="S4" i="25" s="1"/>
  <c r="K97" i="24"/>
  <c r="S50" i="25" s="1"/>
  <c r="S132" i="24"/>
  <c r="W108" i="25" s="1"/>
  <c r="K132" i="24"/>
  <c r="W61" i="25" s="1"/>
  <c r="C132" i="24"/>
  <c r="W15" i="25" s="1"/>
  <c r="W132" i="24"/>
  <c r="W132" i="25" s="1"/>
  <c r="O132" i="24"/>
  <c r="W85" i="25" s="1"/>
  <c r="G132" i="24"/>
  <c r="W38" i="25" s="1"/>
  <c r="S124" i="24"/>
  <c r="W100" i="25" s="1"/>
  <c r="K124" i="24"/>
  <c r="W53" i="25" s="1"/>
  <c r="C124" i="24"/>
  <c r="W7" i="25" s="1"/>
  <c r="W124" i="24"/>
  <c r="W124" i="25" s="1"/>
  <c r="O124" i="24"/>
  <c r="W77" i="25" s="1"/>
  <c r="G124" i="24"/>
  <c r="W30" i="25" s="1"/>
  <c r="N22" i="22"/>
  <c r="G22" i="23"/>
  <c r="N4" i="24"/>
  <c r="B74" i="25" s="1"/>
  <c r="J4" i="24"/>
  <c r="B50" i="25" s="1"/>
  <c r="F4" i="24"/>
  <c r="B27" i="25" s="1"/>
  <c r="B4" i="24"/>
  <c r="B4" i="25" s="1"/>
  <c r="V4" i="24"/>
  <c r="B121" i="25" s="1"/>
  <c r="R4" i="24"/>
  <c r="B97" i="25" s="1"/>
  <c r="B11" i="24"/>
  <c r="B11" i="25" s="1"/>
  <c r="V11" i="24"/>
  <c r="B128" i="25" s="1"/>
  <c r="R11" i="24"/>
  <c r="B104" i="25" s="1"/>
  <c r="J11" i="24"/>
  <c r="B57" i="25" s="1"/>
  <c r="N11" i="24"/>
  <c r="B81" i="25" s="1"/>
  <c r="F11" i="24"/>
  <c r="B34" i="25" s="1"/>
  <c r="R55" i="24"/>
  <c r="J102" i="25" s="1"/>
  <c r="J55" i="24"/>
  <c r="J55" i="25" s="1"/>
  <c r="V55" i="24"/>
  <c r="J126" i="25" s="1"/>
  <c r="N55" i="24"/>
  <c r="J79" i="25" s="1"/>
  <c r="F55" i="24"/>
  <c r="J32" i="25" s="1"/>
  <c r="B55" i="24"/>
  <c r="J9" i="25" s="1"/>
  <c r="R108" i="24"/>
  <c r="R108" i="25" s="1"/>
  <c r="V108" i="24"/>
  <c r="R132" i="25" s="1"/>
  <c r="F108" i="24"/>
  <c r="R38" i="25" s="1"/>
  <c r="N108" i="24"/>
  <c r="R85" i="25" s="1"/>
  <c r="B108" i="24"/>
  <c r="R15" i="25" s="1"/>
  <c r="J108" i="24"/>
  <c r="R61" i="25" s="1"/>
  <c r="V127" i="24"/>
  <c r="V127" i="25" s="1"/>
  <c r="N127" i="24"/>
  <c r="V80" i="25" s="1"/>
  <c r="J127" i="24"/>
  <c r="V56" i="25" s="1"/>
  <c r="B127" i="24"/>
  <c r="V10" i="25" s="1"/>
  <c r="F127" i="24"/>
  <c r="V33" i="25" s="1"/>
  <c r="R127" i="24"/>
  <c r="V103" i="25" s="1"/>
  <c r="W31" i="24"/>
  <c r="G125" i="25" s="1"/>
  <c r="G31" i="24"/>
  <c r="G31" i="25" s="1"/>
  <c r="K31" i="24"/>
  <c r="G54" i="25" s="1"/>
  <c r="C31" i="24"/>
  <c r="G8" i="25" s="1"/>
  <c r="S31" i="24"/>
  <c r="G101" i="25" s="1"/>
  <c r="O31" i="24"/>
  <c r="G78" i="25" s="1"/>
  <c r="S49" i="24"/>
  <c r="K96" i="25" s="1"/>
  <c r="K49" i="24"/>
  <c r="K49" i="25" s="1"/>
  <c r="W49" i="24"/>
  <c r="K120" i="25" s="1"/>
  <c r="O49" i="24"/>
  <c r="K73" i="25" s="1"/>
  <c r="G49" i="24"/>
  <c r="K26" i="25" s="1"/>
  <c r="C49" i="24"/>
  <c r="K3" i="25" s="1"/>
  <c r="S102" i="24"/>
  <c r="S102" i="25" s="1"/>
  <c r="K102" i="24"/>
  <c r="S55" i="25" s="1"/>
  <c r="C102" i="24"/>
  <c r="S9" i="25" s="1"/>
  <c r="W102" i="24"/>
  <c r="S126" i="25" s="1"/>
  <c r="O102" i="24"/>
  <c r="S79" i="25" s="1"/>
  <c r="G102" i="24"/>
  <c r="S32" i="25" s="1"/>
  <c r="S129" i="24"/>
  <c r="W105" i="25" s="1"/>
  <c r="K129" i="24"/>
  <c r="W58" i="25" s="1"/>
  <c r="C129" i="24"/>
  <c r="W12" i="25" s="1"/>
  <c r="W129" i="24"/>
  <c r="W129" i="25" s="1"/>
  <c r="O129" i="24"/>
  <c r="W82" i="25" s="1"/>
  <c r="G129" i="24"/>
  <c r="W35" i="25" s="1"/>
  <c r="N2" i="24"/>
  <c r="B2" i="24"/>
  <c r="J2" i="24"/>
  <c r="F2" i="24"/>
  <c r="V2" i="24"/>
  <c r="R2" i="24"/>
  <c r="V13" i="24"/>
  <c r="B130" i="25" s="1"/>
  <c r="F13" i="24"/>
  <c r="B36" i="25" s="1"/>
  <c r="B13" i="24"/>
  <c r="B13" i="25" s="1"/>
  <c r="R13" i="24"/>
  <c r="B106" i="25" s="1"/>
  <c r="J13" i="24"/>
  <c r="B59" i="25" s="1"/>
  <c r="N13" i="24"/>
  <c r="B83" i="25" s="1"/>
  <c r="V5" i="24"/>
  <c r="B122" i="25" s="1"/>
  <c r="R5" i="24"/>
  <c r="B98" i="25" s="1"/>
  <c r="N5" i="24"/>
  <c r="B75" i="25" s="1"/>
  <c r="F5" i="24"/>
  <c r="B28" i="25" s="1"/>
  <c r="B5" i="24"/>
  <c r="B5" i="25" s="1"/>
  <c r="J5" i="24"/>
  <c r="B51" i="25" s="1"/>
  <c r="R39" i="24"/>
  <c r="F109" i="25" s="1"/>
  <c r="B39" i="24"/>
  <c r="F16" i="25" s="1"/>
  <c r="J39" i="24"/>
  <c r="F62" i="25" s="1"/>
  <c r="V39" i="24"/>
  <c r="F133" i="25" s="1"/>
  <c r="N39" i="24"/>
  <c r="F86" i="25" s="1"/>
  <c r="F39" i="24"/>
  <c r="F39" i="25" s="1"/>
  <c r="R31" i="24"/>
  <c r="F101" i="25" s="1"/>
  <c r="B31" i="24"/>
  <c r="F8" i="25" s="1"/>
  <c r="N31" i="24"/>
  <c r="F78" i="25" s="1"/>
  <c r="J31" i="24"/>
  <c r="F54" i="25" s="1"/>
  <c r="F31" i="24"/>
  <c r="F31" i="25" s="1"/>
  <c r="V31" i="24"/>
  <c r="F125" i="25" s="1"/>
  <c r="V65" i="24"/>
  <c r="J136" i="25" s="1"/>
  <c r="N65" i="24"/>
  <c r="J89" i="25" s="1"/>
  <c r="F65" i="24"/>
  <c r="J42" i="25" s="1"/>
  <c r="R65" i="24"/>
  <c r="J112" i="25" s="1"/>
  <c r="J65" i="24"/>
  <c r="J65" i="25" s="1"/>
  <c r="B65" i="24"/>
  <c r="J19" i="25" s="1"/>
  <c r="V57" i="24"/>
  <c r="J128" i="25" s="1"/>
  <c r="N57" i="24"/>
  <c r="J81" i="25" s="1"/>
  <c r="F57" i="24"/>
  <c r="J34" i="25" s="1"/>
  <c r="R57" i="24"/>
  <c r="J104" i="25" s="1"/>
  <c r="J57" i="24"/>
  <c r="J57" i="25" s="1"/>
  <c r="B57" i="24"/>
  <c r="J11" i="25" s="1"/>
  <c r="V49" i="24"/>
  <c r="J120" i="25" s="1"/>
  <c r="N49" i="24"/>
  <c r="J73" i="25" s="1"/>
  <c r="F49" i="24"/>
  <c r="J26" i="25" s="1"/>
  <c r="R49" i="24"/>
  <c r="J96" i="25" s="1"/>
  <c r="J49" i="24"/>
  <c r="J49" i="25" s="1"/>
  <c r="B49" i="24"/>
  <c r="J3" i="25" s="1"/>
  <c r="R84" i="24"/>
  <c r="N107" i="25" s="1"/>
  <c r="J84" i="24"/>
  <c r="N60" i="25" s="1"/>
  <c r="B84" i="24"/>
  <c r="N14" i="25" s="1"/>
  <c r="N84" i="24"/>
  <c r="N84" i="25" s="1"/>
  <c r="V84" i="24"/>
  <c r="N131" i="25" s="1"/>
  <c r="F84" i="24"/>
  <c r="N37" i="25" s="1"/>
  <c r="N76" i="24"/>
  <c r="N76" i="25" s="1"/>
  <c r="V76" i="24"/>
  <c r="N123" i="25" s="1"/>
  <c r="J76" i="24"/>
  <c r="N52" i="25" s="1"/>
  <c r="B76" i="24"/>
  <c r="N6" i="25" s="1"/>
  <c r="R76" i="24"/>
  <c r="N99" i="25" s="1"/>
  <c r="F76" i="24"/>
  <c r="N29" i="25" s="1"/>
  <c r="J110" i="24"/>
  <c r="R63" i="25" s="1"/>
  <c r="R110" i="24"/>
  <c r="R110" i="25" s="1"/>
  <c r="V110" i="24"/>
  <c r="R134" i="25" s="1"/>
  <c r="F110" i="24"/>
  <c r="R40" i="25" s="1"/>
  <c r="B110" i="24"/>
  <c r="R17" i="25" s="1"/>
  <c r="N110" i="24"/>
  <c r="R87" i="25" s="1"/>
  <c r="R102" i="24"/>
  <c r="R102" i="25" s="1"/>
  <c r="F102" i="24"/>
  <c r="R32" i="25" s="1"/>
  <c r="V102" i="24"/>
  <c r="R126" i="25" s="1"/>
  <c r="N102" i="24"/>
  <c r="R79" i="25" s="1"/>
  <c r="B102" i="24"/>
  <c r="R9" i="25" s="1"/>
  <c r="J102" i="24"/>
  <c r="R55" i="25" s="1"/>
  <c r="R137" i="24"/>
  <c r="V113" i="25" s="1"/>
  <c r="B137" i="24"/>
  <c r="V20" i="25" s="1"/>
  <c r="V137" i="24"/>
  <c r="V137" i="25" s="1"/>
  <c r="N137" i="24"/>
  <c r="V90" i="25" s="1"/>
  <c r="F137" i="24"/>
  <c r="V43" i="25" s="1"/>
  <c r="J137" i="24"/>
  <c r="V66" i="25" s="1"/>
  <c r="R129" i="24"/>
  <c r="V105" i="25" s="1"/>
  <c r="J129" i="24"/>
  <c r="V58" i="25" s="1"/>
  <c r="N129" i="24"/>
  <c r="V82" i="25" s="1"/>
  <c r="B129" i="24"/>
  <c r="V12" i="25" s="1"/>
  <c r="V129" i="24"/>
  <c r="V129" i="25" s="1"/>
  <c r="F129" i="24"/>
  <c r="V35" i="25" s="1"/>
  <c r="R121" i="24"/>
  <c r="V97" i="25" s="1"/>
  <c r="J121" i="24"/>
  <c r="V50" i="25" s="1"/>
  <c r="F121" i="24"/>
  <c r="V27" i="25" s="1"/>
  <c r="V121" i="24"/>
  <c r="V121" i="25" s="1"/>
  <c r="N121" i="24"/>
  <c r="V74" i="25" s="1"/>
  <c r="B121" i="24"/>
  <c r="V4" i="25" s="1"/>
  <c r="S15" i="24"/>
  <c r="C108" i="25" s="1"/>
  <c r="W15" i="24"/>
  <c r="C132" i="25" s="1"/>
  <c r="C15" i="24"/>
  <c r="C15" i="25" s="1"/>
  <c r="G15" i="24"/>
  <c r="C38" i="25" s="1"/>
  <c r="O15" i="24"/>
  <c r="C85" i="25" s="1"/>
  <c r="K15" i="24"/>
  <c r="C61" i="25" s="1"/>
  <c r="S7" i="24"/>
  <c r="C100" i="25" s="1"/>
  <c r="W7" i="24"/>
  <c r="C124" i="25" s="1"/>
  <c r="C7" i="24"/>
  <c r="C7" i="25" s="1"/>
  <c r="O7" i="24"/>
  <c r="C77" i="25" s="1"/>
  <c r="K7" i="24"/>
  <c r="C53" i="25" s="1"/>
  <c r="G7" i="24"/>
  <c r="C30" i="25" s="1"/>
  <c r="O41" i="24"/>
  <c r="G88" i="25" s="1"/>
  <c r="S41" i="24"/>
  <c r="G111" i="25" s="1"/>
  <c r="C41" i="24"/>
  <c r="G18" i="25" s="1"/>
  <c r="K41" i="24"/>
  <c r="G64" i="25" s="1"/>
  <c r="G41" i="24"/>
  <c r="G41" i="25" s="1"/>
  <c r="W41" i="24"/>
  <c r="G135" i="25" s="1"/>
  <c r="O33" i="24"/>
  <c r="G80" i="25" s="1"/>
  <c r="S33" i="24"/>
  <c r="G103" i="25" s="1"/>
  <c r="C33" i="24"/>
  <c r="G10" i="25" s="1"/>
  <c r="K33" i="24"/>
  <c r="G56" i="25" s="1"/>
  <c r="G33" i="24"/>
  <c r="G33" i="25" s="1"/>
  <c r="W33" i="24"/>
  <c r="G127" i="25" s="1"/>
  <c r="C48" i="24"/>
  <c r="O48" i="24"/>
  <c r="G48" i="24"/>
  <c r="W48" i="24"/>
  <c r="S48" i="24"/>
  <c r="K48" i="24"/>
  <c r="W59" i="24"/>
  <c r="K130" i="25" s="1"/>
  <c r="O59" i="24"/>
  <c r="K83" i="25" s="1"/>
  <c r="G59" i="24"/>
  <c r="K36" i="25" s="1"/>
  <c r="S59" i="24"/>
  <c r="K106" i="25" s="1"/>
  <c r="K59" i="24"/>
  <c r="K59" i="25" s="1"/>
  <c r="C59" i="24"/>
  <c r="K13" i="25" s="1"/>
  <c r="W51" i="24"/>
  <c r="K122" i="25" s="1"/>
  <c r="O51" i="24"/>
  <c r="K75" i="25" s="1"/>
  <c r="S51" i="24"/>
  <c r="K98" i="25" s="1"/>
  <c r="K51" i="24"/>
  <c r="K51" i="25" s="1"/>
  <c r="C51" i="24"/>
  <c r="K5" i="25" s="1"/>
  <c r="G51" i="24"/>
  <c r="K28" i="25" s="1"/>
  <c r="W86" i="24"/>
  <c r="O133" i="25" s="1"/>
  <c r="O86" i="24"/>
  <c r="O86" i="25" s="1"/>
  <c r="G86" i="24"/>
  <c r="O39" i="25" s="1"/>
  <c r="S86" i="24"/>
  <c r="O109" i="25" s="1"/>
  <c r="K86" i="24"/>
  <c r="O62" i="25" s="1"/>
  <c r="C86" i="24"/>
  <c r="O16" i="25" s="1"/>
  <c r="S78" i="24"/>
  <c r="O101" i="25" s="1"/>
  <c r="G78" i="24"/>
  <c r="O31" i="25" s="1"/>
  <c r="O78" i="24"/>
  <c r="O78" i="25" s="1"/>
  <c r="K78" i="24"/>
  <c r="O54" i="25" s="1"/>
  <c r="C78" i="24"/>
  <c r="O8" i="25" s="1"/>
  <c r="W78" i="24"/>
  <c r="O125" i="25" s="1"/>
  <c r="W112" i="24"/>
  <c r="S136" i="25" s="1"/>
  <c r="O112" i="24"/>
  <c r="S89" i="25" s="1"/>
  <c r="G112" i="24"/>
  <c r="S42" i="25" s="1"/>
  <c r="S112" i="24"/>
  <c r="S112" i="25" s="1"/>
  <c r="K112" i="24"/>
  <c r="S65" i="25" s="1"/>
  <c r="C112" i="24"/>
  <c r="S19" i="25" s="1"/>
  <c r="W104" i="24"/>
  <c r="S128" i="25" s="1"/>
  <c r="O104" i="24"/>
  <c r="S81" i="25" s="1"/>
  <c r="G104" i="24"/>
  <c r="S34" i="25" s="1"/>
  <c r="S104" i="24"/>
  <c r="S104" i="25" s="1"/>
  <c r="K104" i="24"/>
  <c r="S57" i="25" s="1"/>
  <c r="C104" i="24"/>
  <c r="S11" i="25" s="1"/>
  <c r="W96" i="24"/>
  <c r="S120" i="25" s="1"/>
  <c r="O96" i="24"/>
  <c r="S73" i="25" s="1"/>
  <c r="G96" i="24"/>
  <c r="S26" i="25" s="1"/>
  <c r="S96" i="24"/>
  <c r="S96" i="25" s="1"/>
  <c r="K96" i="24"/>
  <c r="S49" i="25" s="1"/>
  <c r="C96" i="24"/>
  <c r="S3" i="25" s="1"/>
  <c r="W131" i="24"/>
  <c r="W131" i="25" s="1"/>
  <c r="O131" i="24"/>
  <c r="W84" i="25" s="1"/>
  <c r="G131" i="24"/>
  <c r="W37" i="25" s="1"/>
  <c r="S131" i="24"/>
  <c r="W107" i="25" s="1"/>
  <c r="K131" i="24"/>
  <c r="W60" i="25" s="1"/>
  <c r="C131" i="24"/>
  <c r="W14" i="25" s="1"/>
  <c r="W123" i="24"/>
  <c r="W123" i="25" s="1"/>
  <c r="O123" i="24"/>
  <c r="W76" i="25" s="1"/>
  <c r="G123" i="24"/>
  <c r="W29" i="25" s="1"/>
  <c r="S123" i="24"/>
  <c r="W99" i="25" s="1"/>
  <c r="K123" i="24"/>
  <c r="W52" i="25" s="1"/>
  <c r="C123" i="24"/>
  <c r="W6" i="25" s="1"/>
  <c r="G22" i="22"/>
  <c r="N22" i="23"/>
  <c r="I22" i="23"/>
  <c r="E22" i="23"/>
  <c r="M22" i="22"/>
  <c r="E22" i="22"/>
  <c r="C22" i="22"/>
  <c r="K22" i="21"/>
  <c r="I22" i="21"/>
  <c r="E22" i="21"/>
  <c r="M22" i="21"/>
  <c r="G22" i="21"/>
  <c r="C22" i="21"/>
  <c r="M41" i="19"/>
  <c r="F41" i="19"/>
  <c r="H36" i="19"/>
  <c r="G36" i="19"/>
  <c r="C36" i="19"/>
  <c r="H35" i="19"/>
  <c r="G35" i="19"/>
  <c r="C35" i="19"/>
  <c r="H33" i="19"/>
  <c r="G33" i="19"/>
  <c r="C33" i="19"/>
  <c r="H32" i="19"/>
  <c r="G32" i="19"/>
  <c r="C32" i="19"/>
  <c r="H31" i="19"/>
  <c r="G31" i="19"/>
  <c r="C31" i="19"/>
  <c r="H29" i="19"/>
  <c r="G29" i="19"/>
  <c r="C29" i="19"/>
  <c r="H28" i="19"/>
  <c r="G28" i="19"/>
  <c r="C28" i="19"/>
  <c r="H26" i="19"/>
  <c r="G26" i="19"/>
  <c r="C26" i="19"/>
  <c r="E26" i="19" s="1"/>
  <c r="F26" i="19" s="1"/>
  <c r="H25" i="19"/>
  <c r="G25" i="19"/>
  <c r="C25" i="19"/>
  <c r="E25" i="19" s="1"/>
  <c r="F25" i="19" s="1"/>
  <c r="H24" i="19"/>
  <c r="G24" i="19"/>
  <c r="C24" i="19"/>
  <c r="E24" i="19" s="1"/>
  <c r="F24" i="19" s="1"/>
  <c r="H23" i="19"/>
  <c r="G23" i="19"/>
  <c r="C23" i="19"/>
  <c r="E23" i="19" s="1"/>
  <c r="F23" i="19" s="1"/>
  <c r="H22" i="19"/>
  <c r="G22" i="19"/>
  <c r="C22" i="19"/>
  <c r="H20" i="19"/>
  <c r="G20" i="19"/>
  <c r="C20" i="19"/>
  <c r="H19" i="19"/>
  <c r="J19" i="19" s="1"/>
  <c r="L19" i="19" s="1"/>
  <c r="M19" i="19" s="1"/>
  <c r="G19" i="19"/>
  <c r="C19" i="19"/>
  <c r="H17" i="19"/>
  <c r="G17" i="19"/>
  <c r="C17" i="19"/>
  <c r="E17" i="19" s="1"/>
  <c r="F17" i="19" s="1"/>
  <c r="H16" i="19"/>
  <c r="G16" i="19"/>
  <c r="C16" i="19"/>
  <c r="E16" i="19" s="1"/>
  <c r="F16" i="19" s="1"/>
  <c r="H14" i="19"/>
  <c r="G14" i="19"/>
  <c r="C14" i="19"/>
  <c r="H13" i="19"/>
  <c r="G13" i="19"/>
  <c r="C13" i="19"/>
  <c r="E13" i="19" s="1"/>
  <c r="F13" i="19" s="1"/>
  <c r="H12" i="19"/>
  <c r="G12" i="19"/>
  <c r="C12" i="19"/>
  <c r="E7" i="19"/>
  <c r="E6" i="19"/>
  <c r="B6" i="19"/>
  <c r="E5" i="19"/>
  <c r="B5" i="19"/>
  <c r="E4" i="19"/>
  <c r="B4" i="19"/>
  <c r="E3" i="19"/>
  <c r="B3" i="19"/>
  <c r="E12" i="19" l="1"/>
  <c r="F12" i="19" s="1"/>
  <c r="K48" i="25"/>
  <c r="K67" i="25" s="1"/>
  <c r="K67" i="24"/>
  <c r="S25" i="25"/>
  <c r="G114" i="24"/>
  <c r="K95" i="25"/>
  <c r="S67" i="24"/>
  <c r="K114" i="25"/>
  <c r="V2" i="25"/>
  <c r="V21" i="25" s="1"/>
  <c r="X22" i="25" s="1"/>
  <c r="B138" i="24"/>
  <c r="D139" i="24" s="1"/>
  <c r="F72" i="25"/>
  <c r="F91" i="25" s="1"/>
  <c r="N44" i="24"/>
  <c r="S48" i="25"/>
  <c r="K114" i="24"/>
  <c r="J2" i="25"/>
  <c r="J21" i="25" s="1"/>
  <c r="B67" i="24"/>
  <c r="C25" i="25"/>
  <c r="C44" i="25" s="1"/>
  <c r="G21" i="24"/>
  <c r="R25" i="25"/>
  <c r="R44" i="25" s="1"/>
  <c r="F114" i="24"/>
  <c r="H115" i="24" s="1"/>
  <c r="O95" i="25"/>
  <c r="O114" i="25" s="1"/>
  <c r="S91" i="24"/>
  <c r="W48" i="25"/>
  <c r="W67" i="25" s="1"/>
  <c r="K138" i="24"/>
  <c r="W72" i="25"/>
  <c r="W91" i="25" s="1"/>
  <c r="O138" i="24"/>
  <c r="K25" i="25"/>
  <c r="K44" i="25" s="1"/>
  <c r="G67" i="24"/>
  <c r="B119" i="25"/>
  <c r="B138" i="25" s="1"/>
  <c r="V21" i="24"/>
  <c r="V25" i="25"/>
  <c r="V44" i="25" s="1"/>
  <c r="X45" i="25" s="1"/>
  <c r="F138" i="24"/>
  <c r="G119" i="25"/>
  <c r="G138" i="25" s="1"/>
  <c r="W44" i="24"/>
  <c r="F119" i="25"/>
  <c r="F138" i="25" s="1"/>
  <c r="V44" i="24"/>
  <c r="J48" i="25"/>
  <c r="J67" i="25" s="1"/>
  <c r="J67" i="24"/>
  <c r="L68" i="24" s="1"/>
  <c r="S67" i="25"/>
  <c r="C2" i="25"/>
  <c r="C21" i="25" s="1"/>
  <c r="C21" i="24"/>
  <c r="N44" i="25"/>
  <c r="O138" i="25"/>
  <c r="W95" i="25"/>
  <c r="S138" i="24"/>
  <c r="N25" i="25"/>
  <c r="F91" i="24"/>
  <c r="K119" i="25"/>
  <c r="K138" i="25" s="1"/>
  <c r="W67" i="24"/>
  <c r="B95" i="25"/>
  <c r="B114" i="25" s="1"/>
  <c r="R21" i="24"/>
  <c r="F67" i="25"/>
  <c r="S44" i="25"/>
  <c r="K72" i="25"/>
  <c r="O67" i="24"/>
  <c r="B25" i="25"/>
  <c r="B44" i="25" s="1"/>
  <c r="F21" i="24"/>
  <c r="V119" i="25"/>
  <c r="V138" i="25" s="1"/>
  <c r="V138" i="24"/>
  <c r="X139" i="24" s="1"/>
  <c r="G2" i="25"/>
  <c r="G21" i="25" s="1"/>
  <c r="C44" i="24"/>
  <c r="F2" i="25"/>
  <c r="F21" i="25" s="1"/>
  <c r="B44" i="24"/>
  <c r="J25" i="25"/>
  <c r="J44" i="25" s="1"/>
  <c r="F67" i="24"/>
  <c r="H68" i="24" s="1"/>
  <c r="C72" i="25"/>
  <c r="C91" i="25" s="1"/>
  <c r="O21" i="24"/>
  <c r="O119" i="25"/>
  <c r="W91" i="24"/>
  <c r="W119" i="25"/>
  <c r="W138" i="24"/>
  <c r="N119" i="25"/>
  <c r="N138" i="25" s="1"/>
  <c r="P139" i="25" s="1"/>
  <c r="V91" i="24"/>
  <c r="X92" i="24" s="1"/>
  <c r="F25" i="25"/>
  <c r="F44" i="25" s="1"/>
  <c r="F44" i="24"/>
  <c r="K2" i="25"/>
  <c r="K21" i="25" s="1"/>
  <c r="C67" i="24"/>
  <c r="B48" i="25"/>
  <c r="B67" i="25" s="1"/>
  <c r="J21" i="24"/>
  <c r="V72" i="25"/>
  <c r="V91" i="25" s="1"/>
  <c r="N138" i="24"/>
  <c r="P139" i="24" s="1"/>
  <c r="G25" i="25"/>
  <c r="G44" i="25" s="1"/>
  <c r="H45" i="25" s="1"/>
  <c r="G44" i="24"/>
  <c r="F95" i="25"/>
  <c r="F114" i="25" s="1"/>
  <c r="R44" i="24"/>
  <c r="T45" i="24" s="1"/>
  <c r="S95" i="25"/>
  <c r="S114" i="25" s="1"/>
  <c r="S114" i="24"/>
  <c r="C119" i="25"/>
  <c r="C138" i="25" s="1"/>
  <c r="W21" i="24"/>
  <c r="R95" i="25"/>
  <c r="R114" i="25" s="1"/>
  <c r="R114" i="24"/>
  <c r="O25" i="25"/>
  <c r="G91" i="24"/>
  <c r="W2" i="25"/>
  <c r="W21" i="25" s="1"/>
  <c r="C138" i="24"/>
  <c r="N48" i="25"/>
  <c r="N67" i="25" s="1"/>
  <c r="J91" i="24"/>
  <c r="L92" i="24" s="1"/>
  <c r="G95" i="25"/>
  <c r="G114" i="25" s="1"/>
  <c r="S44" i="24"/>
  <c r="R119" i="25"/>
  <c r="R138" i="25" s="1"/>
  <c r="V114" i="24"/>
  <c r="X115" i="24" s="1"/>
  <c r="B2" i="25"/>
  <c r="B21" i="25" s="1"/>
  <c r="B21" i="24"/>
  <c r="K91" i="25"/>
  <c r="G48" i="25"/>
  <c r="G67" i="25" s="1"/>
  <c r="K44" i="24"/>
  <c r="S119" i="25"/>
  <c r="S138" i="25" s="1"/>
  <c r="W114" i="24"/>
  <c r="O67" i="25"/>
  <c r="C48" i="25"/>
  <c r="K21" i="24"/>
  <c r="R2" i="25"/>
  <c r="R21" i="25" s="1"/>
  <c r="B114" i="24"/>
  <c r="O48" i="25"/>
  <c r="K91" i="24"/>
  <c r="W25" i="25"/>
  <c r="W44" i="25" s="1"/>
  <c r="G138" i="24"/>
  <c r="C67" i="25"/>
  <c r="N72" i="25"/>
  <c r="N91" i="25" s="1"/>
  <c r="N91" i="24"/>
  <c r="S72" i="25"/>
  <c r="S91" i="25" s="1"/>
  <c r="O114" i="24"/>
  <c r="J119" i="25"/>
  <c r="J138" i="25" s="1"/>
  <c r="L139" i="25" s="1"/>
  <c r="V67" i="24"/>
  <c r="X68" i="24" s="1"/>
  <c r="W138" i="25"/>
  <c r="B72" i="25"/>
  <c r="B91" i="25" s="1"/>
  <c r="N21" i="24"/>
  <c r="G72" i="25"/>
  <c r="G91" i="25" s="1"/>
  <c r="O44" i="24"/>
  <c r="S2" i="25"/>
  <c r="S21" i="25" s="1"/>
  <c r="C114" i="24"/>
  <c r="J95" i="25"/>
  <c r="J114" i="25" s="1"/>
  <c r="L115" i="25" s="1"/>
  <c r="R67" i="24"/>
  <c r="T68" i="24" s="1"/>
  <c r="R48" i="25"/>
  <c r="R67" i="25" s="1"/>
  <c r="J114" i="24"/>
  <c r="L115" i="24" s="1"/>
  <c r="O72" i="25"/>
  <c r="O91" i="25" s="1"/>
  <c r="O91" i="24"/>
  <c r="W114" i="25"/>
  <c r="N2" i="25"/>
  <c r="N21" i="25" s="1"/>
  <c r="B91" i="24"/>
  <c r="V95" i="25"/>
  <c r="V114" i="25" s="1"/>
  <c r="R138" i="24"/>
  <c r="C95" i="25"/>
  <c r="S21" i="24"/>
  <c r="V48" i="25"/>
  <c r="V67" i="25" s="1"/>
  <c r="J138" i="24"/>
  <c r="L139" i="24" s="1"/>
  <c r="O44" i="25"/>
  <c r="F48" i="25"/>
  <c r="J44" i="24"/>
  <c r="L45" i="24" s="1"/>
  <c r="J72" i="25"/>
  <c r="J91" i="25" s="1"/>
  <c r="N67" i="24"/>
  <c r="P68" i="24" s="1"/>
  <c r="C114" i="25"/>
  <c r="R72" i="25"/>
  <c r="R91" i="25" s="1"/>
  <c r="N114" i="24"/>
  <c r="P115" i="24" s="1"/>
  <c r="O2" i="25"/>
  <c r="O21" i="25" s="1"/>
  <c r="C91" i="24"/>
  <c r="N95" i="25"/>
  <c r="N114" i="25" s="1"/>
  <c r="R91" i="24"/>
  <c r="T92" i="24" s="1"/>
  <c r="E18" i="19"/>
  <c r="J20" i="19"/>
  <c r="L20" i="19" s="1"/>
  <c r="M20" i="19" s="1"/>
  <c r="L21" i="19" s="1"/>
  <c r="J36" i="19"/>
  <c r="L36" i="19" s="1"/>
  <c r="M36" i="19" s="1"/>
  <c r="J31" i="19"/>
  <c r="L31" i="19" s="1"/>
  <c r="M31" i="19" s="1"/>
  <c r="J35" i="19"/>
  <c r="L35" i="19" s="1"/>
  <c r="M35" i="19" s="1"/>
  <c r="E14" i="19"/>
  <c r="F14" i="19" s="1"/>
  <c r="E15" i="19" s="1"/>
  <c r="E28" i="19"/>
  <c r="F28" i="19" s="1"/>
  <c r="J22" i="19"/>
  <c r="L22" i="19" s="1"/>
  <c r="M22" i="19" s="1"/>
  <c r="E29" i="19"/>
  <c r="F29" i="19" s="1"/>
  <c r="J14" i="19"/>
  <c r="L14" i="19" s="1"/>
  <c r="M14" i="19" s="1"/>
  <c r="J12" i="19"/>
  <c r="L12" i="19" s="1"/>
  <c r="M12" i="19" s="1"/>
  <c r="J23" i="19"/>
  <c r="L23" i="19" s="1"/>
  <c r="M23" i="19" s="1"/>
  <c r="J26" i="19"/>
  <c r="L26" i="19" s="1"/>
  <c r="M26" i="19" s="1"/>
  <c r="J28" i="19"/>
  <c r="L28" i="19" s="1"/>
  <c r="M28" i="19" s="1"/>
  <c r="E32" i="19"/>
  <c r="F32" i="19" s="1"/>
  <c r="J25" i="19"/>
  <c r="L25" i="19" s="1"/>
  <c r="M25" i="19" s="1"/>
  <c r="J16" i="19"/>
  <c r="L16" i="19" s="1"/>
  <c r="M16" i="19" s="1"/>
  <c r="E20" i="19"/>
  <c r="F20" i="19" s="1"/>
  <c r="J32" i="19"/>
  <c r="L32" i="19" s="1"/>
  <c r="M32" i="19" s="1"/>
  <c r="E36" i="19"/>
  <c r="F36" i="19" s="1"/>
  <c r="J13" i="19"/>
  <c r="L13" i="19" s="1"/>
  <c r="M13" i="19" s="1"/>
  <c r="E33" i="19"/>
  <c r="F33" i="19" s="1"/>
  <c r="J29" i="19"/>
  <c r="L29" i="19" s="1"/>
  <c r="M29" i="19" s="1"/>
  <c r="J17" i="19"/>
  <c r="L17" i="19" s="1"/>
  <c r="M17" i="19" s="1"/>
  <c r="E31" i="19"/>
  <c r="F31" i="19" s="1"/>
  <c r="J33" i="19"/>
  <c r="L33" i="19" s="1"/>
  <c r="M33" i="19" s="1"/>
  <c r="E19" i="19"/>
  <c r="F19" i="19" s="1"/>
  <c r="E21" i="19" s="1"/>
  <c r="E22" i="19"/>
  <c r="F22" i="19" s="1"/>
  <c r="E27" i="19" s="1"/>
  <c r="J24" i="19"/>
  <c r="L24" i="19" s="1"/>
  <c r="M24" i="19" s="1"/>
  <c r="E35" i="19"/>
  <c r="F35" i="19" s="1"/>
  <c r="D92" i="25" l="1"/>
  <c r="D22" i="24"/>
  <c r="X139" i="25"/>
  <c r="T22" i="24"/>
  <c r="L68" i="25"/>
  <c r="X22" i="24"/>
  <c r="D68" i="24"/>
  <c r="Z68" i="24" s="1"/>
  <c r="N144" i="24" s="1"/>
  <c r="X92" i="25"/>
  <c r="L22" i="24"/>
  <c r="D115" i="25"/>
  <c r="D139" i="25"/>
  <c r="Z139" i="25" s="1"/>
  <c r="N147" i="25" s="1"/>
  <c r="L22" i="25"/>
  <c r="X68" i="25"/>
  <c r="L92" i="25"/>
  <c r="T139" i="24"/>
  <c r="Z139" i="24" s="1"/>
  <c r="N147" i="24" s="1"/>
  <c r="D68" i="25"/>
  <c r="L45" i="25"/>
  <c r="H22" i="24"/>
  <c r="P45" i="25"/>
  <c r="T92" i="25"/>
  <c r="P115" i="25"/>
  <c r="X115" i="25"/>
  <c r="H139" i="25"/>
  <c r="P92" i="24"/>
  <c r="T22" i="25"/>
  <c r="T139" i="25"/>
  <c r="H115" i="25"/>
  <c r="H22" i="25"/>
  <c r="H92" i="24"/>
  <c r="D22" i="25"/>
  <c r="X45" i="24"/>
  <c r="T45" i="25"/>
  <c r="P45" i="24"/>
  <c r="T115" i="25"/>
  <c r="H68" i="25"/>
  <c r="P68" i="25"/>
  <c r="T68" i="25"/>
  <c r="D115" i="24"/>
  <c r="D45" i="25"/>
  <c r="P22" i="25"/>
  <c r="D92" i="24"/>
  <c r="Z92" i="24" s="1"/>
  <c r="N145" i="24" s="1"/>
  <c r="P22" i="24"/>
  <c r="P92" i="25"/>
  <c r="T115" i="24"/>
  <c r="H45" i="24"/>
  <c r="D45" i="24"/>
  <c r="H92" i="25"/>
  <c r="H139" i="24"/>
  <c r="L15" i="19"/>
  <c r="E30" i="19"/>
  <c r="E37" i="19"/>
  <c r="L30" i="19"/>
  <c r="E34" i="19"/>
  <c r="L27" i="19"/>
  <c r="L34" i="19"/>
  <c r="L37" i="19"/>
  <c r="F38" i="19"/>
  <c r="F40" i="19" s="1"/>
  <c r="L18" i="19"/>
  <c r="M38" i="19"/>
  <c r="M40" i="19" s="1"/>
  <c r="M41" i="18"/>
  <c r="F41" i="18"/>
  <c r="H36" i="18"/>
  <c r="G36" i="18"/>
  <c r="C36" i="18"/>
  <c r="H35" i="18"/>
  <c r="G35" i="18"/>
  <c r="C35" i="18"/>
  <c r="H33" i="18"/>
  <c r="G33" i="18"/>
  <c r="C33" i="18"/>
  <c r="H32" i="18"/>
  <c r="G32" i="18"/>
  <c r="C32" i="18"/>
  <c r="H31" i="18"/>
  <c r="G31" i="18"/>
  <c r="C31" i="18"/>
  <c r="H29" i="18"/>
  <c r="G29" i="18"/>
  <c r="C29" i="18"/>
  <c r="H28" i="18"/>
  <c r="G28" i="18"/>
  <c r="C28" i="18"/>
  <c r="H26" i="18"/>
  <c r="G26" i="18"/>
  <c r="C26" i="18"/>
  <c r="E26" i="18" s="1"/>
  <c r="F26" i="18" s="1"/>
  <c r="H25" i="18"/>
  <c r="G25" i="18"/>
  <c r="C25" i="18"/>
  <c r="E25" i="18" s="1"/>
  <c r="F25" i="18" s="1"/>
  <c r="H24" i="18"/>
  <c r="G24" i="18"/>
  <c r="C24" i="18"/>
  <c r="E24" i="18" s="1"/>
  <c r="F24" i="18" s="1"/>
  <c r="H23" i="18"/>
  <c r="G23" i="18"/>
  <c r="C23" i="18"/>
  <c r="E23" i="18" s="1"/>
  <c r="F23" i="18" s="1"/>
  <c r="H22" i="18"/>
  <c r="G22" i="18"/>
  <c r="C22" i="18"/>
  <c r="H20" i="18"/>
  <c r="G20" i="18"/>
  <c r="C20" i="18"/>
  <c r="H19" i="18"/>
  <c r="G19" i="18"/>
  <c r="C19" i="18"/>
  <c r="H17" i="18"/>
  <c r="G17" i="18"/>
  <c r="C17" i="18"/>
  <c r="E17" i="18" s="1"/>
  <c r="F17" i="18" s="1"/>
  <c r="H16" i="18"/>
  <c r="G16" i="18"/>
  <c r="C16" i="18"/>
  <c r="E16" i="18" s="1"/>
  <c r="F16" i="18" s="1"/>
  <c r="H14" i="18"/>
  <c r="G14" i="18"/>
  <c r="C14" i="18"/>
  <c r="H13" i="18"/>
  <c r="G13" i="18"/>
  <c r="C13" i="18"/>
  <c r="H12" i="18"/>
  <c r="G12" i="18"/>
  <c r="C12" i="18"/>
  <c r="E7" i="18"/>
  <c r="E6" i="18"/>
  <c r="B6" i="18"/>
  <c r="E5" i="18"/>
  <c r="B5" i="18"/>
  <c r="E4" i="18"/>
  <c r="B4" i="18"/>
  <c r="E3" i="18"/>
  <c r="B3" i="18"/>
  <c r="J28" i="18" l="1"/>
  <c r="Z92" i="25"/>
  <c r="N145" i="25" s="1"/>
  <c r="Z22" i="24"/>
  <c r="N142" i="24" s="1"/>
  <c r="F42" i="19"/>
  <c r="Z115" i="25"/>
  <c r="N146" i="25" s="1"/>
  <c r="Z68" i="25"/>
  <c r="N144" i="25" s="1"/>
  <c r="Z45" i="25"/>
  <c r="N143" i="25" s="1"/>
  <c r="Z45" i="24"/>
  <c r="N143" i="24" s="1"/>
  <c r="Z115" i="24"/>
  <c r="N146" i="24" s="1"/>
  <c r="Z22" i="25"/>
  <c r="N142" i="25" s="1"/>
  <c r="J32" i="18"/>
  <c r="L32" i="18" s="1"/>
  <c r="M32" i="18" s="1"/>
  <c r="M42" i="19"/>
  <c r="M43" i="19" s="1"/>
  <c r="J19" i="18"/>
  <c r="L19" i="18" s="1"/>
  <c r="M19" i="18" s="1"/>
  <c r="J33" i="18"/>
  <c r="L33" i="18" s="1"/>
  <c r="M33" i="18" s="1"/>
  <c r="J31" i="18"/>
  <c r="L31" i="18" s="1"/>
  <c r="M31" i="18" s="1"/>
  <c r="J13" i="18"/>
  <c r="L13" i="18" s="1"/>
  <c r="M13" i="18" s="1"/>
  <c r="J12" i="18"/>
  <c r="L12" i="18" s="1"/>
  <c r="M12" i="18" s="1"/>
  <c r="J23" i="18"/>
  <c r="L23" i="18" s="1"/>
  <c r="M23" i="18" s="1"/>
  <c r="J22" i="18"/>
  <c r="L22" i="18" s="1"/>
  <c r="M22" i="18" s="1"/>
  <c r="J35" i="18"/>
  <c r="L35" i="18" s="1"/>
  <c r="M35" i="18" s="1"/>
  <c r="E13" i="18"/>
  <c r="F13" i="18" s="1"/>
  <c r="J36" i="18"/>
  <c r="L36" i="18" s="1"/>
  <c r="M36" i="18" s="1"/>
  <c r="E14" i="18"/>
  <c r="F14" i="18" s="1"/>
  <c r="J20" i="18"/>
  <c r="L20" i="18" s="1"/>
  <c r="M20" i="18" s="1"/>
  <c r="J16" i="18"/>
  <c r="L16" i="18" s="1"/>
  <c r="M16" i="18" s="1"/>
  <c r="J25" i="18"/>
  <c r="L25" i="18" s="1"/>
  <c r="M25" i="18" s="1"/>
  <c r="L28" i="18"/>
  <c r="M28" i="18" s="1"/>
  <c r="J29" i="18"/>
  <c r="L29" i="18" s="1"/>
  <c r="M29" i="18" s="1"/>
  <c r="E20" i="18"/>
  <c r="F20" i="18" s="1"/>
  <c r="J17" i="18"/>
  <c r="L17" i="18" s="1"/>
  <c r="M17" i="18" s="1"/>
  <c r="E12" i="18"/>
  <c r="F12" i="18" s="1"/>
  <c r="J14" i="18"/>
  <c r="L14" i="18" s="1"/>
  <c r="M14" i="18" s="1"/>
  <c r="E22" i="18"/>
  <c r="F22" i="18" s="1"/>
  <c r="E27" i="18" s="1"/>
  <c r="E32" i="18"/>
  <c r="F32" i="18" s="1"/>
  <c r="E35" i="18"/>
  <c r="F35" i="18" s="1"/>
  <c r="J24" i="18"/>
  <c r="L24" i="18" s="1"/>
  <c r="M24" i="18" s="1"/>
  <c r="J26" i="18"/>
  <c r="L26" i="18" s="1"/>
  <c r="M26" i="18" s="1"/>
  <c r="E31" i="18"/>
  <c r="F31" i="18" s="1"/>
  <c r="E33" i="18"/>
  <c r="F33" i="18" s="1"/>
  <c r="E36" i="18"/>
  <c r="F36" i="18" s="1"/>
  <c r="E18" i="18"/>
  <c r="E29" i="18"/>
  <c r="F29" i="18" s="1"/>
  <c r="E28" i="18"/>
  <c r="F28" i="18" s="1"/>
  <c r="E19" i="18"/>
  <c r="F19" i="18" s="1"/>
  <c r="N148" i="25" l="1"/>
  <c r="G152" i="25" s="1"/>
  <c r="N148" i="24"/>
  <c r="F152" i="25" s="1"/>
  <c r="H152" i="25" s="1"/>
  <c r="N30" i="27" s="1"/>
  <c r="N31" i="27" s="1"/>
  <c r="N32" i="27" s="1"/>
  <c r="E15" i="18"/>
  <c r="E21" i="18"/>
  <c r="L30" i="18"/>
  <c r="L37" i="18"/>
  <c r="E30" i="18"/>
  <c r="L34" i="18"/>
  <c r="E37" i="18"/>
  <c r="L15" i="18"/>
  <c r="L21" i="18"/>
  <c r="M38" i="18"/>
  <c r="M40" i="18" s="1"/>
  <c r="L18" i="18"/>
  <c r="E34" i="18"/>
  <c r="L27" i="18"/>
  <c r="F38" i="18"/>
  <c r="F40" i="18" s="1"/>
  <c r="F42" i="18" l="1"/>
  <c r="M42" i="18"/>
  <c r="M41" i="17"/>
  <c r="F41" i="17"/>
  <c r="H36" i="17"/>
  <c r="G36" i="17"/>
  <c r="C36" i="17"/>
  <c r="H35" i="17"/>
  <c r="G35" i="17"/>
  <c r="C35" i="17"/>
  <c r="H33" i="17"/>
  <c r="G33" i="17"/>
  <c r="C33" i="17"/>
  <c r="H32" i="17"/>
  <c r="G32" i="17"/>
  <c r="C32" i="17"/>
  <c r="H31" i="17"/>
  <c r="G31" i="17"/>
  <c r="C31" i="17"/>
  <c r="H29" i="17"/>
  <c r="G29" i="17"/>
  <c r="C29" i="17"/>
  <c r="H28" i="17"/>
  <c r="G28" i="17"/>
  <c r="C28" i="17"/>
  <c r="H26" i="17"/>
  <c r="G26" i="17"/>
  <c r="C26" i="17"/>
  <c r="E26" i="17" s="1"/>
  <c r="F26" i="17" s="1"/>
  <c r="H25" i="17"/>
  <c r="G25" i="17"/>
  <c r="C25" i="17"/>
  <c r="E25" i="17" s="1"/>
  <c r="F25" i="17" s="1"/>
  <c r="H24" i="17"/>
  <c r="G24" i="17"/>
  <c r="C24" i="17"/>
  <c r="E24" i="17" s="1"/>
  <c r="F24" i="17" s="1"/>
  <c r="H23" i="17"/>
  <c r="G23" i="17"/>
  <c r="C23" i="17"/>
  <c r="E23" i="17" s="1"/>
  <c r="F23" i="17" s="1"/>
  <c r="H22" i="17"/>
  <c r="G22" i="17"/>
  <c r="C22" i="17"/>
  <c r="H20" i="17"/>
  <c r="G20" i="17"/>
  <c r="C20" i="17"/>
  <c r="H19" i="17"/>
  <c r="G19" i="17"/>
  <c r="C19" i="17"/>
  <c r="H17" i="17"/>
  <c r="G17" i="17"/>
  <c r="C17" i="17"/>
  <c r="E17" i="17" s="1"/>
  <c r="F17" i="17" s="1"/>
  <c r="H16" i="17"/>
  <c r="G16" i="17"/>
  <c r="C16" i="17"/>
  <c r="E16" i="17" s="1"/>
  <c r="F16" i="17" s="1"/>
  <c r="H14" i="17"/>
  <c r="G14" i="17"/>
  <c r="C14" i="17"/>
  <c r="H13" i="17"/>
  <c r="G13" i="17"/>
  <c r="C13" i="17"/>
  <c r="H12" i="17"/>
  <c r="G12" i="17"/>
  <c r="C12" i="17"/>
  <c r="E7" i="17"/>
  <c r="E6" i="17"/>
  <c r="B6" i="17"/>
  <c r="E5" i="17"/>
  <c r="B5" i="17"/>
  <c r="E4" i="17"/>
  <c r="B4" i="17"/>
  <c r="E3" i="17"/>
  <c r="B3" i="17"/>
  <c r="J35" i="17" l="1"/>
  <c r="L35" i="17" s="1"/>
  <c r="M35" i="17" s="1"/>
  <c r="E28" i="17"/>
  <c r="F28" i="17" s="1"/>
  <c r="M43" i="18"/>
  <c r="J32" i="17"/>
  <c r="L32" i="17" s="1"/>
  <c r="M32" i="17" s="1"/>
  <c r="J19" i="17"/>
  <c r="L19" i="17" s="1"/>
  <c r="M19" i="17" s="1"/>
  <c r="E13" i="17"/>
  <c r="F13" i="17" s="1"/>
  <c r="J16" i="17"/>
  <c r="L16" i="17" s="1"/>
  <c r="M16" i="17" s="1"/>
  <c r="J14" i="17"/>
  <c r="L14" i="17" s="1"/>
  <c r="M14" i="17" s="1"/>
  <c r="J20" i="17"/>
  <c r="L20" i="17" s="1"/>
  <c r="M20" i="17" s="1"/>
  <c r="J12" i="17"/>
  <c r="L12" i="17" s="1"/>
  <c r="M12" i="17" s="1"/>
  <c r="E22" i="17"/>
  <c r="F22" i="17" s="1"/>
  <c r="E27" i="17" s="1"/>
  <c r="J25" i="17"/>
  <c r="L25" i="17" s="1"/>
  <c r="M25" i="17" s="1"/>
  <c r="E36" i="17"/>
  <c r="F36" i="17" s="1"/>
  <c r="J23" i="17"/>
  <c r="L23" i="17" s="1"/>
  <c r="M23" i="17" s="1"/>
  <c r="E14" i="17"/>
  <c r="F14" i="17" s="1"/>
  <c r="J36" i="17"/>
  <c r="L36" i="17" s="1"/>
  <c r="M36" i="17" s="1"/>
  <c r="J17" i="17"/>
  <c r="L17" i="17" s="1"/>
  <c r="M17" i="17" s="1"/>
  <c r="E31" i="17"/>
  <c r="F31" i="17" s="1"/>
  <c r="E12" i="17"/>
  <c r="F12" i="17" s="1"/>
  <c r="E18" i="17"/>
  <c r="J31" i="17"/>
  <c r="L31" i="17" s="1"/>
  <c r="M31" i="17" s="1"/>
  <c r="E19" i="17"/>
  <c r="F19" i="17" s="1"/>
  <c r="E33" i="17"/>
  <c r="F33" i="17" s="1"/>
  <c r="J29" i="17"/>
  <c r="L29" i="17" s="1"/>
  <c r="M29" i="17" s="1"/>
  <c r="J13" i="17"/>
  <c r="L13" i="17" s="1"/>
  <c r="M13" i="17" s="1"/>
  <c r="J22" i="17"/>
  <c r="L22" i="17" s="1"/>
  <c r="M22" i="17" s="1"/>
  <c r="J24" i="17"/>
  <c r="L24" i="17" s="1"/>
  <c r="M24" i="17" s="1"/>
  <c r="J26" i="17"/>
  <c r="L26" i="17" s="1"/>
  <c r="M26" i="17" s="1"/>
  <c r="E20" i="17"/>
  <c r="F20" i="17" s="1"/>
  <c r="E35" i="17"/>
  <c r="F35" i="17" s="1"/>
  <c r="J28" i="17"/>
  <c r="L28" i="17" s="1"/>
  <c r="M28" i="17" s="1"/>
  <c r="E32" i="17"/>
  <c r="F32" i="17" s="1"/>
  <c r="J33" i="17"/>
  <c r="L33" i="17" s="1"/>
  <c r="M33" i="17" s="1"/>
  <c r="E29" i="17"/>
  <c r="F29" i="17" s="1"/>
  <c r="E30" i="17" s="1"/>
  <c r="L21" i="17" l="1"/>
  <c r="L18" i="17"/>
  <c r="L34" i="17"/>
  <c r="L15" i="17"/>
  <c r="L30" i="17"/>
  <c r="E15" i="17"/>
  <c r="L27" i="17"/>
  <c r="E37" i="17"/>
  <c r="E34" i="17"/>
  <c r="L37" i="17"/>
  <c r="M38" i="17"/>
  <c r="M40" i="17" s="1"/>
  <c r="E21" i="17"/>
  <c r="F38" i="17"/>
  <c r="F40" i="17" s="1"/>
  <c r="F42" i="17" l="1"/>
  <c r="M42" i="17"/>
  <c r="M43" i="17" l="1"/>
  <c r="M41" i="16"/>
  <c r="F41" i="16"/>
  <c r="H36" i="16"/>
  <c r="G36" i="16"/>
  <c r="C36" i="16"/>
  <c r="H35" i="16"/>
  <c r="G35" i="16"/>
  <c r="C35" i="16"/>
  <c r="H33" i="16"/>
  <c r="G33" i="16"/>
  <c r="C33" i="16"/>
  <c r="H32" i="16"/>
  <c r="G32" i="16"/>
  <c r="C32" i="16"/>
  <c r="H31" i="16"/>
  <c r="G31" i="16"/>
  <c r="C31" i="16"/>
  <c r="H29" i="16"/>
  <c r="G29" i="16"/>
  <c r="C29" i="16"/>
  <c r="H28" i="16"/>
  <c r="G28" i="16"/>
  <c r="C28" i="16"/>
  <c r="H26" i="16"/>
  <c r="G26" i="16"/>
  <c r="C26" i="16"/>
  <c r="H25" i="16"/>
  <c r="G25" i="16"/>
  <c r="C25" i="16"/>
  <c r="H24" i="16"/>
  <c r="G24" i="16"/>
  <c r="C24" i="16"/>
  <c r="E24" i="16" s="1"/>
  <c r="F24" i="16" s="1"/>
  <c r="H23" i="16"/>
  <c r="G23" i="16"/>
  <c r="C23" i="16"/>
  <c r="E23" i="16" s="1"/>
  <c r="F23" i="16" s="1"/>
  <c r="H22" i="16"/>
  <c r="G22" i="16"/>
  <c r="C22" i="16"/>
  <c r="H20" i="16"/>
  <c r="G20" i="16"/>
  <c r="C20" i="16"/>
  <c r="H19" i="16"/>
  <c r="G19" i="16"/>
  <c r="C19" i="16"/>
  <c r="H17" i="16"/>
  <c r="G17" i="16"/>
  <c r="C17" i="16"/>
  <c r="E17" i="16" s="1"/>
  <c r="F17" i="16" s="1"/>
  <c r="H16" i="16"/>
  <c r="G16" i="16"/>
  <c r="C16" i="16"/>
  <c r="E16" i="16" s="1"/>
  <c r="F16" i="16" s="1"/>
  <c r="H14" i="16"/>
  <c r="G14" i="16"/>
  <c r="C14" i="16"/>
  <c r="H13" i="16"/>
  <c r="G13" i="16"/>
  <c r="C13" i="16"/>
  <c r="H12" i="16"/>
  <c r="G12" i="16"/>
  <c r="C12" i="16"/>
  <c r="E7" i="16"/>
  <c r="E6" i="16"/>
  <c r="B6" i="16"/>
  <c r="E5" i="16"/>
  <c r="B5" i="16"/>
  <c r="E4" i="16"/>
  <c r="B4" i="16"/>
  <c r="E3" i="16"/>
  <c r="B3" i="16"/>
  <c r="E14" i="16" l="1"/>
  <c r="F14" i="16" s="1"/>
  <c r="J14" i="16"/>
  <c r="L14" i="16" s="1"/>
  <c r="M14" i="16" s="1"/>
  <c r="J31" i="16"/>
  <c r="L31" i="16" s="1"/>
  <c r="M31" i="16" s="1"/>
  <c r="J13" i="16"/>
  <c r="L13" i="16" s="1"/>
  <c r="M13" i="16" s="1"/>
  <c r="E33" i="16"/>
  <c r="F33" i="16" s="1"/>
  <c r="J36" i="16"/>
  <c r="L36" i="16" s="1"/>
  <c r="M36" i="16" s="1"/>
  <c r="J26" i="16"/>
  <c r="L26" i="16" s="1"/>
  <c r="M26" i="16" s="1"/>
  <c r="J29" i="16"/>
  <c r="L29" i="16" s="1"/>
  <c r="M29" i="16" s="1"/>
  <c r="E13" i="16"/>
  <c r="F13" i="16" s="1"/>
  <c r="J12" i="16"/>
  <c r="L12" i="16" s="1"/>
  <c r="M12" i="16" s="1"/>
  <c r="J16" i="16"/>
  <c r="L16" i="16" s="1"/>
  <c r="M16" i="16" s="1"/>
  <c r="E35" i="16"/>
  <c r="F35" i="16" s="1"/>
  <c r="E28" i="16"/>
  <c r="F28" i="16" s="1"/>
  <c r="E22" i="16"/>
  <c r="F22" i="16" s="1"/>
  <c r="J24" i="16"/>
  <c r="L24" i="16" s="1"/>
  <c r="M24" i="16" s="1"/>
  <c r="E32" i="16"/>
  <c r="F32" i="16" s="1"/>
  <c r="J35" i="16"/>
  <c r="L35" i="16" s="1"/>
  <c r="M35" i="16" s="1"/>
  <c r="J17" i="16"/>
  <c r="L17" i="16" s="1"/>
  <c r="M17" i="16" s="1"/>
  <c r="J25" i="16"/>
  <c r="L25" i="16" s="1"/>
  <c r="M25" i="16" s="1"/>
  <c r="J28" i="16"/>
  <c r="L28" i="16" s="1"/>
  <c r="M28" i="16" s="1"/>
  <c r="E36" i="16"/>
  <c r="F36" i="16" s="1"/>
  <c r="E19" i="16"/>
  <c r="F19" i="16" s="1"/>
  <c r="J22" i="16"/>
  <c r="L22" i="16" s="1"/>
  <c r="M22" i="16" s="1"/>
  <c r="E29" i="16"/>
  <c r="F29" i="16" s="1"/>
  <c r="J32" i="16"/>
  <c r="L32" i="16" s="1"/>
  <c r="M32" i="16" s="1"/>
  <c r="E20" i="16"/>
  <c r="F20" i="16" s="1"/>
  <c r="J23" i="16"/>
  <c r="L23" i="16" s="1"/>
  <c r="M23" i="16" s="1"/>
  <c r="E31" i="16"/>
  <c r="F31" i="16" s="1"/>
  <c r="J33" i="16"/>
  <c r="L33" i="16" s="1"/>
  <c r="M33" i="16" s="1"/>
  <c r="E18" i="16"/>
  <c r="E26" i="16"/>
  <c r="F26" i="16" s="1"/>
  <c r="E12" i="16"/>
  <c r="F12" i="16" s="1"/>
  <c r="J19" i="16"/>
  <c r="L19" i="16" s="1"/>
  <c r="M19" i="16" s="1"/>
  <c r="J20" i="16"/>
  <c r="L20" i="16" s="1"/>
  <c r="M20" i="16" s="1"/>
  <c r="E25" i="16"/>
  <c r="F25" i="16" s="1"/>
  <c r="E21" i="16" l="1"/>
  <c r="L37" i="16"/>
  <c r="L27" i="16"/>
  <c r="L30" i="16"/>
  <c r="L15" i="16"/>
  <c r="E34" i="16"/>
  <c r="L34" i="16"/>
  <c r="L18" i="16"/>
  <c r="L21" i="16"/>
  <c r="E27" i="16"/>
  <c r="E30" i="16"/>
  <c r="E37" i="16"/>
  <c r="M38" i="16"/>
  <c r="M40" i="16" s="1"/>
  <c r="F38" i="16"/>
  <c r="F40" i="16" s="1"/>
  <c r="E15" i="16"/>
  <c r="M42" i="16" l="1"/>
  <c r="F42" i="16"/>
  <c r="M41" i="15"/>
  <c r="F41" i="15"/>
  <c r="H36" i="15"/>
  <c r="G36" i="15"/>
  <c r="C36" i="15"/>
  <c r="H35" i="15"/>
  <c r="G35" i="15"/>
  <c r="C35" i="15"/>
  <c r="H33" i="15"/>
  <c r="G33" i="15"/>
  <c r="C33" i="15"/>
  <c r="H32" i="15"/>
  <c r="G32" i="15"/>
  <c r="C32" i="15"/>
  <c r="H31" i="15"/>
  <c r="G31" i="15"/>
  <c r="C31" i="15"/>
  <c r="H29" i="15"/>
  <c r="G29" i="15"/>
  <c r="C29" i="15"/>
  <c r="H28" i="15"/>
  <c r="G28" i="15"/>
  <c r="C28" i="15"/>
  <c r="H26" i="15"/>
  <c r="G26" i="15"/>
  <c r="C26" i="15"/>
  <c r="H25" i="15"/>
  <c r="G25" i="15"/>
  <c r="C25" i="15"/>
  <c r="J25" i="15" s="1"/>
  <c r="L25" i="15" s="1"/>
  <c r="M25" i="15" s="1"/>
  <c r="H24" i="15"/>
  <c r="G24" i="15"/>
  <c r="C24" i="15"/>
  <c r="H23" i="15"/>
  <c r="G23" i="15"/>
  <c r="C23" i="15"/>
  <c r="H22" i="15"/>
  <c r="G22" i="15"/>
  <c r="C22" i="15"/>
  <c r="H20" i="15"/>
  <c r="G20" i="15"/>
  <c r="C20" i="15"/>
  <c r="H19" i="15"/>
  <c r="G19" i="15"/>
  <c r="C19" i="15"/>
  <c r="H17" i="15"/>
  <c r="G17" i="15"/>
  <c r="C17" i="15"/>
  <c r="E17" i="15" s="1"/>
  <c r="F17" i="15" s="1"/>
  <c r="H16" i="15"/>
  <c r="G16" i="15"/>
  <c r="C16" i="15"/>
  <c r="E16" i="15" s="1"/>
  <c r="F16" i="15" s="1"/>
  <c r="H14" i="15"/>
  <c r="G14" i="15"/>
  <c r="C14" i="15"/>
  <c r="H13" i="15"/>
  <c r="G13" i="15"/>
  <c r="C13" i="15"/>
  <c r="H12" i="15"/>
  <c r="G12" i="15"/>
  <c r="C12" i="15"/>
  <c r="E7" i="15"/>
  <c r="E6" i="15"/>
  <c r="B6" i="15"/>
  <c r="E5" i="15"/>
  <c r="B5" i="15"/>
  <c r="E4" i="15"/>
  <c r="B4" i="15"/>
  <c r="E3" i="15"/>
  <c r="B3" i="15"/>
  <c r="J35" i="15" l="1"/>
  <c r="J28" i="15"/>
  <c r="E14" i="15"/>
  <c r="F14" i="15" s="1"/>
  <c r="M43" i="16"/>
  <c r="E12" i="15"/>
  <c r="F12" i="15" s="1"/>
  <c r="L28" i="15"/>
  <c r="M28" i="15" s="1"/>
  <c r="J19" i="15"/>
  <c r="L19" i="15" s="1"/>
  <c r="M19" i="15" s="1"/>
  <c r="J26" i="15"/>
  <c r="L26" i="15" s="1"/>
  <c r="M26" i="15" s="1"/>
  <c r="L35" i="15"/>
  <c r="M35" i="15" s="1"/>
  <c r="J14" i="15"/>
  <c r="L14" i="15" s="1"/>
  <c r="M14" i="15" s="1"/>
  <c r="J36" i="15"/>
  <c r="L36" i="15" s="1"/>
  <c r="M36" i="15" s="1"/>
  <c r="J12" i="15"/>
  <c r="L12" i="15" s="1"/>
  <c r="M12" i="15" s="1"/>
  <c r="J29" i="15"/>
  <c r="L29" i="15" s="1"/>
  <c r="M29" i="15" s="1"/>
  <c r="J13" i="15"/>
  <c r="L13" i="15" s="1"/>
  <c r="M13" i="15" s="1"/>
  <c r="J20" i="15"/>
  <c r="L20" i="15" s="1"/>
  <c r="M20" i="15" s="1"/>
  <c r="J22" i="15"/>
  <c r="L22" i="15" s="1"/>
  <c r="M22" i="15" s="1"/>
  <c r="E20" i="15"/>
  <c r="F20" i="15" s="1"/>
  <c r="E13" i="15"/>
  <c r="F13" i="15" s="1"/>
  <c r="J24" i="15"/>
  <c r="L24" i="15" s="1"/>
  <c r="M24" i="15" s="1"/>
  <c r="J32" i="15"/>
  <c r="L32" i="15" s="1"/>
  <c r="M32" i="15" s="1"/>
  <c r="E36" i="15"/>
  <c r="F36" i="15" s="1"/>
  <c r="J17" i="15"/>
  <c r="L17" i="15" s="1"/>
  <c r="M17" i="15" s="1"/>
  <c r="J33" i="15"/>
  <c r="L33" i="15" s="1"/>
  <c r="M33" i="15" s="1"/>
  <c r="E35" i="15"/>
  <c r="F35" i="15" s="1"/>
  <c r="J16" i="15"/>
  <c r="L16" i="15" s="1"/>
  <c r="M16" i="15" s="1"/>
  <c r="J23" i="15"/>
  <c r="L23" i="15" s="1"/>
  <c r="M23" i="15" s="1"/>
  <c r="J31" i="15"/>
  <c r="L31" i="15" s="1"/>
  <c r="M31" i="15" s="1"/>
  <c r="E18" i="15"/>
  <c r="E22" i="15"/>
  <c r="F22" i="15" s="1"/>
  <c r="E23" i="15"/>
  <c r="F23" i="15" s="1"/>
  <c r="E24" i="15"/>
  <c r="F24" i="15" s="1"/>
  <c r="E25" i="15"/>
  <c r="F25" i="15" s="1"/>
  <c r="E26" i="15"/>
  <c r="F26" i="15" s="1"/>
  <c r="E28" i="15"/>
  <c r="F28" i="15" s="1"/>
  <c r="E29" i="15"/>
  <c r="F29" i="15" s="1"/>
  <c r="E31" i="15"/>
  <c r="F31" i="15" s="1"/>
  <c r="E32" i="15"/>
  <c r="F32" i="15" s="1"/>
  <c r="E33" i="15"/>
  <c r="F33" i="15" s="1"/>
  <c r="E19" i="15"/>
  <c r="F19" i="15" s="1"/>
  <c r="L30" i="15" l="1"/>
  <c r="E15" i="15"/>
  <c r="E21" i="15"/>
  <c r="E37" i="15"/>
  <c r="L15" i="15"/>
  <c r="L27" i="15"/>
  <c r="L34" i="15"/>
  <c r="L21" i="15"/>
  <c r="M38" i="15"/>
  <c r="M40" i="15" s="1"/>
  <c r="L37" i="15"/>
  <c r="L18" i="15"/>
  <c r="E34" i="15"/>
  <c r="F38" i="15"/>
  <c r="F40" i="15" s="1"/>
  <c r="E27" i="15"/>
  <c r="E30" i="15"/>
  <c r="F42" i="15" l="1"/>
  <c r="M42" i="15"/>
  <c r="M41" i="14"/>
  <c r="F41" i="14"/>
  <c r="H36" i="14"/>
  <c r="G36" i="14"/>
  <c r="C36" i="14"/>
  <c r="H35" i="14"/>
  <c r="G35" i="14"/>
  <c r="C35" i="14"/>
  <c r="H33" i="14"/>
  <c r="G33" i="14"/>
  <c r="C33" i="14"/>
  <c r="H32" i="14"/>
  <c r="G32" i="14"/>
  <c r="C32" i="14"/>
  <c r="H31" i="14"/>
  <c r="J31" i="14" s="1"/>
  <c r="G31" i="14"/>
  <c r="C31" i="14"/>
  <c r="H29" i="14"/>
  <c r="G29" i="14"/>
  <c r="C29" i="14"/>
  <c r="H28" i="14"/>
  <c r="G28" i="14"/>
  <c r="C28" i="14"/>
  <c r="H26" i="14"/>
  <c r="G26" i="14"/>
  <c r="C26" i="14"/>
  <c r="E26" i="14" s="1"/>
  <c r="F26" i="14" s="1"/>
  <c r="H25" i="14"/>
  <c r="G25" i="14"/>
  <c r="C25" i="14"/>
  <c r="E25" i="14" s="1"/>
  <c r="F25" i="14" s="1"/>
  <c r="H24" i="14"/>
  <c r="G24" i="14"/>
  <c r="C24" i="14"/>
  <c r="E24" i="14" s="1"/>
  <c r="F24" i="14" s="1"/>
  <c r="H23" i="14"/>
  <c r="G23" i="14"/>
  <c r="C23" i="14"/>
  <c r="E23" i="14" s="1"/>
  <c r="F23" i="14" s="1"/>
  <c r="H22" i="14"/>
  <c r="G22" i="14"/>
  <c r="C22" i="14"/>
  <c r="H20" i="14"/>
  <c r="G20" i="14"/>
  <c r="C20" i="14"/>
  <c r="H19" i="14"/>
  <c r="G19" i="14"/>
  <c r="C19" i="14"/>
  <c r="H17" i="14"/>
  <c r="G17" i="14"/>
  <c r="C17" i="14"/>
  <c r="E17" i="14" s="1"/>
  <c r="F17" i="14" s="1"/>
  <c r="H16" i="14"/>
  <c r="G16" i="14"/>
  <c r="C16" i="14"/>
  <c r="E16" i="14" s="1"/>
  <c r="F16" i="14" s="1"/>
  <c r="H14" i="14"/>
  <c r="G14" i="14"/>
  <c r="C14" i="14"/>
  <c r="H13" i="14"/>
  <c r="G13" i="14"/>
  <c r="C13" i="14"/>
  <c r="H12" i="14"/>
  <c r="G12" i="14"/>
  <c r="C12" i="14"/>
  <c r="E7" i="14"/>
  <c r="E6" i="14"/>
  <c r="B6" i="14"/>
  <c r="E5" i="14"/>
  <c r="B5" i="14"/>
  <c r="E4" i="14"/>
  <c r="B4" i="14"/>
  <c r="E3" i="14"/>
  <c r="B3" i="14"/>
  <c r="M43" i="15" l="1"/>
  <c r="J13" i="14"/>
  <c r="L13" i="14" s="1"/>
  <c r="M13" i="14" s="1"/>
  <c r="E22" i="14"/>
  <c r="F22" i="14" s="1"/>
  <c r="J17" i="14"/>
  <c r="L17" i="14" s="1"/>
  <c r="M17" i="14" s="1"/>
  <c r="J32" i="14"/>
  <c r="L32" i="14" s="1"/>
  <c r="M32" i="14" s="1"/>
  <c r="J12" i="14"/>
  <c r="L12" i="14" s="1"/>
  <c r="M12" i="14" s="1"/>
  <c r="J23" i="14"/>
  <c r="L23" i="14" s="1"/>
  <c r="M23" i="14" s="1"/>
  <c r="J16" i="14"/>
  <c r="L16" i="14" s="1"/>
  <c r="M16" i="14" s="1"/>
  <c r="L31" i="14"/>
  <c r="M31" i="14" s="1"/>
  <c r="J22" i="14"/>
  <c r="L22" i="14" s="1"/>
  <c r="M22" i="14" s="1"/>
  <c r="J28" i="14"/>
  <c r="E13" i="14"/>
  <c r="F13" i="14" s="1"/>
  <c r="J25" i="14"/>
  <c r="L25" i="14" s="1"/>
  <c r="M25" i="14" s="1"/>
  <c r="J33" i="14"/>
  <c r="L33" i="14" s="1"/>
  <c r="M33" i="14" s="1"/>
  <c r="L28" i="14"/>
  <c r="M28" i="14" s="1"/>
  <c r="E32" i="14"/>
  <c r="F32" i="14" s="1"/>
  <c r="E35" i="14"/>
  <c r="F35" i="14" s="1"/>
  <c r="E29" i="14"/>
  <c r="F29" i="14" s="1"/>
  <c r="J35" i="14"/>
  <c r="L35" i="14" s="1"/>
  <c r="M35" i="14" s="1"/>
  <c r="J14" i="14"/>
  <c r="L14" i="14" s="1"/>
  <c r="M14" i="14" s="1"/>
  <c r="J29" i="14"/>
  <c r="L29" i="14" s="1"/>
  <c r="M29" i="14" s="1"/>
  <c r="E36" i="14"/>
  <c r="F36" i="14" s="1"/>
  <c r="E19" i="14"/>
  <c r="F19" i="14" s="1"/>
  <c r="E31" i="14"/>
  <c r="F31" i="14" s="1"/>
  <c r="E33" i="14"/>
  <c r="F33" i="14" s="1"/>
  <c r="J26" i="14"/>
  <c r="L26" i="14" s="1"/>
  <c r="M26" i="14" s="1"/>
  <c r="J36" i="14"/>
  <c r="L36" i="14" s="1"/>
  <c r="M36" i="14" s="1"/>
  <c r="J24" i="14"/>
  <c r="L24" i="14" s="1"/>
  <c r="M24" i="14" s="1"/>
  <c r="E12" i="14"/>
  <c r="F12" i="14" s="1"/>
  <c r="E28" i="14"/>
  <c r="F28" i="14" s="1"/>
  <c r="E20" i="14"/>
  <c r="F20" i="14" s="1"/>
  <c r="E27" i="14"/>
  <c r="E18" i="14"/>
  <c r="E14" i="14"/>
  <c r="F14" i="14" s="1"/>
  <c r="J19" i="14"/>
  <c r="L19" i="14" s="1"/>
  <c r="M19" i="14" s="1"/>
  <c r="J20" i="14"/>
  <c r="L20" i="14" s="1"/>
  <c r="M20" i="14" s="1"/>
  <c r="L18" i="14" l="1"/>
  <c r="L15" i="14"/>
  <c r="E21" i="14"/>
  <c r="L37" i="14"/>
  <c r="E30" i="14"/>
  <c r="E34" i="14"/>
  <c r="L34" i="14"/>
  <c r="L27" i="14"/>
  <c r="F38" i="14"/>
  <c r="F40" i="14" s="1"/>
  <c r="E37" i="14"/>
  <c r="L21" i="14"/>
  <c r="L30" i="14"/>
  <c r="M38" i="14"/>
  <c r="M40" i="14" s="1"/>
  <c r="E15" i="14"/>
  <c r="M42" i="14" l="1"/>
  <c r="F42" i="14"/>
  <c r="M43" i="14" s="1"/>
  <c r="M41" i="13"/>
  <c r="F41" i="13"/>
  <c r="H36" i="13"/>
  <c r="G36" i="13"/>
  <c r="C36" i="13"/>
  <c r="H35" i="13"/>
  <c r="G35" i="13"/>
  <c r="C35" i="13"/>
  <c r="H33" i="13"/>
  <c r="G33" i="13"/>
  <c r="C33" i="13"/>
  <c r="H32" i="13"/>
  <c r="G32" i="13"/>
  <c r="C32" i="13"/>
  <c r="H31" i="13"/>
  <c r="G31" i="13"/>
  <c r="C31" i="13"/>
  <c r="H29" i="13"/>
  <c r="G29" i="13"/>
  <c r="C29" i="13"/>
  <c r="J29" i="13" s="1"/>
  <c r="H28" i="13"/>
  <c r="G28" i="13"/>
  <c r="C28" i="13"/>
  <c r="H26" i="13"/>
  <c r="G26" i="13"/>
  <c r="C26" i="13"/>
  <c r="E26" i="13" s="1"/>
  <c r="F26" i="13" s="1"/>
  <c r="H25" i="13"/>
  <c r="G25" i="13"/>
  <c r="C25" i="13"/>
  <c r="E25" i="13" s="1"/>
  <c r="F25" i="13" s="1"/>
  <c r="H24" i="13"/>
  <c r="G24" i="13"/>
  <c r="C24" i="13"/>
  <c r="E24" i="13" s="1"/>
  <c r="F24" i="13" s="1"/>
  <c r="H23" i="13"/>
  <c r="G23" i="13"/>
  <c r="C23" i="13"/>
  <c r="E23" i="13" s="1"/>
  <c r="F23" i="13" s="1"/>
  <c r="H22" i="13"/>
  <c r="G22" i="13"/>
  <c r="C22" i="13"/>
  <c r="H20" i="13"/>
  <c r="G20" i="13"/>
  <c r="C20" i="13"/>
  <c r="H19" i="13"/>
  <c r="G19" i="13"/>
  <c r="C19" i="13"/>
  <c r="H17" i="13"/>
  <c r="J17" i="13" s="1"/>
  <c r="L17" i="13" s="1"/>
  <c r="M17" i="13" s="1"/>
  <c r="G17" i="13"/>
  <c r="C17" i="13"/>
  <c r="E17" i="13" s="1"/>
  <c r="F17" i="13" s="1"/>
  <c r="H16" i="13"/>
  <c r="G16" i="13"/>
  <c r="C16" i="13"/>
  <c r="E16" i="13" s="1"/>
  <c r="F16" i="13" s="1"/>
  <c r="H14" i="13"/>
  <c r="G14" i="13"/>
  <c r="C14" i="13"/>
  <c r="H13" i="13"/>
  <c r="G13" i="13"/>
  <c r="C13" i="13"/>
  <c r="H12" i="13"/>
  <c r="G12" i="13"/>
  <c r="C12" i="13"/>
  <c r="E7" i="13"/>
  <c r="E6" i="13"/>
  <c r="B6" i="13"/>
  <c r="E5" i="13"/>
  <c r="B5" i="13"/>
  <c r="E4" i="13"/>
  <c r="B4" i="13"/>
  <c r="E3" i="13"/>
  <c r="B3" i="13"/>
  <c r="E32" i="13" l="1"/>
  <c r="F32" i="13" s="1"/>
  <c r="J24" i="13"/>
  <c r="L24" i="13" s="1"/>
  <c r="M24" i="13" s="1"/>
  <c r="J20" i="13"/>
  <c r="L20" i="13" s="1"/>
  <c r="M20" i="13" s="1"/>
  <c r="J25" i="13"/>
  <c r="L25" i="13" s="1"/>
  <c r="M25" i="13" s="1"/>
  <c r="J12" i="13"/>
  <c r="L12" i="13" s="1"/>
  <c r="M12" i="13" s="1"/>
  <c r="J22" i="13"/>
  <c r="L22" i="13" s="1"/>
  <c r="M22" i="13" s="1"/>
  <c r="J23" i="13"/>
  <c r="L23" i="13" s="1"/>
  <c r="M23" i="13" s="1"/>
  <c r="J26" i="13"/>
  <c r="L26" i="13" s="1"/>
  <c r="M26" i="13" s="1"/>
  <c r="L27" i="13" s="1"/>
  <c r="J28" i="13"/>
  <c r="L28" i="13" s="1"/>
  <c r="M28" i="13" s="1"/>
  <c r="J19" i="13"/>
  <c r="L19" i="13" s="1"/>
  <c r="M19" i="13" s="1"/>
  <c r="J32" i="13"/>
  <c r="L32" i="13" s="1"/>
  <c r="M32" i="13" s="1"/>
  <c r="J13" i="13"/>
  <c r="L13" i="13" s="1"/>
  <c r="M13" i="13" s="1"/>
  <c r="E33" i="13"/>
  <c r="F33" i="13" s="1"/>
  <c r="E31" i="13"/>
  <c r="F31" i="13" s="1"/>
  <c r="J14" i="13"/>
  <c r="L14" i="13" s="1"/>
  <c r="M14" i="13" s="1"/>
  <c r="E22" i="13"/>
  <c r="F22" i="13" s="1"/>
  <c r="E27" i="13" s="1"/>
  <c r="E35" i="13"/>
  <c r="F35" i="13" s="1"/>
  <c r="L29" i="13"/>
  <c r="M29" i="13" s="1"/>
  <c r="J35" i="13"/>
  <c r="L35" i="13" s="1"/>
  <c r="M35" i="13" s="1"/>
  <c r="E36" i="13"/>
  <c r="F36" i="13" s="1"/>
  <c r="E19" i="13"/>
  <c r="F19" i="13" s="1"/>
  <c r="J36" i="13"/>
  <c r="L36" i="13" s="1"/>
  <c r="M36" i="13" s="1"/>
  <c r="E28" i="13"/>
  <c r="F28" i="13" s="1"/>
  <c r="J16" i="13"/>
  <c r="L16" i="13" s="1"/>
  <c r="M16" i="13" s="1"/>
  <c r="L18" i="13" s="1"/>
  <c r="E20" i="13"/>
  <c r="F20" i="13" s="1"/>
  <c r="J31" i="13"/>
  <c r="L31" i="13" s="1"/>
  <c r="M31" i="13" s="1"/>
  <c r="J33" i="13"/>
  <c r="L33" i="13" s="1"/>
  <c r="M33" i="13" s="1"/>
  <c r="E18" i="13"/>
  <c r="E12" i="13"/>
  <c r="F12" i="13" s="1"/>
  <c r="E13" i="13"/>
  <c r="F13" i="13" s="1"/>
  <c r="E14" i="13"/>
  <c r="F14" i="13" s="1"/>
  <c r="E29" i="13"/>
  <c r="F29" i="13" s="1"/>
  <c r="E34" i="13" l="1"/>
  <c r="L15" i="13"/>
  <c r="L34" i="13"/>
  <c r="L21" i="13"/>
  <c r="L30" i="13"/>
  <c r="E30" i="13"/>
  <c r="E21" i="13"/>
  <c r="L37" i="13"/>
  <c r="M38" i="13"/>
  <c r="M40" i="13" s="1"/>
  <c r="E37" i="13"/>
  <c r="E15" i="13"/>
  <c r="F38" i="13"/>
  <c r="F40" i="13" s="1"/>
  <c r="M42" i="13" l="1"/>
  <c r="F42" i="13"/>
  <c r="M41" i="12"/>
  <c r="F41" i="12"/>
  <c r="H36" i="12"/>
  <c r="G36" i="12"/>
  <c r="C36" i="12"/>
  <c r="H35" i="12"/>
  <c r="J35" i="12" s="1"/>
  <c r="G35" i="12"/>
  <c r="C35" i="12"/>
  <c r="H33" i="12"/>
  <c r="G33" i="12"/>
  <c r="C33" i="12"/>
  <c r="H32" i="12"/>
  <c r="G32" i="12"/>
  <c r="C32" i="12"/>
  <c r="H31" i="12"/>
  <c r="G31" i="12"/>
  <c r="C31" i="12"/>
  <c r="H29" i="12"/>
  <c r="G29" i="12"/>
  <c r="C29" i="12"/>
  <c r="J29" i="12" s="1"/>
  <c r="H28" i="12"/>
  <c r="G28" i="12"/>
  <c r="C28" i="12"/>
  <c r="H26" i="12"/>
  <c r="G26" i="12"/>
  <c r="C26" i="12"/>
  <c r="E26" i="12" s="1"/>
  <c r="F26" i="12" s="1"/>
  <c r="H25" i="12"/>
  <c r="G25" i="12"/>
  <c r="C25" i="12"/>
  <c r="E25" i="12" s="1"/>
  <c r="F25" i="12" s="1"/>
  <c r="H24" i="12"/>
  <c r="J24" i="12" s="1"/>
  <c r="L24" i="12" s="1"/>
  <c r="M24" i="12" s="1"/>
  <c r="G24" i="12"/>
  <c r="C24" i="12"/>
  <c r="E24" i="12" s="1"/>
  <c r="F24" i="12" s="1"/>
  <c r="H23" i="12"/>
  <c r="G23" i="12"/>
  <c r="C23" i="12"/>
  <c r="E23" i="12" s="1"/>
  <c r="F23" i="12" s="1"/>
  <c r="H22" i="12"/>
  <c r="G22" i="12"/>
  <c r="C22" i="12"/>
  <c r="E22" i="12" s="1"/>
  <c r="F22" i="12" s="1"/>
  <c r="H20" i="12"/>
  <c r="G20" i="12"/>
  <c r="C20" i="12"/>
  <c r="H19" i="12"/>
  <c r="G19" i="12"/>
  <c r="C19" i="12"/>
  <c r="H17" i="12"/>
  <c r="G17" i="12"/>
  <c r="C17" i="12"/>
  <c r="E17" i="12" s="1"/>
  <c r="F17" i="12" s="1"/>
  <c r="H16" i="12"/>
  <c r="G16" i="12"/>
  <c r="C16" i="12"/>
  <c r="E16" i="12" s="1"/>
  <c r="F16" i="12" s="1"/>
  <c r="H14" i="12"/>
  <c r="G14" i="12"/>
  <c r="C14" i="12"/>
  <c r="H13" i="12"/>
  <c r="G13" i="12"/>
  <c r="C13" i="12"/>
  <c r="H12" i="12"/>
  <c r="G12" i="12"/>
  <c r="C12" i="12"/>
  <c r="J12" i="12" s="1"/>
  <c r="E7" i="12"/>
  <c r="E20" i="12" s="1"/>
  <c r="F20" i="12" s="1"/>
  <c r="E6" i="12"/>
  <c r="B6" i="12"/>
  <c r="E5" i="12"/>
  <c r="B5" i="12"/>
  <c r="E4" i="12"/>
  <c r="B4" i="12"/>
  <c r="E3" i="12"/>
  <c r="B3" i="12"/>
  <c r="J20" i="12" l="1"/>
  <c r="L20" i="12" s="1"/>
  <c r="M20" i="12" s="1"/>
  <c r="J14" i="12"/>
  <c r="L14" i="12" s="1"/>
  <c r="M14" i="12" s="1"/>
  <c r="J17" i="12"/>
  <c r="L17" i="12" s="1"/>
  <c r="M17" i="12" s="1"/>
  <c r="L12" i="12"/>
  <c r="M12" i="12" s="1"/>
  <c r="M43" i="13"/>
  <c r="J25" i="12"/>
  <c r="L25" i="12" s="1"/>
  <c r="M25" i="12" s="1"/>
  <c r="J26" i="12"/>
  <c r="L26" i="12" s="1"/>
  <c r="M26" i="12" s="1"/>
  <c r="J28" i="12"/>
  <c r="J22" i="12"/>
  <c r="L22" i="12" s="1"/>
  <c r="M22" i="12" s="1"/>
  <c r="J19" i="12"/>
  <c r="L19" i="12" s="1"/>
  <c r="M19" i="12" s="1"/>
  <c r="J32" i="12"/>
  <c r="L32" i="12" s="1"/>
  <c r="M32" i="12" s="1"/>
  <c r="J13" i="12"/>
  <c r="L13" i="12" s="1"/>
  <c r="M13" i="12" s="1"/>
  <c r="J16" i="12"/>
  <c r="L16" i="12" s="1"/>
  <c r="M16" i="12" s="1"/>
  <c r="E33" i="12"/>
  <c r="F33" i="12" s="1"/>
  <c r="J23" i="12"/>
  <c r="L23" i="12" s="1"/>
  <c r="M23" i="12" s="1"/>
  <c r="E31" i="12"/>
  <c r="F31" i="12" s="1"/>
  <c r="L29" i="12"/>
  <c r="M29" i="12" s="1"/>
  <c r="E32" i="12"/>
  <c r="F32" i="12" s="1"/>
  <c r="L35" i="12"/>
  <c r="M35" i="12" s="1"/>
  <c r="E36" i="12"/>
  <c r="F36" i="12" s="1"/>
  <c r="J36" i="12"/>
  <c r="L36" i="12" s="1"/>
  <c r="M36" i="12" s="1"/>
  <c r="L28" i="12"/>
  <c r="M28" i="12" s="1"/>
  <c r="J31" i="12"/>
  <c r="L31" i="12" s="1"/>
  <c r="M31" i="12" s="1"/>
  <c r="J33" i="12"/>
  <c r="L33" i="12" s="1"/>
  <c r="M33" i="12" s="1"/>
  <c r="E35" i="12"/>
  <c r="F35" i="12" s="1"/>
  <c r="E18" i="12"/>
  <c r="E27" i="12"/>
  <c r="E12" i="12"/>
  <c r="F12" i="12" s="1"/>
  <c r="E13" i="12"/>
  <c r="F13" i="12" s="1"/>
  <c r="E14" i="12"/>
  <c r="F14" i="12" s="1"/>
  <c r="E28" i="12"/>
  <c r="F28" i="12" s="1"/>
  <c r="E29" i="12"/>
  <c r="F29" i="12" s="1"/>
  <c r="E19" i="12"/>
  <c r="F19" i="12" s="1"/>
  <c r="E21" i="12" s="1"/>
  <c r="L21" i="12" l="1"/>
  <c r="L34" i="12"/>
  <c r="L15" i="12"/>
  <c r="L27" i="12"/>
  <c r="E34" i="12"/>
  <c r="L30" i="12"/>
  <c r="E30" i="12"/>
  <c r="M38" i="12"/>
  <c r="M40" i="12" s="1"/>
  <c r="L18" i="12"/>
  <c r="E37" i="12"/>
  <c r="L37" i="12"/>
  <c r="E15" i="12"/>
  <c r="F38" i="12"/>
  <c r="F40" i="12" s="1"/>
  <c r="M42" i="12" l="1"/>
  <c r="F42" i="12"/>
  <c r="M41" i="11"/>
  <c r="F41" i="11"/>
  <c r="H36" i="11"/>
  <c r="G36" i="11"/>
  <c r="C36" i="11"/>
  <c r="H35" i="11"/>
  <c r="G35" i="11"/>
  <c r="C35" i="11"/>
  <c r="H33" i="11"/>
  <c r="G33" i="11"/>
  <c r="C33" i="11"/>
  <c r="H32" i="11"/>
  <c r="G32" i="11"/>
  <c r="C32" i="11"/>
  <c r="H31" i="11"/>
  <c r="G31" i="11"/>
  <c r="C31" i="11"/>
  <c r="H29" i="11"/>
  <c r="G29" i="11"/>
  <c r="C29" i="11"/>
  <c r="H28" i="11"/>
  <c r="G28" i="11"/>
  <c r="C28" i="11"/>
  <c r="H26" i="11"/>
  <c r="G26" i="11"/>
  <c r="C26" i="11"/>
  <c r="E26" i="11" s="1"/>
  <c r="F26" i="11" s="1"/>
  <c r="H25" i="11"/>
  <c r="G25" i="11"/>
  <c r="C25" i="11"/>
  <c r="E25" i="11" s="1"/>
  <c r="F25" i="11" s="1"/>
  <c r="H24" i="11"/>
  <c r="G24" i="11"/>
  <c r="C24" i="11"/>
  <c r="E24" i="11" s="1"/>
  <c r="F24" i="11" s="1"/>
  <c r="H23" i="11"/>
  <c r="G23" i="11"/>
  <c r="C23" i="11"/>
  <c r="E23" i="11" s="1"/>
  <c r="F23" i="11" s="1"/>
  <c r="H22" i="11"/>
  <c r="G22" i="11"/>
  <c r="C22" i="11"/>
  <c r="H20" i="11"/>
  <c r="G20" i="11"/>
  <c r="C20" i="11"/>
  <c r="H19" i="11"/>
  <c r="G19" i="11"/>
  <c r="C19" i="11"/>
  <c r="H17" i="11"/>
  <c r="G17" i="11"/>
  <c r="C17" i="11"/>
  <c r="E17" i="11" s="1"/>
  <c r="F17" i="11" s="1"/>
  <c r="H16" i="11"/>
  <c r="G16" i="11"/>
  <c r="C16" i="11"/>
  <c r="E16" i="11" s="1"/>
  <c r="F16" i="11" s="1"/>
  <c r="H14" i="11"/>
  <c r="G14" i="11"/>
  <c r="C14" i="11"/>
  <c r="H13" i="11"/>
  <c r="G13" i="11"/>
  <c r="C13" i="11"/>
  <c r="H12" i="11"/>
  <c r="G12" i="11"/>
  <c r="C12" i="11"/>
  <c r="E7" i="11"/>
  <c r="E6" i="11"/>
  <c r="B6" i="11"/>
  <c r="E5" i="11"/>
  <c r="B5" i="11"/>
  <c r="E4" i="11"/>
  <c r="B4" i="11"/>
  <c r="E3" i="11"/>
  <c r="B3" i="11"/>
  <c r="J24" i="11" l="1"/>
  <c r="L24" i="11" s="1"/>
  <c r="M24" i="11" s="1"/>
  <c r="J35" i="11"/>
  <c r="M43" i="12"/>
  <c r="J12" i="11"/>
  <c r="L12" i="11" s="1"/>
  <c r="M12" i="11" s="1"/>
  <c r="J20" i="11"/>
  <c r="L20" i="11" s="1"/>
  <c r="M20" i="11" s="1"/>
  <c r="J17" i="11"/>
  <c r="L17" i="11" s="1"/>
  <c r="M17" i="11" s="1"/>
  <c r="J22" i="11"/>
  <c r="L22" i="11" s="1"/>
  <c r="M22" i="11" s="1"/>
  <c r="J25" i="11"/>
  <c r="L25" i="11" s="1"/>
  <c r="M25" i="11" s="1"/>
  <c r="E32" i="11"/>
  <c r="F32" i="11" s="1"/>
  <c r="J32" i="11"/>
  <c r="L32" i="11" s="1"/>
  <c r="M32" i="11" s="1"/>
  <c r="J19" i="11"/>
  <c r="J13" i="11"/>
  <c r="L13" i="11" s="1"/>
  <c r="M13" i="11" s="1"/>
  <c r="E33" i="11"/>
  <c r="F33" i="11" s="1"/>
  <c r="J23" i="11"/>
  <c r="L23" i="11" s="1"/>
  <c r="M23" i="11" s="1"/>
  <c r="E31" i="11"/>
  <c r="F31" i="11" s="1"/>
  <c r="J14" i="11"/>
  <c r="L14" i="11" s="1"/>
  <c r="M14" i="11" s="1"/>
  <c r="E22" i="11"/>
  <c r="F22" i="11" s="1"/>
  <c r="E27" i="11" s="1"/>
  <c r="J26" i="11"/>
  <c r="L26" i="11" s="1"/>
  <c r="M26" i="11" s="1"/>
  <c r="E29" i="11"/>
  <c r="F29" i="11" s="1"/>
  <c r="L35" i="11"/>
  <c r="M35" i="11" s="1"/>
  <c r="J29" i="11"/>
  <c r="L29" i="11" s="1"/>
  <c r="M29" i="11" s="1"/>
  <c r="E36" i="11"/>
  <c r="F36" i="11" s="1"/>
  <c r="E19" i="11"/>
  <c r="F19" i="11" s="1"/>
  <c r="J36" i="11"/>
  <c r="L36" i="11" s="1"/>
  <c r="M36" i="11" s="1"/>
  <c r="E28" i="11"/>
  <c r="F28" i="11" s="1"/>
  <c r="L19" i="11"/>
  <c r="M19" i="11" s="1"/>
  <c r="J16" i="11"/>
  <c r="L16" i="11" s="1"/>
  <c r="M16" i="11" s="1"/>
  <c r="E20" i="11"/>
  <c r="F20" i="11" s="1"/>
  <c r="J31" i="11"/>
  <c r="L31" i="11" s="1"/>
  <c r="M31" i="11" s="1"/>
  <c r="J33" i="11"/>
  <c r="L33" i="11" s="1"/>
  <c r="M33" i="11" s="1"/>
  <c r="J28" i="11"/>
  <c r="L28" i="11" s="1"/>
  <c r="M28" i="11" s="1"/>
  <c r="E35" i="11"/>
  <c r="F35" i="11" s="1"/>
  <c r="E18" i="11"/>
  <c r="E12" i="11"/>
  <c r="F12" i="11" s="1"/>
  <c r="E13" i="11"/>
  <c r="F13" i="11" s="1"/>
  <c r="E14" i="11"/>
  <c r="F14" i="11" s="1"/>
  <c r="E21" i="11" l="1"/>
  <c r="E34" i="11"/>
  <c r="L18" i="11"/>
  <c r="L21" i="11"/>
  <c r="L27" i="11"/>
  <c r="L15" i="11"/>
  <c r="E30" i="11"/>
  <c r="M38" i="11"/>
  <c r="M40" i="11" s="1"/>
  <c r="E37" i="11"/>
  <c r="L34" i="11"/>
  <c r="L30" i="11"/>
  <c r="L37" i="11"/>
  <c r="E15" i="11"/>
  <c r="F38" i="11"/>
  <c r="F40" i="11" s="1"/>
  <c r="F42" i="11" l="1"/>
  <c r="M42" i="11"/>
  <c r="M41" i="10"/>
  <c r="F41" i="10"/>
  <c r="H36" i="10"/>
  <c r="G36" i="10"/>
  <c r="C36" i="10"/>
  <c r="H35" i="10"/>
  <c r="G35" i="10"/>
  <c r="C35" i="10"/>
  <c r="H33" i="10"/>
  <c r="G33" i="10"/>
  <c r="C33" i="10"/>
  <c r="H32" i="10"/>
  <c r="G32" i="10"/>
  <c r="C32" i="10"/>
  <c r="H31" i="10"/>
  <c r="G31" i="10"/>
  <c r="C31" i="10"/>
  <c r="H29" i="10"/>
  <c r="G29" i="10"/>
  <c r="C29" i="10"/>
  <c r="J29" i="10" s="1"/>
  <c r="H28" i="10"/>
  <c r="G28" i="10"/>
  <c r="C28" i="10"/>
  <c r="H26" i="10"/>
  <c r="G26" i="10"/>
  <c r="C26" i="10"/>
  <c r="E26" i="10" s="1"/>
  <c r="F26" i="10" s="1"/>
  <c r="H25" i="10"/>
  <c r="G25" i="10"/>
  <c r="C25" i="10"/>
  <c r="E25" i="10" s="1"/>
  <c r="F25" i="10" s="1"/>
  <c r="H24" i="10"/>
  <c r="G24" i="10"/>
  <c r="C24" i="10"/>
  <c r="E24" i="10" s="1"/>
  <c r="F24" i="10" s="1"/>
  <c r="H23" i="10"/>
  <c r="G23" i="10"/>
  <c r="C23" i="10"/>
  <c r="E23" i="10" s="1"/>
  <c r="F23" i="10" s="1"/>
  <c r="H22" i="10"/>
  <c r="G22" i="10"/>
  <c r="C22" i="10"/>
  <c r="E22" i="10" s="1"/>
  <c r="F22" i="10" s="1"/>
  <c r="H20" i="10"/>
  <c r="G20" i="10"/>
  <c r="C20" i="10"/>
  <c r="H19" i="10"/>
  <c r="G19" i="10"/>
  <c r="C19" i="10"/>
  <c r="H17" i="10"/>
  <c r="G17" i="10"/>
  <c r="C17" i="10"/>
  <c r="E17" i="10" s="1"/>
  <c r="F17" i="10" s="1"/>
  <c r="H16" i="10"/>
  <c r="G16" i="10"/>
  <c r="C16" i="10"/>
  <c r="E16" i="10" s="1"/>
  <c r="F16" i="10" s="1"/>
  <c r="H14" i="10"/>
  <c r="G14" i="10"/>
  <c r="C14" i="10"/>
  <c r="H13" i="10"/>
  <c r="G13" i="10"/>
  <c r="C13" i="10"/>
  <c r="H12" i="10"/>
  <c r="G12" i="10"/>
  <c r="C12" i="10"/>
  <c r="E7" i="10"/>
  <c r="E6" i="10"/>
  <c r="B6" i="10"/>
  <c r="E5" i="10"/>
  <c r="B5" i="10"/>
  <c r="E4" i="10"/>
  <c r="B4" i="10"/>
  <c r="E3" i="10"/>
  <c r="B3" i="10"/>
  <c r="J35" i="10" l="1"/>
  <c r="J20" i="10"/>
  <c r="L20" i="10" s="1"/>
  <c r="M20" i="10" s="1"/>
  <c r="J31" i="10"/>
  <c r="L31" i="10" s="1"/>
  <c r="M31" i="10" s="1"/>
  <c r="M43" i="11"/>
  <c r="J28" i="10"/>
  <c r="J16" i="10"/>
  <c r="L16" i="10" s="1"/>
  <c r="M16" i="10" s="1"/>
  <c r="E14" i="10"/>
  <c r="F14" i="10" s="1"/>
  <c r="J17" i="10"/>
  <c r="L17" i="10" s="1"/>
  <c r="M17" i="10" s="1"/>
  <c r="J32" i="10"/>
  <c r="L32" i="10" s="1"/>
  <c r="M32" i="10" s="1"/>
  <c r="J25" i="10"/>
  <c r="L25" i="10" s="1"/>
  <c r="M25" i="10" s="1"/>
  <c r="J23" i="10"/>
  <c r="L23" i="10" s="1"/>
  <c r="M23" i="10" s="1"/>
  <c r="J33" i="10"/>
  <c r="L33" i="10" s="1"/>
  <c r="M33" i="10" s="1"/>
  <c r="L29" i="10"/>
  <c r="M29" i="10" s="1"/>
  <c r="L35" i="10"/>
  <c r="M35" i="10" s="1"/>
  <c r="J12" i="10"/>
  <c r="L12" i="10" s="1"/>
  <c r="M12" i="10" s="1"/>
  <c r="E36" i="10"/>
  <c r="F36" i="10" s="1"/>
  <c r="E31" i="10"/>
  <c r="F31" i="10" s="1"/>
  <c r="E33" i="10"/>
  <c r="F33" i="10" s="1"/>
  <c r="J22" i="10"/>
  <c r="L22" i="10" s="1"/>
  <c r="M22" i="10" s="1"/>
  <c r="J24" i="10"/>
  <c r="L24" i="10" s="1"/>
  <c r="M24" i="10" s="1"/>
  <c r="J26" i="10"/>
  <c r="L26" i="10" s="1"/>
  <c r="M26" i="10" s="1"/>
  <c r="J36" i="10"/>
  <c r="L36" i="10" s="1"/>
  <c r="M36" i="10" s="1"/>
  <c r="E19" i="10"/>
  <c r="F19" i="10" s="1"/>
  <c r="J13" i="10"/>
  <c r="L13" i="10" s="1"/>
  <c r="M13" i="10" s="1"/>
  <c r="J19" i="10"/>
  <c r="L19" i="10" s="1"/>
  <c r="M19" i="10" s="1"/>
  <c r="L28" i="10"/>
  <c r="M28" i="10" s="1"/>
  <c r="E20" i="10"/>
  <c r="F20" i="10" s="1"/>
  <c r="E32" i="10"/>
  <c r="F32" i="10" s="1"/>
  <c r="E35" i="10"/>
  <c r="F35" i="10" s="1"/>
  <c r="E18" i="10"/>
  <c r="E27" i="10"/>
  <c r="E28" i="10"/>
  <c r="F28" i="10" s="1"/>
  <c r="E29" i="10"/>
  <c r="F29" i="10" s="1"/>
  <c r="E13" i="10"/>
  <c r="F13" i="10" s="1"/>
  <c r="E12" i="10"/>
  <c r="F12" i="10" s="1"/>
  <c r="J14" i="10"/>
  <c r="L14" i="10" s="1"/>
  <c r="M14" i="10" s="1"/>
  <c r="L21" i="10" l="1"/>
  <c r="E34" i="10"/>
  <c r="L34" i="10"/>
  <c r="L18" i="10"/>
  <c r="L30" i="10"/>
  <c r="L27" i="10"/>
  <c r="E37" i="10"/>
  <c r="M38" i="10"/>
  <c r="M40" i="10" s="1"/>
  <c r="E21" i="10"/>
  <c r="L37" i="10"/>
  <c r="L15" i="10"/>
  <c r="F38" i="10"/>
  <c r="F40" i="10" s="1"/>
  <c r="E15" i="10"/>
  <c r="E30" i="10"/>
  <c r="M42" i="10" l="1"/>
  <c r="F42" i="10"/>
  <c r="M43" i="10" l="1"/>
  <c r="M41" i="9"/>
  <c r="F41" i="9"/>
  <c r="H36" i="9"/>
  <c r="G36" i="9"/>
  <c r="C36" i="9"/>
  <c r="H35" i="9"/>
  <c r="G35" i="9"/>
  <c r="C35" i="9"/>
  <c r="H33" i="9"/>
  <c r="G33" i="9"/>
  <c r="C33" i="9"/>
  <c r="H32" i="9"/>
  <c r="G32" i="9"/>
  <c r="C32" i="9"/>
  <c r="H31" i="9"/>
  <c r="J31" i="9" s="1"/>
  <c r="G31" i="9"/>
  <c r="C31" i="9"/>
  <c r="H29" i="9"/>
  <c r="G29" i="9"/>
  <c r="C29" i="9"/>
  <c r="H28" i="9"/>
  <c r="G28" i="9"/>
  <c r="C28" i="9"/>
  <c r="H26" i="9"/>
  <c r="G26" i="9"/>
  <c r="C26" i="9"/>
  <c r="E26" i="9" s="1"/>
  <c r="F26" i="9" s="1"/>
  <c r="H25" i="9"/>
  <c r="G25" i="9"/>
  <c r="C25" i="9"/>
  <c r="E25" i="9" s="1"/>
  <c r="F25" i="9" s="1"/>
  <c r="H24" i="9"/>
  <c r="J24" i="9" s="1"/>
  <c r="L24" i="9" s="1"/>
  <c r="M24" i="9" s="1"/>
  <c r="G24" i="9"/>
  <c r="C24" i="9"/>
  <c r="E24" i="9" s="1"/>
  <c r="F24" i="9" s="1"/>
  <c r="H23" i="9"/>
  <c r="G23" i="9"/>
  <c r="C23" i="9"/>
  <c r="E23" i="9" s="1"/>
  <c r="F23" i="9" s="1"/>
  <c r="H22" i="9"/>
  <c r="G22" i="9"/>
  <c r="C22" i="9"/>
  <c r="H20" i="9"/>
  <c r="G20" i="9"/>
  <c r="C20" i="9"/>
  <c r="H19" i="9"/>
  <c r="G19" i="9"/>
  <c r="C19" i="9"/>
  <c r="H17" i="9"/>
  <c r="G17" i="9"/>
  <c r="C17" i="9"/>
  <c r="E17" i="9" s="1"/>
  <c r="F17" i="9" s="1"/>
  <c r="H16" i="9"/>
  <c r="G16" i="9"/>
  <c r="C16" i="9"/>
  <c r="E16" i="9" s="1"/>
  <c r="F16" i="9" s="1"/>
  <c r="H14" i="9"/>
  <c r="G14" i="9"/>
  <c r="C14" i="9"/>
  <c r="H13" i="9"/>
  <c r="G13" i="9"/>
  <c r="C13" i="9"/>
  <c r="H12" i="9"/>
  <c r="G12" i="9"/>
  <c r="C12" i="9"/>
  <c r="E7" i="9"/>
  <c r="E6" i="9"/>
  <c r="B6" i="9"/>
  <c r="E5" i="9"/>
  <c r="B5" i="9"/>
  <c r="E4" i="9"/>
  <c r="B4" i="9"/>
  <c r="E3" i="9"/>
  <c r="B3" i="9"/>
  <c r="J28" i="9" l="1"/>
  <c r="J29" i="9"/>
  <c r="J26" i="9"/>
  <c r="L26" i="9" s="1"/>
  <c r="M26" i="9" s="1"/>
  <c r="J22" i="9"/>
  <c r="E22" i="9"/>
  <c r="F22" i="9" s="1"/>
  <c r="E27" i="9" s="1"/>
  <c r="E19" i="9"/>
  <c r="F19" i="9" s="1"/>
  <c r="L31" i="9"/>
  <c r="M31" i="9" s="1"/>
  <c r="J14" i="9"/>
  <c r="L14" i="9" s="1"/>
  <c r="M14" i="9" s="1"/>
  <c r="E20" i="9"/>
  <c r="F20" i="9" s="1"/>
  <c r="J16" i="9"/>
  <c r="L16" i="9" s="1"/>
  <c r="M16" i="9" s="1"/>
  <c r="E35" i="9"/>
  <c r="F35" i="9" s="1"/>
  <c r="J35" i="9"/>
  <c r="L35" i="9" s="1"/>
  <c r="M35" i="9" s="1"/>
  <c r="J23" i="9"/>
  <c r="L23" i="9" s="1"/>
  <c r="M23" i="9" s="1"/>
  <c r="J25" i="9"/>
  <c r="L25" i="9" s="1"/>
  <c r="M25" i="9" s="1"/>
  <c r="E36" i="9"/>
  <c r="F36" i="9" s="1"/>
  <c r="J20" i="9"/>
  <c r="L20" i="9" s="1"/>
  <c r="M20" i="9" s="1"/>
  <c r="J32" i="9"/>
  <c r="L32" i="9" s="1"/>
  <c r="M32" i="9" s="1"/>
  <c r="J17" i="9"/>
  <c r="L17" i="9" s="1"/>
  <c r="M17" i="9" s="1"/>
  <c r="L18" i="9" s="1"/>
  <c r="L28" i="9"/>
  <c r="M28" i="9" s="1"/>
  <c r="E33" i="9"/>
  <c r="F33" i="9" s="1"/>
  <c r="L29" i="9"/>
  <c r="M29" i="9" s="1"/>
  <c r="E32" i="9"/>
  <c r="F32" i="9" s="1"/>
  <c r="J33" i="9"/>
  <c r="L33" i="9" s="1"/>
  <c r="M33" i="9" s="1"/>
  <c r="J36" i="9"/>
  <c r="L36" i="9" s="1"/>
  <c r="M36" i="9" s="1"/>
  <c r="J12" i="9"/>
  <c r="L12" i="9" s="1"/>
  <c r="M12" i="9" s="1"/>
  <c r="J19" i="9"/>
  <c r="L19" i="9" s="1"/>
  <c r="M19" i="9" s="1"/>
  <c r="L22" i="9"/>
  <c r="M22" i="9" s="1"/>
  <c r="E13" i="9"/>
  <c r="F13" i="9" s="1"/>
  <c r="E31" i="9"/>
  <c r="F31" i="9" s="1"/>
  <c r="E18" i="9"/>
  <c r="J13" i="9"/>
  <c r="L13" i="9" s="1"/>
  <c r="M13" i="9" s="1"/>
  <c r="E12" i="9"/>
  <c r="F12" i="9" s="1"/>
  <c r="E14" i="9"/>
  <c r="F14" i="9" s="1"/>
  <c r="E28" i="9"/>
  <c r="F28" i="9" s="1"/>
  <c r="E29" i="9"/>
  <c r="F29" i="9" s="1"/>
  <c r="E21" i="9" l="1"/>
  <c r="L34" i="9"/>
  <c r="L15" i="9"/>
  <c r="L27" i="9"/>
  <c r="L37" i="9"/>
  <c r="E34" i="9"/>
  <c r="L21" i="9"/>
  <c r="E37" i="9"/>
  <c r="L30" i="9"/>
  <c r="M38" i="9"/>
  <c r="M40" i="9" s="1"/>
  <c r="F38" i="9"/>
  <c r="F40" i="9" s="1"/>
  <c r="E15" i="9"/>
  <c r="E30" i="9"/>
  <c r="M42" i="9" l="1"/>
  <c r="F42" i="9"/>
  <c r="M41" i="8"/>
  <c r="F41" i="8"/>
  <c r="H36" i="8"/>
  <c r="G36" i="8"/>
  <c r="C36" i="8"/>
  <c r="H35" i="8"/>
  <c r="G35" i="8"/>
  <c r="C35" i="8"/>
  <c r="H33" i="8"/>
  <c r="G33" i="8"/>
  <c r="C33" i="8"/>
  <c r="H32" i="8"/>
  <c r="G32" i="8"/>
  <c r="C32" i="8"/>
  <c r="H31" i="8"/>
  <c r="J31" i="8" s="1"/>
  <c r="G31" i="8"/>
  <c r="C31" i="8"/>
  <c r="H29" i="8"/>
  <c r="G29" i="8"/>
  <c r="C29" i="8"/>
  <c r="J29" i="8" s="1"/>
  <c r="H28" i="8"/>
  <c r="G28" i="8"/>
  <c r="C28" i="8"/>
  <c r="H26" i="8"/>
  <c r="G26" i="8"/>
  <c r="C26" i="8"/>
  <c r="E26" i="8" s="1"/>
  <c r="F26" i="8" s="1"/>
  <c r="H25" i="8"/>
  <c r="G25" i="8"/>
  <c r="C25" i="8"/>
  <c r="E25" i="8" s="1"/>
  <c r="F25" i="8" s="1"/>
  <c r="H24" i="8"/>
  <c r="G24" i="8"/>
  <c r="C24" i="8"/>
  <c r="E24" i="8" s="1"/>
  <c r="F24" i="8" s="1"/>
  <c r="H23" i="8"/>
  <c r="G23" i="8"/>
  <c r="C23" i="8"/>
  <c r="E23" i="8" s="1"/>
  <c r="F23" i="8" s="1"/>
  <c r="H22" i="8"/>
  <c r="G22" i="8"/>
  <c r="C22" i="8"/>
  <c r="H20" i="8"/>
  <c r="G20" i="8"/>
  <c r="C20" i="8"/>
  <c r="H19" i="8"/>
  <c r="G19" i="8"/>
  <c r="C19" i="8"/>
  <c r="H17" i="8"/>
  <c r="G17" i="8"/>
  <c r="C17" i="8"/>
  <c r="E17" i="8" s="1"/>
  <c r="F17" i="8" s="1"/>
  <c r="H16" i="8"/>
  <c r="G16" i="8"/>
  <c r="C16" i="8"/>
  <c r="E16" i="8" s="1"/>
  <c r="F16" i="8" s="1"/>
  <c r="H14" i="8"/>
  <c r="G14" i="8"/>
  <c r="C14" i="8"/>
  <c r="J14" i="8" s="1"/>
  <c r="H13" i="8"/>
  <c r="G13" i="8"/>
  <c r="C13" i="8"/>
  <c r="H12" i="8"/>
  <c r="G12" i="8"/>
  <c r="C12" i="8"/>
  <c r="E7" i="8"/>
  <c r="E20" i="8" s="1"/>
  <c r="F20" i="8" s="1"/>
  <c r="E6" i="8"/>
  <c r="B6" i="8"/>
  <c r="E5" i="8"/>
  <c r="B5" i="8"/>
  <c r="E4" i="8"/>
  <c r="B4" i="8"/>
  <c r="E3" i="8"/>
  <c r="B3" i="8"/>
  <c r="J20" i="8" l="1"/>
  <c r="L20" i="8" s="1"/>
  <c r="M20" i="8" s="1"/>
  <c r="J35" i="8"/>
  <c r="M43" i="9"/>
  <c r="J28" i="8"/>
  <c r="L28" i="8" s="1"/>
  <c r="M28" i="8" s="1"/>
  <c r="L30" i="8" s="1"/>
  <c r="E22" i="8"/>
  <c r="F22" i="8" s="1"/>
  <c r="E27" i="8" s="1"/>
  <c r="L31" i="8"/>
  <c r="M31" i="8" s="1"/>
  <c r="L35" i="8"/>
  <c r="M35" i="8" s="1"/>
  <c r="J17" i="8"/>
  <c r="L17" i="8" s="1"/>
  <c r="M17" i="8" s="1"/>
  <c r="L29" i="8"/>
  <c r="M29" i="8" s="1"/>
  <c r="J32" i="8"/>
  <c r="L32" i="8" s="1"/>
  <c r="M32" i="8" s="1"/>
  <c r="J25" i="8"/>
  <c r="L25" i="8" s="1"/>
  <c r="M25" i="8" s="1"/>
  <c r="L14" i="8"/>
  <c r="M14" i="8" s="1"/>
  <c r="J23" i="8"/>
  <c r="L23" i="8" s="1"/>
  <c r="M23" i="8" s="1"/>
  <c r="J33" i="8"/>
  <c r="L33" i="8" s="1"/>
  <c r="M33" i="8" s="1"/>
  <c r="J16" i="8"/>
  <c r="L16" i="8" s="1"/>
  <c r="M16" i="8" s="1"/>
  <c r="J12" i="8"/>
  <c r="L12" i="8" s="1"/>
  <c r="M12" i="8" s="1"/>
  <c r="E36" i="8"/>
  <c r="F36" i="8" s="1"/>
  <c r="E31" i="8"/>
  <c r="F31" i="8" s="1"/>
  <c r="E33" i="8"/>
  <c r="F33" i="8" s="1"/>
  <c r="J22" i="8"/>
  <c r="L22" i="8" s="1"/>
  <c r="M22" i="8" s="1"/>
  <c r="J26" i="8"/>
  <c r="L26" i="8" s="1"/>
  <c r="M26" i="8" s="1"/>
  <c r="J36" i="8"/>
  <c r="L36" i="8" s="1"/>
  <c r="M36" i="8" s="1"/>
  <c r="L37" i="8" s="1"/>
  <c r="J13" i="8"/>
  <c r="L13" i="8" s="1"/>
  <c r="M13" i="8" s="1"/>
  <c r="J19" i="8"/>
  <c r="L19" i="8" s="1"/>
  <c r="M19" i="8" s="1"/>
  <c r="J24" i="8"/>
  <c r="L24" i="8" s="1"/>
  <c r="M24" i="8" s="1"/>
  <c r="E32" i="8"/>
  <c r="F32" i="8" s="1"/>
  <c r="E35" i="8"/>
  <c r="F35" i="8" s="1"/>
  <c r="E18" i="8"/>
  <c r="E12" i="8"/>
  <c r="F12" i="8" s="1"/>
  <c r="E13" i="8"/>
  <c r="F13" i="8" s="1"/>
  <c r="E14" i="8"/>
  <c r="F14" i="8" s="1"/>
  <c r="E28" i="8"/>
  <c r="F28" i="8" s="1"/>
  <c r="E29" i="8"/>
  <c r="F29" i="8" s="1"/>
  <c r="E19" i="8"/>
  <c r="F19" i="8" s="1"/>
  <c r="E21" i="8" s="1"/>
  <c r="L21" i="8" l="1"/>
  <c r="L15" i="8"/>
  <c r="L18" i="8"/>
  <c r="L34" i="8"/>
  <c r="L27" i="8"/>
  <c r="M42" i="8" s="1"/>
  <c r="E37" i="8"/>
  <c r="E34" i="8"/>
  <c r="M38" i="8"/>
  <c r="M40" i="8" s="1"/>
  <c r="E30" i="8"/>
  <c r="F38" i="8"/>
  <c r="F40" i="8" s="1"/>
  <c r="E15" i="8"/>
  <c r="F42" i="8" l="1"/>
  <c r="M43" i="8" s="1"/>
  <c r="M41" i="6"/>
  <c r="F41" i="6"/>
  <c r="H36" i="6"/>
  <c r="G36" i="6"/>
  <c r="C36" i="6"/>
  <c r="H35" i="6"/>
  <c r="G35" i="6"/>
  <c r="C35" i="6"/>
  <c r="H33" i="6"/>
  <c r="G33" i="6"/>
  <c r="C33" i="6"/>
  <c r="H32" i="6"/>
  <c r="G32" i="6"/>
  <c r="C32" i="6"/>
  <c r="H31" i="6"/>
  <c r="J31" i="6" s="1"/>
  <c r="G31" i="6"/>
  <c r="C31" i="6"/>
  <c r="H29" i="6"/>
  <c r="G29" i="6"/>
  <c r="C29" i="6"/>
  <c r="H28" i="6"/>
  <c r="G28" i="6"/>
  <c r="C28" i="6"/>
  <c r="H26" i="6"/>
  <c r="G26" i="6"/>
  <c r="C26" i="6"/>
  <c r="H25" i="6"/>
  <c r="G25" i="6"/>
  <c r="C25" i="6"/>
  <c r="J25" i="6" s="1"/>
  <c r="L25" i="6" s="1"/>
  <c r="M25" i="6" s="1"/>
  <c r="H24" i="6"/>
  <c r="G24" i="6"/>
  <c r="C24" i="6"/>
  <c r="H23" i="6"/>
  <c r="G23" i="6"/>
  <c r="C23" i="6"/>
  <c r="H22" i="6"/>
  <c r="G22" i="6"/>
  <c r="C22" i="6"/>
  <c r="E22" i="6" s="1"/>
  <c r="F22" i="6" s="1"/>
  <c r="H20" i="6"/>
  <c r="J20" i="6" s="1"/>
  <c r="L20" i="6" s="1"/>
  <c r="M20" i="6" s="1"/>
  <c r="G20" i="6"/>
  <c r="C20" i="6"/>
  <c r="H19" i="6"/>
  <c r="G19" i="6"/>
  <c r="C19" i="6"/>
  <c r="H17" i="6"/>
  <c r="G17" i="6"/>
  <c r="C17" i="6"/>
  <c r="E17" i="6" s="1"/>
  <c r="F17" i="6" s="1"/>
  <c r="H16" i="6"/>
  <c r="G16" i="6"/>
  <c r="C16" i="6"/>
  <c r="E16" i="6" s="1"/>
  <c r="F16" i="6" s="1"/>
  <c r="H14" i="6"/>
  <c r="G14" i="6"/>
  <c r="C14" i="6"/>
  <c r="H13" i="6"/>
  <c r="G13" i="6"/>
  <c r="C13" i="6"/>
  <c r="H12" i="6"/>
  <c r="G12" i="6"/>
  <c r="C12" i="6"/>
  <c r="E7" i="6"/>
  <c r="E6" i="6"/>
  <c r="B6" i="6"/>
  <c r="E5" i="6"/>
  <c r="B5" i="6"/>
  <c r="E4" i="6"/>
  <c r="B4" i="6"/>
  <c r="E3" i="6"/>
  <c r="B3" i="6"/>
  <c r="J23" i="6" l="1"/>
  <c r="L23" i="6" s="1"/>
  <c r="M23" i="6" s="1"/>
  <c r="E13" i="6"/>
  <c r="F13" i="6" s="1"/>
  <c r="J16" i="6"/>
  <c r="L16" i="6" s="1"/>
  <c r="M16" i="6" s="1"/>
  <c r="J24" i="6"/>
  <c r="L24" i="6" s="1"/>
  <c r="M24" i="6" s="1"/>
  <c r="E19" i="6"/>
  <c r="F19" i="6" s="1"/>
  <c r="J22" i="6"/>
  <c r="L22" i="6" s="1"/>
  <c r="M22" i="6" s="1"/>
  <c r="E35" i="6"/>
  <c r="F35" i="6" s="1"/>
  <c r="E28" i="6"/>
  <c r="F28" i="6" s="1"/>
  <c r="L31" i="6"/>
  <c r="M31" i="6" s="1"/>
  <c r="E32" i="6"/>
  <c r="F32" i="6" s="1"/>
  <c r="J35" i="6"/>
  <c r="L35" i="6" s="1"/>
  <c r="M35" i="6" s="1"/>
  <c r="E14" i="6"/>
  <c r="F14" i="6" s="1"/>
  <c r="J17" i="6"/>
  <c r="L17" i="6" s="1"/>
  <c r="M17" i="6" s="1"/>
  <c r="L18" i="6" s="1"/>
  <c r="J28" i="6"/>
  <c r="L28" i="6" s="1"/>
  <c r="M28" i="6" s="1"/>
  <c r="E36" i="6"/>
  <c r="F36" i="6" s="1"/>
  <c r="E29" i="6"/>
  <c r="F29" i="6" s="1"/>
  <c r="J32" i="6"/>
  <c r="L32" i="6" s="1"/>
  <c r="M32" i="6" s="1"/>
  <c r="J14" i="6"/>
  <c r="L14" i="6" s="1"/>
  <c r="M14" i="6" s="1"/>
  <c r="E33" i="6"/>
  <c r="F33" i="6" s="1"/>
  <c r="J36" i="6"/>
  <c r="L36" i="6" s="1"/>
  <c r="M36" i="6" s="1"/>
  <c r="E12" i="6"/>
  <c r="F12" i="6" s="1"/>
  <c r="J19" i="6"/>
  <c r="L19" i="6" s="1"/>
  <c r="M19" i="6" s="1"/>
  <c r="L21" i="6" s="1"/>
  <c r="J26" i="6"/>
  <c r="L26" i="6" s="1"/>
  <c r="M26" i="6" s="1"/>
  <c r="L27" i="6" s="1"/>
  <c r="J29" i="6"/>
  <c r="L29" i="6" s="1"/>
  <c r="M29" i="6" s="1"/>
  <c r="J13" i="6"/>
  <c r="L13" i="6" s="1"/>
  <c r="M13" i="6" s="1"/>
  <c r="J12" i="6"/>
  <c r="L12" i="6" s="1"/>
  <c r="M12" i="6" s="1"/>
  <c r="E20" i="6"/>
  <c r="F20" i="6" s="1"/>
  <c r="E21" i="6" s="1"/>
  <c r="E31" i="6"/>
  <c r="F31" i="6" s="1"/>
  <c r="J33" i="6"/>
  <c r="L33" i="6" s="1"/>
  <c r="M33" i="6" s="1"/>
  <c r="E18" i="6"/>
  <c r="E23" i="6"/>
  <c r="F23" i="6" s="1"/>
  <c r="E24" i="6"/>
  <c r="F24" i="6" s="1"/>
  <c r="E25" i="6"/>
  <c r="F25" i="6" s="1"/>
  <c r="E26" i="6"/>
  <c r="F26" i="6" s="1"/>
  <c r="E27" i="6" l="1"/>
  <c r="L15" i="6"/>
  <c r="E34" i="6"/>
  <c r="L34" i="6"/>
  <c r="E15" i="6"/>
  <c r="L37" i="6"/>
  <c r="F38" i="6"/>
  <c r="F40" i="6" s="1"/>
  <c r="E30" i="6"/>
  <c r="M38" i="6"/>
  <c r="M40" i="6" s="1"/>
  <c r="E37" i="6"/>
  <c r="L30" i="6"/>
  <c r="F42" i="6" l="1"/>
  <c r="M42" i="6"/>
  <c r="M43" i="6" s="1"/>
  <c r="M41" i="5"/>
  <c r="F41" i="5"/>
  <c r="H36" i="5"/>
  <c r="G36" i="5"/>
  <c r="C36" i="5"/>
  <c r="H35" i="5"/>
  <c r="G35" i="5"/>
  <c r="C35" i="5"/>
  <c r="H33" i="5"/>
  <c r="G33" i="5"/>
  <c r="C33" i="5"/>
  <c r="H32" i="5"/>
  <c r="G32" i="5"/>
  <c r="C32" i="5"/>
  <c r="H31" i="5"/>
  <c r="G31" i="5"/>
  <c r="C31" i="5"/>
  <c r="H29" i="5"/>
  <c r="G29" i="5"/>
  <c r="C29" i="5"/>
  <c r="H28" i="5"/>
  <c r="G28" i="5"/>
  <c r="C28" i="5"/>
  <c r="H26" i="5"/>
  <c r="G26" i="5"/>
  <c r="C26" i="5"/>
  <c r="E26" i="5" s="1"/>
  <c r="F26" i="5" s="1"/>
  <c r="H25" i="5"/>
  <c r="G25" i="5"/>
  <c r="C25" i="5"/>
  <c r="E25" i="5" s="1"/>
  <c r="F25" i="5" s="1"/>
  <c r="H24" i="5"/>
  <c r="G24" i="5"/>
  <c r="C24" i="5"/>
  <c r="E24" i="5" s="1"/>
  <c r="F24" i="5" s="1"/>
  <c r="H23" i="5"/>
  <c r="G23" i="5"/>
  <c r="C23" i="5"/>
  <c r="E23" i="5" s="1"/>
  <c r="F23" i="5" s="1"/>
  <c r="H22" i="5"/>
  <c r="G22" i="5"/>
  <c r="C22" i="5"/>
  <c r="E22" i="5" s="1"/>
  <c r="F22" i="5" s="1"/>
  <c r="H20" i="5"/>
  <c r="G20" i="5"/>
  <c r="C20" i="5"/>
  <c r="H19" i="5"/>
  <c r="G19" i="5"/>
  <c r="C19" i="5"/>
  <c r="H17" i="5"/>
  <c r="G17" i="5"/>
  <c r="C17" i="5"/>
  <c r="E17" i="5" s="1"/>
  <c r="F17" i="5" s="1"/>
  <c r="H16" i="5"/>
  <c r="G16" i="5"/>
  <c r="C16" i="5"/>
  <c r="E16" i="5" s="1"/>
  <c r="F16" i="5" s="1"/>
  <c r="H14" i="5"/>
  <c r="G14" i="5"/>
  <c r="C14" i="5"/>
  <c r="H13" i="5"/>
  <c r="G13" i="5"/>
  <c r="C13" i="5"/>
  <c r="H12" i="5"/>
  <c r="G12" i="5"/>
  <c r="C12" i="5"/>
  <c r="E7" i="5"/>
  <c r="E6" i="5"/>
  <c r="B6" i="5"/>
  <c r="E5" i="5"/>
  <c r="B5" i="5"/>
  <c r="E4" i="5"/>
  <c r="B4" i="5"/>
  <c r="E3" i="5"/>
  <c r="B3" i="5"/>
  <c r="J31" i="5" l="1"/>
  <c r="J17" i="5"/>
  <c r="L17" i="5" s="1"/>
  <c r="M17" i="5" s="1"/>
  <c r="E12" i="5"/>
  <c r="F12" i="5" s="1"/>
  <c r="J24" i="5"/>
  <c r="L24" i="5" s="1"/>
  <c r="M24" i="5" s="1"/>
  <c r="E18" i="5"/>
  <c r="L31" i="5"/>
  <c r="M31" i="5" s="1"/>
  <c r="J14" i="5"/>
  <c r="L14" i="5" s="1"/>
  <c r="M14" i="5" s="1"/>
  <c r="J12" i="5"/>
  <c r="L12" i="5" s="1"/>
  <c r="M12" i="5" s="1"/>
  <c r="J20" i="5"/>
  <c r="J28" i="5"/>
  <c r="L28" i="5" s="1"/>
  <c r="M28" i="5" s="1"/>
  <c r="J25" i="5"/>
  <c r="L25" i="5" s="1"/>
  <c r="M25" i="5" s="1"/>
  <c r="J32" i="5"/>
  <c r="L32" i="5" s="1"/>
  <c r="M32" i="5" s="1"/>
  <c r="J19" i="5"/>
  <c r="L19" i="5" s="1"/>
  <c r="M19" i="5" s="1"/>
  <c r="J13" i="5"/>
  <c r="L13" i="5" s="1"/>
  <c r="M13" i="5" s="1"/>
  <c r="J16" i="5"/>
  <c r="L16" i="5" s="1"/>
  <c r="M16" i="5" s="1"/>
  <c r="L18" i="5" s="1"/>
  <c r="J29" i="5"/>
  <c r="L29" i="5" s="1"/>
  <c r="M29" i="5" s="1"/>
  <c r="L20" i="5"/>
  <c r="M20" i="5" s="1"/>
  <c r="J33" i="5"/>
  <c r="L33" i="5" s="1"/>
  <c r="M33" i="5" s="1"/>
  <c r="E14" i="5"/>
  <c r="F14" i="5" s="1"/>
  <c r="J22" i="5"/>
  <c r="L22" i="5" s="1"/>
  <c r="M22" i="5" s="1"/>
  <c r="J26" i="5"/>
  <c r="L26" i="5" s="1"/>
  <c r="M26" i="5" s="1"/>
  <c r="E29" i="5"/>
  <c r="F29" i="5" s="1"/>
  <c r="E35" i="5"/>
  <c r="F35" i="5" s="1"/>
  <c r="J35" i="5"/>
  <c r="L35" i="5" s="1"/>
  <c r="M35" i="5" s="1"/>
  <c r="E36" i="5"/>
  <c r="F36" i="5" s="1"/>
  <c r="J23" i="5"/>
  <c r="L23" i="5" s="1"/>
  <c r="M23" i="5" s="1"/>
  <c r="E28" i="5"/>
  <c r="F28" i="5" s="1"/>
  <c r="J36" i="5"/>
  <c r="L36" i="5" s="1"/>
  <c r="M36" i="5" s="1"/>
  <c r="E13" i="5"/>
  <c r="F13" i="5" s="1"/>
  <c r="E27" i="5"/>
  <c r="E32" i="5"/>
  <c r="F32" i="5" s="1"/>
  <c r="E33" i="5"/>
  <c r="F33" i="5" s="1"/>
  <c r="E31" i="5"/>
  <c r="F31" i="5" s="1"/>
  <c r="E19" i="5"/>
  <c r="F19" i="5" s="1"/>
  <c r="E20" i="5"/>
  <c r="F20" i="5" s="1"/>
  <c r="L15" i="5" l="1"/>
  <c r="L21" i="5"/>
  <c r="L34" i="5"/>
  <c r="E15" i="5"/>
  <c r="E30" i="5"/>
  <c r="L27" i="5"/>
  <c r="M42" i="5" s="1"/>
  <c r="L30" i="5"/>
  <c r="L37" i="5"/>
  <c r="E21" i="5"/>
  <c r="E37" i="5"/>
  <c r="E34" i="5"/>
  <c r="M38" i="5"/>
  <c r="M40" i="5" s="1"/>
  <c r="F38" i="5"/>
  <c r="F40" i="5" s="1"/>
  <c r="F42" i="5" l="1"/>
  <c r="M43" i="5" s="1"/>
  <c r="B3" i="4"/>
  <c r="E3" i="4"/>
  <c r="B4" i="4"/>
  <c r="E4" i="4"/>
  <c r="B5" i="4"/>
  <c r="E5" i="4"/>
  <c r="B6" i="4"/>
  <c r="E6" i="4"/>
  <c r="E7" i="4"/>
  <c r="C12" i="4"/>
  <c r="G12" i="4"/>
  <c r="H12" i="4"/>
  <c r="C13" i="4"/>
  <c r="E13" i="4" s="1"/>
  <c r="F13" i="4" s="1"/>
  <c r="G13" i="4"/>
  <c r="H13" i="4"/>
  <c r="C14" i="4"/>
  <c r="G14" i="4"/>
  <c r="H14" i="4"/>
  <c r="C16" i="4"/>
  <c r="E16" i="4" s="1"/>
  <c r="F16" i="4" s="1"/>
  <c r="G16" i="4"/>
  <c r="H16" i="4"/>
  <c r="C17" i="4"/>
  <c r="E17" i="4" s="1"/>
  <c r="F17" i="4" s="1"/>
  <c r="G17" i="4"/>
  <c r="H17" i="4"/>
  <c r="C19" i="4"/>
  <c r="E19" i="4" s="1"/>
  <c r="F19" i="4" s="1"/>
  <c r="G19" i="4"/>
  <c r="H19" i="4"/>
  <c r="J19" i="4" s="1"/>
  <c r="L19" i="4" s="1"/>
  <c r="M19" i="4" s="1"/>
  <c r="C20" i="4"/>
  <c r="E20" i="4"/>
  <c r="F20" i="4" s="1"/>
  <c r="G20" i="4"/>
  <c r="H20" i="4"/>
  <c r="C22" i="4"/>
  <c r="G22" i="4"/>
  <c r="H22" i="4"/>
  <c r="C23" i="4"/>
  <c r="E23" i="4" s="1"/>
  <c r="F23" i="4" s="1"/>
  <c r="G23" i="4"/>
  <c r="H23" i="4"/>
  <c r="C24" i="4"/>
  <c r="E24" i="4" s="1"/>
  <c r="F24" i="4" s="1"/>
  <c r="G24" i="4"/>
  <c r="H24" i="4"/>
  <c r="C25" i="4"/>
  <c r="E25" i="4" s="1"/>
  <c r="F25" i="4" s="1"/>
  <c r="G25" i="4"/>
  <c r="H25" i="4"/>
  <c r="C26" i="4"/>
  <c r="E26" i="4" s="1"/>
  <c r="F26" i="4" s="1"/>
  <c r="G26" i="4"/>
  <c r="H26" i="4"/>
  <c r="C28" i="4"/>
  <c r="E28" i="4" s="1"/>
  <c r="F28" i="4" s="1"/>
  <c r="G28" i="4"/>
  <c r="H28" i="4"/>
  <c r="C29" i="4"/>
  <c r="E29" i="4" s="1"/>
  <c r="F29" i="4" s="1"/>
  <c r="G29" i="4"/>
  <c r="H29" i="4"/>
  <c r="C31" i="4"/>
  <c r="E31" i="4" s="1"/>
  <c r="F31" i="4" s="1"/>
  <c r="E34" i="4" s="1"/>
  <c r="G31" i="4"/>
  <c r="H31" i="4"/>
  <c r="C32" i="4"/>
  <c r="E32" i="4" s="1"/>
  <c r="F32" i="4" s="1"/>
  <c r="G32" i="4"/>
  <c r="H32" i="4"/>
  <c r="J32" i="4" s="1"/>
  <c r="L32" i="4" s="1"/>
  <c r="M32" i="4" s="1"/>
  <c r="C33" i="4"/>
  <c r="E33" i="4" s="1"/>
  <c r="F33" i="4" s="1"/>
  <c r="G33" i="4"/>
  <c r="H33" i="4"/>
  <c r="J33" i="4" s="1"/>
  <c r="L33" i="4" s="1"/>
  <c r="M33" i="4" s="1"/>
  <c r="C35" i="4"/>
  <c r="E35" i="4" s="1"/>
  <c r="F35" i="4" s="1"/>
  <c r="G35" i="4"/>
  <c r="H35" i="4"/>
  <c r="C36" i="4"/>
  <c r="E36" i="4" s="1"/>
  <c r="F36" i="4" s="1"/>
  <c r="G36" i="4"/>
  <c r="H36" i="4"/>
  <c r="F41" i="4"/>
  <c r="M41" i="4"/>
  <c r="J20" i="4" l="1"/>
  <c r="L20" i="4" s="1"/>
  <c r="M20" i="4" s="1"/>
  <c r="E22" i="4"/>
  <c r="F22" i="4" s="1"/>
  <c r="E14" i="4"/>
  <c r="F14" i="4" s="1"/>
  <c r="E27" i="4"/>
  <c r="J36" i="4"/>
  <c r="L36" i="4" s="1"/>
  <c r="M36" i="4" s="1"/>
  <c r="J24" i="4"/>
  <c r="L24" i="4" s="1"/>
  <c r="M24" i="4" s="1"/>
  <c r="E37" i="4"/>
  <c r="J22" i="4"/>
  <c r="L22" i="4" s="1"/>
  <c r="M22" i="4" s="1"/>
  <c r="J25" i="4"/>
  <c r="L25" i="4" s="1"/>
  <c r="M25" i="4" s="1"/>
  <c r="E18" i="4"/>
  <c r="J31" i="4"/>
  <c r="L31" i="4" s="1"/>
  <c r="M31" i="4" s="1"/>
  <c r="L34" i="4" s="1"/>
  <c r="E30" i="4"/>
  <c r="J23" i="4"/>
  <c r="L23" i="4" s="1"/>
  <c r="M23" i="4" s="1"/>
  <c r="E12" i="4"/>
  <c r="F12" i="4" s="1"/>
  <c r="F38" i="4" s="1"/>
  <c r="F40" i="4" s="1"/>
  <c r="J35" i="4"/>
  <c r="L35" i="4" s="1"/>
  <c r="M35" i="4" s="1"/>
  <c r="L37" i="4" s="1"/>
  <c r="J26" i="4"/>
  <c r="L26" i="4" s="1"/>
  <c r="M26" i="4" s="1"/>
  <c r="L21" i="4"/>
  <c r="E21" i="4"/>
  <c r="J17" i="4"/>
  <c r="L17" i="4" s="1"/>
  <c r="M17" i="4" s="1"/>
  <c r="J16" i="4"/>
  <c r="L16" i="4" s="1"/>
  <c r="M16" i="4" s="1"/>
  <c r="J29" i="4"/>
  <c r="L29" i="4" s="1"/>
  <c r="M29" i="4" s="1"/>
  <c r="J13" i="4"/>
  <c r="L13" i="4" s="1"/>
  <c r="M13" i="4" s="1"/>
  <c r="J12" i="4"/>
  <c r="L12" i="4" s="1"/>
  <c r="M12" i="4" s="1"/>
  <c r="J28" i="4"/>
  <c r="L28" i="4" s="1"/>
  <c r="M28" i="4" s="1"/>
  <c r="L30" i="4" s="1"/>
  <c r="J14" i="4"/>
  <c r="L14" i="4" s="1"/>
  <c r="M14" i="4" s="1"/>
  <c r="L27" i="4" l="1"/>
  <c r="L18" i="4"/>
  <c r="E15" i="4"/>
  <c r="F42" i="4" s="1"/>
  <c r="L15" i="4"/>
  <c r="M38" i="4"/>
  <c r="M40" i="4" s="1"/>
  <c r="M42" i="4" l="1"/>
  <c r="M43" i="4" s="1"/>
  <c r="M41" i="3"/>
  <c r="F41" i="3"/>
  <c r="H36" i="3"/>
  <c r="G36" i="3"/>
  <c r="C36" i="3"/>
  <c r="H35" i="3"/>
  <c r="G35" i="3"/>
  <c r="C35" i="3"/>
  <c r="H33" i="3"/>
  <c r="G33" i="3"/>
  <c r="C33" i="3"/>
  <c r="H32" i="3"/>
  <c r="G32" i="3"/>
  <c r="C32" i="3"/>
  <c r="H31" i="3"/>
  <c r="J31" i="3" s="1"/>
  <c r="G31" i="3"/>
  <c r="C31" i="3"/>
  <c r="H29" i="3"/>
  <c r="G29" i="3"/>
  <c r="C29" i="3"/>
  <c r="J29" i="3" s="1"/>
  <c r="H28" i="3"/>
  <c r="G28" i="3"/>
  <c r="C28" i="3"/>
  <c r="H26" i="3"/>
  <c r="G26" i="3"/>
  <c r="C26" i="3"/>
  <c r="H25" i="3"/>
  <c r="G25" i="3"/>
  <c r="C25" i="3"/>
  <c r="H24" i="3"/>
  <c r="G24" i="3"/>
  <c r="C24" i="3"/>
  <c r="H23" i="3"/>
  <c r="G23" i="3"/>
  <c r="C23" i="3"/>
  <c r="H22" i="3"/>
  <c r="G22" i="3"/>
  <c r="C22" i="3"/>
  <c r="H20" i="3"/>
  <c r="J20" i="3" s="1"/>
  <c r="G20" i="3"/>
  <c r="C20" i="3"/>
  <c r="H19" i="3"/>
  <c r="G19" i="3"/>
  <c r="C19" i="3"/>
  <c r="H17" i="3"/>
  <c r="G17" i="3"/>
  <c r="C17" i="3"/>
  <c r="E17" i="3" s="1"/>
  <c r="F17" i="3" s="1"/>
  <c r="H16" i="3"/>
  <c r="G16" i="3"/>
  <c r="C16" i="3"/>
  <c r="E16" i="3" s="1"/>
  <c r="F16" i="3" s="1"/>
  <c r="H14" i="3"/>
  <c r="G14" i="3"/>
  <c r="C14" i="3"/>
  <c r="H13" i="3"/>
  <c r="G13" i="3"/>
  <c r="C13" i="3"/>
  <c r="H12" i="3"/>
  <c r="G12" i="3"/>
  <c r="C12" i="3"/>
  <c r="E7" i="3"/>
  <c r="E20" i="3" s="1"/>
  <c r="F20" i="3" s="1"/>
  <c r="E6" i="3"/>
  <c r="B6" i="3"/>
  <c r="E5" i="3"/>
  <c r="E36" i="3" s="1"/>
  <c r="F36" i="3" s="1"/>
  <c r="B5" i="3"/>
  <c r="E4" i="3"/>
  <c r="B4" i="3"/>
  <c r="E3" i="3"/>
  <c r="B3" i="3"/>
  <c r="J12" i="3" l="1"/>
  <c r="J24" i="3"/>
  <c r="L24" i="3" s="1"/>
  <c r="M24" i="3" s="1"/>
  <c r="L31" i="3"/>
  <c r="M31" i="3" s="1"/>
  <c r="J22" i="3"/>
  <c r="L22" i="3" s="1"/>
  <c r="M22" i="3" s="1"/>
  <c r="J17" i="3"/>
  <c r="L17" i="3" s="1"/>
  <c r="M17" i="3" s="1"/>
  <c r="L12" i="3"/>
  <c r="M12" i="3" s="1"/>
  <c r="J32" i="3"/>
  <c r="L32" i="3" s="1"/>
  <c r="M32" i="3" s="1"/>
  <c r="J26" i="3"/>
  <c r="L26" i="3" s="1"/>
  <c r="M26" i="3" s="1"/>
  <c r="J13" i="3"/>
  <c r="L13" i="3" s="1"/>
  <c r="M13" i="3" s="1"/>
  <c r="J16" i="3"/>
  <c r="L16" i="3" s="1"/>
  <c r="M16" i="3" s="1"/>
  <c r="J33" i="3"/>
  <c r="L33" i="3" s="1"/>
  <c r="M33" i="3" s="1"/>
  <c r="L20" i="3"/>
  <c r="M20" i="3" s="1"/>
  <c r="L29" i="3"/>
  <c r="M29" i="3" s="1"/>
  <c r="J35" i="3"/>
  <c r="L35" i="3" s="1"/>
  <c r="M35" i="3" s="1"/>
  <c r="E22" i="3"/>
  <c r="F22" i="3" s="1"/>
  <c r="E24" i="3"/>
  <c r="F24" i="3" s="1"/>
  <c r="E26" i="3"/>
  <c r="F26" i="3" s="1"/>
  <c r="E31" i="3"/>
  <c r="F31" i="3" s="1"/>
  <c r="E33" i="3"/>
  <c r="F33" i="3" s="1"/>
  <c r="E32" i="3"/>
  <c r="F32" i="3" s="1"/>
  <c r="E34" i="3" s="1"/>
  <c r="J36" i="3"/>
  <c r="L36" i="3" s="1"/>
  <c r="M36" i="3" s="1"/>
  <c r="J19" i="3"/>
  <c r="L19" i="3" s="1"/>
  <c r="M19" i="3" s="1"/>
  <c r="L21" i="3" s="1"/>
  <c r="J23" i="3"/>
  <c r="L23" i="3" s="1"/>
  <c r="M23" i="3" s="1"/>
  <c r="J25" i="3"/>
  <c r="L25" i="3" s="1"/>
  <c r="M25" i="3" s="1"/>
  <c r="J28" i="3"/>
  <c r="L28" i="3" s="1"/>
  <c r="M28" i="3" s="1"/>
  <c r="J14" i="3"/>
  <c r="L14" i="3" s="1"/>
  <c r="M14" i="3" s="1"/>
  <c r="E23" i="3"/>
  <c r="F23" i="3" s="1"/>
  <c r="E25" i="3"/>
  <c r="F25" i="3" s="1"/>
  <c r="E18" i="3"/>
  <c r="E12" i="3"/>
  <c r="F12" i="3" s="1"/>
  <c r="E13" i="3"/>
  <c r="F13" i="3" s="1"/>
  <c r="E14" i="3"/>
  <c r="F14" i="3" s="1"/>
  <c r="E28" i="3"/>
  <c r="F28" i="3" s="1"/>
  <c r="E29" i="3"/>
  <c r="F29" i="3" s="1"/>
  <c r="E19" i="3"/>
  <c r="F19" i="3" s="1"/>
  <c r="E21" i="3" s="1"/>
  <c r="E35" i="3"/>
  <c r="F35" i="3" s="1"/>
  <c r="E37" i="3" s="1"/>
  <c r="L30" i="3" l="1"/>
  <c r="L15" i="3"/>
  <c r="M38" i="3"/>
  <c r="M40" i="3" s="1"/>
  <c r="L18" i="3"/>
  <c r="L27" i="3"/>
  <c r="E27" i="3"/>
  <c r="L34" i="3"/>
  <c r="L37" i="3"/>
  <c r="F38" i="3"/>
  <c r="F40" i="3" s="1"/>
  <c r="E15" i="3"/>
  <c r="E30" i="3"/>
  <c r="F42" i="3" l="1"/>
  <c r="M42" i="3"/>
  <c r="M43" i="3" s="1"/>
  <c r="M41" i="2"/>
  <c r="F41" i="2"/>
  <c r="H36" i="2"/>
  <c r="G36" i="2"/>
  <c r="C36" i="2"/>
  <c r="H35" i="2"/>
  <c r="J35" i="2" s="1"/>
  <c r="G35" i="2"/>
  <c r="C35" i="2"/>
  <c r="H33" i="2"/>
  <c r="G33" i="2"/>
  <c r="C33" i="2"/>
  <c r="H32" i="2"/>
  <c r="G32" i="2"/>
  <c r="C32" i="2"/>
  <c r="H31" i="2"/>
  <c r="G31" i="2"/>
  <c r="C31" i="2"/>
  <c r="H29" i="2"/>
  <c r="G29" i="2"/>
  <c r="C29" i="2"/>
  <c r="H28" i="2"/>
  <c r="G28" i="2"/>
  <c r="C28" i="2"/>
  <c r="H26" i="2"/>
  <c r="G26" i="2"/>
  <c r="C26" i="2"/>
  <c r="H25" i="2"/>
  <c r="G25" i="2"/>
  <c r="C25" i="2"/>
  <c r="E25" i="2" s="1"/>
  <c r="F25" i="2" s="1"/>
  <c r="H24" i="2"/>
  <c r="J24" i="2" s="1"/>
  <c r="L24" i="2" s="1"/>
  <c r="M24" i="2" s="1"/>
  <c r="G24" i="2"/>
  <c r="C24" i="2"/>
  <c r="E24" i="2" s="1"/>
  <c r="F24" i="2" s="1"/>
  <c r="H23" i="2"/>
  <c r="G23" i="2"/>
  <c r="C23" i="2"/>
  <c r="E23" i="2" s="1"/>
  <c r="F23" i="2" s="1"/>
  <c r="H22" i="2"/>
  <c r="G22" i="2"/>
  <c r="C22" i="2"/>
  <c r="H20" i="2"/>
  <c r="G20" i="2"/>
  <c r="C20" i="2"/>
  <c r="H19" i="2"/>
  <c r="G19" i="2"/>
  <c r="C19" i="2"/>
  <c r="H17" i="2"/>
  <c r="G17" i="2"/>
  <c r="C17" i="2"/>
  <c r="E17" i="2" s="1"/>
  <c r="F17" i="2" s="1"/>
  <c r="H16" i="2"/>
  <c r="G16" i="2"/>
  <c r="C16" i="2"/>
  <c r="E16" i="2" s="1"/>
  <c r="F16" i="2" s="1"/>
  <c r="H14" i="2"/>
  <c r="G14" i="2"/>
  <c r="C14" i="2"/>
  <c r="H13" i="2"/>
  <c r="G13" i="2"/>
  <c r="C13" i="2"/>
  <c r="H12" i="2"/>
  <c r="G12" i="2"/>
  <c r="C12" i="2"/>
  <c r="E7" i="2"/>
  <c r="E20" i="2" s="1"/>
  <c r="F20" i="2" s="1"/>
  <c r="E6" i="2"/>
  <c r="B6" i="2"/>
  <c r="E5" i="2"/>
  <c r="B5" i="2"/>
  <c r="E4" i="2"/>
  <c r="B4" i="2"/>
  <c r="E3" i="2"/>
  <c r="B3" i="2"/>
  <c r="J12" i="2" l="1"/>
  <c r="J33" i="2"/>
  <c r="J29" i="2"/>
  <c r="J16" i="2"/>
  <c r="L16" i="2" s="1"/>
  <c r="M16" i="2" s="1"/>
  <c r="J28" i="2"/>
  <c r="L28" i="2" s="1"/>
  <c r="M28" i="2" s="1"/>
  <c r="J17" i="2"/>
  <c r="L17" i="2" s="1"/>
  <c r="M17" i="2" s="1"/>
  <c r="J22" i="2"/>
  <c r="L22" i="2" s="1"/>
  <c r="M22" i="2" s="1"/>
  <c r="E18" i="2"/>
  <c r="L12" i="2"/>
  <c r="M12" i="2" s="1"/>
  <c r="J32" i="2"/>
  <c r="L32" i="2" s="1"/>
  <c r="M32" i="2" s="1"/>
  <c r="J19" i="2"/>
  <c r="L19" i="2" s="1"/>
  <c r="M19" i="2" s="1"/>
  <c r="J25" i="2"/>
  <c r="L25" i="2" s="1"/>
  <c r="M25" i="2" s="1"/>
  <c r="L33" i="2"/>
  <c r="M33" i="2" s="1"/>
  <c r="J23" i="2"/>
  <c r="L23" i="2" s="1"/>
  <c r="M23" i="2" s="1"/>
  <c r="J26" i="2"/>
  <c r="L26" i="2" s="1"/>
  <c r="M26" i="2" s="1"/>
  <c r="J31" i="2"/>
  <c r="L31" i="2" s="1"/>
  <c r="M31" i="2" s="1"/>
  <c r="J14" i="2"/>
  <c r="L14" i="2" s="1"/>
  <c r="M14" i="2" s="1"/>
  <c r="E22" i="2"/>
  <c r="F22" i="2" s="1"/>
  <c r="L29" i="2"/>
  <c r="M29" i="2" s="1"/>
  <c r="E26" i="2"/>
  <c r="F26" i="2" s="1"/>
  <c r="L35" i="2"/>
  <c r="M35" i="2" s="1"/>
  <c r="E36" i="2"/>
  <c r="F36" i="2" s="1"/>
  <c r="J20" i="2"/>
  <c r="L20" i="2" s="1"/>
  <c r="M20" i="2" s="1"/>
  <c r="L18" i="2"/>
  <c r="J36" i="2"/>
  <c r="L36" i="2" s="1"/>
  <c r="M36" i="2" s="1"/>
  <c r="J13" i="2"/>
  <c r="L13" i="2" s="1"/>
  <c r="M13" i="2" s="1"/>
  <c r="E35" i="2"/>
  <c r="F35" i="2" s="1"/>
  <c r="E12" i="2"/>
  <c r="F12" i="2" s="1"/>
  <c r="E13" i="2"/>
  <c r="F13" i="2" s="1"/>
  <c r="E14" i="2"/>
  <c r="F14" i="2" s="1"/>
  <c r="E28" i="2"/>
  <c r="F28" i="2" s="1"/>
  <c r="E29" i="2"/>
  <c r="F29" i="2" s="1"/>
  <c r="E31" i="2"/>
  <c r="F31" i="2" s="1"/>
  <c r="E32" i="2"/>
  <c r="F32" i="2" s="1"/>
  <c r="E33" i="2"/>
  <c r="F33" i="2" s="1"/>
  <c r="E19" i="2"/>
  <c r="F19" i="2" s="1"/>
  <c r="E21" i="2" s="1"/>
  <c r="E27" i="2" l="1"/>
  <c r="L34" i="2"/>
  <c r="L30" i="2"/>
  <c r="L15" i="2"/>
  <c r="L21" i="2"/>
  <c r="L27" i="2"/>
  <c r="M42" i="2" s="1"/>
  <c r="M38" i="2"/>
  <c r="M40" i="2" s="1"/>
  <c r="E37" i="2"/>
  <c r="L37" i="2"/>
  <c r="E34" i="2"/>
  <c r="E30" i="2"/>
  <c r="F38" i="2"/>
  <c r="F40" i="2" s="1"/>
  <c r="E15" i="2"/>
  <c r="F42" i="2" l="1"/>
  <c r="M43" i="2" s="1"/>
  <c r="M41" i="1"/>
  <c r="F41" i="1"/>
  <c r="H36" i="1"/>
  <c r="G36" i="1"/>
  <c r="C36" i="1"/>
  <c r="H35" i="1"/>
  <c r="G35" i="1"/>
  <c r="C35" i="1"/>
  <c r="H33" i="1"/>
  <c r="G33" i="1"/>
  <c r="C33" i="1"/>
  <c r="H32" i="1"/>
  <c r="G32" i="1"/>
  <c r="C32" i="1"/>
  <c r="H31" i="1"/>
  <c r="J31" i="1" s="1"/>
  <c r="G31" i="1"/>
  <c r="C31" i="1"/>
  <c r="H29" i="1"/>
  <c r="G29" i="1"/>
  <c r="C29" i="1"/>
  <c r="H28" i="1"/>
  <c r="G28" i="1"/>
  <c r="C28" i="1"/>
  <c r="H26" i="1"/>
  <c r="G26" i="1"/>
  <c r="C26" i="1"/>
  <c r="H25" i="1"/>
  <c r="G25" i="1"/>
  <c r="C25" i="1"/>
  <c r="J25" i="1" s="1"/>
  <c r="L25" i="1" s="1"/>
  <c r="M25" i="1" s="1"/>
  <c r="H24" i="1"/>
  <c r="G24" i="1"/>
  <c r="C24" i="1"/>
  <c r="H23" i="1"/>
  <c r="G23" i="1"/>
  <c r="C23" i="1"/>
  <c r="E23" i="1" s="1"/>
  <c r="F23" i="1" s="1"/>
  <c r="H22" i="1"/>
  <c r="G22" i="1"/>
  <c r="C22" i="1"/>
  <c r="H20" i="1"/>
  <c r="J20" i="1" s="1"/>
  <c r="L20" i="1" s="1"/>
  <c r="M20" i="1" s="1"/>
  <c r="G20" i="1"/>
  <c r="C20" i="1"/>
  <c r="H19" i="1"/>
  <c r="G19" i="1"/>
  <c r="C19" i="1"/>
  <c r="H17" i="1"/>
  <c r="G17" i="1"/>
  <c r="C17" i="1"/>
  <c r="E17" i="1" s="1"/>
  <c r="F17" i="1" s="1"/>
  <c r="H16" i="1"/>
  <c r="G16" i="1"/>
  <c r="C16" i="1"/>
  <c r="E16" i="1" s="1"/>
  <c r="F16" i="1" s="1"/>
  <c r="H14" i="1"/>
  <c r="G14" i="1"/>
  <c r="C14" i="1"/>
  <c r="H13" i="1"/>
  <c r="G13" i="1"/>
  <c r="C13" i="1"/>
  <c r="H12" i="1"/>
  <c r="G12" i="1"/>
  <c r="C12" i="1"/>
  <c r="E7" i="1"/>
  <c r="E6" i="1"/>
  <c r="B6" i="1"/>
  <c r="E5" i="1"/>
  <c r="B5" i="1"/>
  <c r="E4" i="1"/>
  <c r="B4" i="1"/>
  <c r="E3" i="1"/>
  <c r="B3" i="1"/>
  <c r="J16" i="1" l="1"/>
  <c r="L16" i="1" s="1"/>
  <c r="M16" i="1" s="1"/>
  <c r="J22" i="1"/>
  <c r="J24" i="1"/>
  <c r="L24" i="1" s="1"/>
  <c r="M24" i="1" s="1"/>
  <c r="J32" i="1"/>
  <c r="E35" i="1"/>
  <c r="F35" i="1" s="1"/>
  <c r="E28" i="1"/>
  <c r="F28" i="1" s="1"/>
  <c r="L31" i="1"/>
  <c r="M31" i="1" s="1"/>
  <c r="J12" i="1"/>
  <c r="L12" i="1" s="1"/>
  <c r="M12" i="1" s="1"/>
  <c r="J13" i="1"/>
  <c r="L13" i="1" s="1"/>
  <c r="M13" i="1" s="1"/>
  <c r="E22" i="1"/>
  <c r="F22" i="1" s="1"/>
  <c r="E32" i="1"/>
  <c r="F32" i="1" s="1"/>
  <c r="J35" i="1"/>
  <c r="L35" i="1" s="1"/>
  <c r="M35" i="1" s="1"/>
  <c r="E13" i="1"/>
  <c r="F13" i="1" s="1"/>
  <c r="E14" i="1"/>
  <c r="F14" i="1" s="1"/>
  <c r="J28" i="1"/>
  <c r="L28" i="1" s="1"/>
  <c r="M28" i="1" s="1"/>
  <c r="E36" i="1"/>
  <c r="F36" i="1" s="1"/>
  <c r="E37" i="1" s="1"/>
  <c r="J17" i="1"/>
  <c r="L17" i="1" s="1"/>
  <c r="M17" i="1" s="1"/>
  <c r="L18" i="1" s="1"/>
  <c r="E19" i="1"/>
  <c r="F19" i="1" s="1"/>
  <c r="L22" i="1"/>
  <c r="M22" i="1" s="1"/>
  <c r="E29" i="1"/>
  <c r="F29" i="1" s="1"/>
  <c r="L32" i="1"/>
  <c r="M32" i="1" s="1"/>
  <c r="E12" i="1"/>
  <c r="F12" i="1" s="1"/>
  <c r="J14" i="1"/>
  <c r="L14" i="1" s="1"/>
  <c r="M14" i="1" s="1"/>
  <c r="E33" i="1"/>
  <c r="F33" i="1" s="1"/>
  <c r="J36" i="1"/>
  <c r="L36" i="1" s="1"/>
  <c r="M36" i="1" s="1"/>
  <c r="E18" i="1"/>
  <c r="J19" i="1"/>
  <c r="L19" i="1" s="1"/>
  <c r="M19" i="1" s="1"/>
  <c r="L21" i="1" s="1"/>
  <c r="J26" i="1"/>
  <c r="L26" i="1" s="1"/>
  <c r="M26" i="1" s="1"/>
  <c r="J29" i="1"/>
  <c r="L29" i="1" s="1"/>
  <c r="M29" i="1" s="1"/>
  <c r="E20" i="1"/>
  <c r="F20" i="1" s="1"/>
  <c r="J23" i="1"/>
  <c r="L23" i="1" s="1"/>
  <c r="M23" i="1" s="1"/>
  <c r="E31" i="1"/>
  <c r="F31" i="1" s="1"/>
  <c r="J33" i="1"/>
  <c r="L33" i="1" s="1"/>
  <c r="M33" i="1" s="1"/>
  <c r="E24" i="1"/>
  <c r="F24" i="1" s="1"/>
  <c r="E25" i="1"/>
  <c r="F25" i="1" s="1"/>
  <c r="E26" i="1"/>
  <c r="F26" i="1" s="1"/>
  <c r="E30" i="1" l="1"/>
  <c r="L34" i="1"/>
  <c r="L37" i="1"/>
  <c r="L30" i="1"/>
  <c r="E15" i="1"/>
  <c r="L15" i="1"/>
  <c r="E34" i="1"/>
  <c r="M38" i="1"/>
  <c r="M40" i="1" s="1"/>
  <c r="F40" i="1"/>
  <c r="L27" i="1"/>
  <c r="E21" i="1"/>
  <c r="E27" i="1"/>
  <c r="M42" i="1" l="1"/>
  <c r="F42" i="1"/>
  <c r="M43" i="1" l="1"/>
</calcChain>
</file>

<file path=xl/sharedStrings.xml><?xml version="1.0" encoding="utf-8"?>
<sst xmlns="http://schemas.openxmlformats.org/spreadsheetml/2006/main" count="4648" uniqueCount="337">
  <si>
    <t>PERHITUNGAN TINGKAT KEKUMUHAN AKHIR/PERHITUNGAN OUTCOME PENINGKATAN KUALITAS PERMUKIMAN KUMUH</t>
  </si>
  <si>
    <t>Provinsi</t>
  </si>
  <si>
    <t>Luas SK</t>
  </si>
  <si>
    <t>Ha</t>
  </si>
  <si>
    <t>Kab/Kota</t>
  </si>
  <si>
    <t>Luas Verifikasi</t>
  </si>
  <si>
    <t>Kecamatan</t>
  </si>
  <si>
    <t>Jumlah Bangunan</t>
  </si>
  <si>
    <t>Unit</t>
  </si>
  <si>
    <t>Kawasan</t>
  </si>
  <si>
    <t>Jumlah Penduduk</t>
  </si>
  <si>
    <t>Jiwa</t>
  </si>
  <si>
    <t>KK</t>
  </si>
  <si>
    <t>ASPEK</t>
  </si>
  <si>
    <t>KRITERIA</t>
  </si>
  <si>
    <t>KONDISI AWAL (BASELINE)</t>
  </si>
  <si>
    <t>OUTPUT - OUTCOME</t>
  </si>
  <si>
    <t>KONDISI AKHIR</t>
  </si>
  <si>
    <t>OUTPUT</t>
  </si>
  <si>
    <t>NUMERIK</t>
  </si>
  <si>
    <t>SATUAN</t>
  </si>
  <si>
    <t>PROSEN (%)</t>
  </si>
  <si>
    <t>NILAI</t>
  </si>
  <si>
    <t>INFRASTRUKTUR</t>
  </si>
  <si>
    <t>VOLUME</t>
  </si>
  <si>
    <t>PROSEN</t>
  </si>
  <si>
    <t>1. KONDISI BANGUNAN GEDUNG</t>
  </si>
  <si>
    <t>a. Ketidakteraturan Bangunan</t>
  </si>
  <si>
    <t>b. Kepadatan Bangunan</t>
  </si>
  <si>
    <t>c. Ketidaksesuaian dengan Persy Teknis Bangunan</t>
  </si>
  <si>
    <t>Rata-rata Kondisi Bangunan Gedung</t>
  </si>
  <si>
    <t>2. Kondisi Jalan Lingkungan</t>
  </si>
  <si>
    <t>a. Cakupan Pelayanan Jalan Lingkungan</t>
  </si>
  <si>
    <t>Meter</t>
  </si>
  <si>
    <t>b. Kualitas Permukaan Jalan lingkungan</t>
  </si>
  <si>
    <t>Rata-rata Kondisi Jalan Lingkungan</t>
  </si>
  <si>
    <t>3. Kondisi Penyediaan Air Minum</t>
  </si>
  <si>
    <t>a. Ketersediaan Akses Aman Air Minum</t>
  </si>
  <si>
    <t>b. Tidak terpenuhinya Kebutuhan Air Minum</t>
  </si>
  <si>
    <t>Rata-rata Kondisi Penyediaan Air Minum</t>
  </si>
  <si>
    <t>4. Kondisi Drainase Lingkungan</t>
  </si>
  <si>
    <t>a. Ketidakmampuan Mengalirkan Limpasan Air</t>
  </si>
  <si>
    <t>b. Ketidaktersediaan Drainase</t>
  </si>
  <si>
    <t>c. Ketidakterhubungan dgn Sistem Drainase Kota</t>
  </si>
  <si>
    <t>d. Tidak terpeliharanya Drainase</t>
  </si>
  <si>
    <t>e. Kualitas Konstruksi Drainase</t>
  </si>
  <si>
    <t>Rata-rata Kondisi Drainase Lingkungan</t>
  </si>
  <si>
    <t>5. Kondisi Pengelolaan Air Limbah</t>
  </si>
  <si>
    <t>a. Sistem Pengelolaan Air Limbah Tidak Sesuai Standar Teknis</t>
  </si>
  <si>
    <t>b. Prasarana dan Sarana Pengelolaan Air Limbah Tidak Sesuai dengan Persyaratan Teknis</t>
  </si>
  <si>
    <t>Rata-rata Kondisi Penyediaan Air Limbah</t>
  </si>
  <si>
    <t>6. Kondisi Pengelolaan Persampahan</t>
  </si>
  <si>
    <t>a. Prasarana dan Sarana Persampahan Tidak Sesuai dengan persyaratan Teknis</t>
  </si>
  <si>
    <t>b. Sistem Pengelolaan Persampahan yang tidak sesuai Standar Teknis</t>
  </si>
  <si>
    <t>c. Tidakterpeliharanya Sarana dan Prasarana Pengelolaan Persampahan</t>
  </si>
  <si>
    <t>Rata-rata Kondisi Pengelolaan Persampahan</t>
  </si>
  <si>
    <t>7. Kondisi Proteksi Kebakaran</t>
  </si>
  <si>
    <t>a. Ketidaktersediaan Prasarana Proteksi Kebakaran</t>
  </si>
  <si>
    <t>b. Ketidaktersediaan Sarana Proteksi Kebakaran</t>
  </si>
  <si>
    <t>Rata-rata Kondisi Proteksi Kebakaran</t>
  </si>
  <si>
    <t>BATAS AMBANG NILAI TINGKAT KEKUMUHAN</t>
  </si>
  <si>
    <t>TOTAL NILAI</t>
  </si>
  <si>
    <t>71 -95 : KUMUH BERAT</t>
  </si>
  <si>
    <t>45 - 70 : KUMUH SEDANG</t>
  </si>
  <si>
    <t>TINGKAT KEKUMUHAN</t>
  </si>
  <si>
    <t>19 - 44 KUMUH RINGAN</t>
  </si>
  <si>
    <t xml:space="preserve"> &lt; 19, DINYATAKAN TIDAK KUMUH</t>
  </si>
  <si>
    <t>RATA2 KEKUMUHAN SEKTORAL</t>
  </si>
  <si>
    <t>KONTRIBUSI PENANGANAN</t>
  </si>
  <si>
    <t>M1</t>
  </si>
  <si>
    <t>M2</t>
  </si>
  <si>
    <t>M3</t>
  </si>
  <si>
    <t>M4</t>
  </si>
  <si>
    <t>M5</t>
  </si>
  <si>
    <t>M6</t>
  </si>
  <si>
    <t>B1</t>
  </si>
  <si>
    <t>B2</t>
  </si>
  <si>
    <t>B3</t>
  </si>
  <si>
    <t>B4</t>
  </si>
  <si>
    <t>B5</t>
  </si>
  <si>
    <t>B6</t>
  </si>
  <si>
    <t>MG1</t>
  </si>
  <si>
    <t>MG2</t>
  </si>
  <si>
    <t>MG3</t>
  </si>
  <si>
    <t>MG4</t>
  </si>
  <si>
    <t>MG5</t>
  </si>
  <si>
    <t>MG6</t>
  </si>
  <si>
    <t>KR</t>
  </si>
  <si>
    <t>TK</t>
  </si>
  <si>
    <t>76%-100% bangunan pada lokasi tidak memiliki keteraturan</t>
  </si>
  <si>
    <t>51%-75% bangunan pada lokasi tidak memiliki keteraturan</t>
  </si>
  <si>
    <t>25%-50% bangunan pada lokasi tidak memiliki keteraturan</t>
  </si>
  <si>
    <t>76% - 100% bangunan memiliki kepadatan tidak sesuai ketentuan</t>
  </si>
  <si>
    <t>51%-75% bangunan memiliki kepadatan tidak sesuai ketentuan</t>
  </si>
  <si>
    <t>25%-50% bangunan memiliki kepadatan tidak sesuai ketentuan</t>
  </si>
  <si>
    <t>C. Ketidaksesuaian dengan Persyaratan Teknis Bangunan</t>
  </si>
  <si>
    <t>76% - 100% bangunan pada lokasi tidak memenuhi persyaratan teknis</t>
  </si>
  <si>
    <t>51% - 75% bangunan pada lokasi tidak memenuhi persyaratan teknis</t>
  </si>
  <si>
    <t>25% - 50% bangunan pada lokasi tidak memenuhi persyaratan teknis</t>
  </si>
  <si>
    <t>76% - 100% area tidak terlayani oleh jaringan jalan lingkungan</t>
  </si>
  <si>
    <t>51% - 75% area tidak terlayani oleh jaringan jalan lingkungan</t>
  </si>
  <si>
    <t>25% - 50% area tidak terlayani oleh jaringan jalan lingkungan</t>
  </si>
  <si>
    <t>76% - 100% area memiliki kualitas permukaan jalan yang buruk</t>
  </si>
  <si>
    <t>51% - 75% area memiliki kualitas permukaan jalan yang buruk</t>
  </si>
  <si>
    <t>25% - 50% area memiliki kualitas permukaan jalan yang buruk</t>
  </si>
  <si>
    <t>76% - 100% Populasi tidak dapat mengakses air minum yang aman</t>
  </si>
  <si>
    <t>51% - 75% Populasi tidak dapat mengakses air minum yang aman</t>
  </si>
  <si>
    <t>25% - 50% Populasi tidak dapat mengakses air minum yang aman</t>
  </si>
  <si>
    <t>76% - 100% Populasi tidak terpenuhi kebutuhan air minum minimalnya</t>
  </si>
  <si>
    <t>51% - 75% Populasi tidak terpenuhi kebutuhan air minum minimalnya</t>
  </si>
  <si>
    <t>25% - 50% Populasi tidak terpenuhi kebutuhan air minum minimalnya</t>
  </si>
  <si>
    <t>76% - 100% area terjadi genangan &gt; 30 cm, &gt; 2 jam &gt; 2x setahun</t>
  </si>
  <si>
    <t>51% - 75% area terjadi genangan &gt; 30 cm, &gt; 2 jam &gt; 2x setahun</t>
  </si>
  <si>
    <t>25% - 50% area terjadi genangan &gt; 30 cm, &gt; 2 jam &gt; 2x setahun</t>
  </si>
  <si>
    <t>76% - 100% area tidak tersedia drainase lingkungan</t>
  </si>
  <si>
    <t>51% - 75% area tidak tersedia drainase lingkungan</t>
  </si>
  <si>
    <t>25% - 50% area tidak tersedia drainase lingkungan</t>
  </si>
  <si>
    <t>c. Ketidakterhubungan dengan Sistem Drainase Perkotaan</t>
  </si>
  <si>
    <t>76% - 100% drainase lingkungan tidak terhubung dengan hirarki di atasnya</t>
  </si>
  <si>
    <t>51% - 75% drainase lingkungan tidak terhubung dengan hirarki di atasnya</t>
  </si>
  <si>
    <t>25% - 50% drainase lingkungan tidak terhubung dengan hirarki di atasnya</t>
  </si>
  <si>
    <t>76% - 100% area memiliki drainase lingkungan yang kotor dan berbau</t>
  </si>
  <si>
    <t>51% - 75% area memiliki drainase lingkungan yang kotor dan berbau</t>
  </si>
  <si>
    <t>25% - 50% area memiliki drainase lingkungan yang kotor dan berbau</t>
  </si>
  <si>
    <t>76% - 100% area memiliki kualitas konstruksi drainase lingkungan buruk</t>
  </si>
  <si>
    <t>51% - 75% area memiliki kualitas konstruksi drainase lingkungan buruk</t>
  </si>
  <si>
    <t>25% - 50% area memiliki kualitas konstruksi drainase lingkungan buruk</t>
  </si>
  <si>
    <t>76% - 100% area memiliki sistem air limbah yang tidak sesuai standar teknis</t>
  </si>
  <si>
    <t>51% - 75% area memiliki sistem air limbah yang tidak sesuai standar teknis</t>
  </si>
  <si>
    <t>25% - 50% area memiliki sistem air limbah yang tidak sesuai standar teknis</t>
  </si>
  <si>
    <t>76% - 100% area memiliki sarpras air limbah tidak sesuai dengan persyaratan teknis</t>
  </si>
  <si>
    <t>51% - 75% area memiliki sarpras air limbah tidak sesuai dengan persyaratan teknis</t>
  </si>
  <si>
    <t>25% - 50% area memiliki sarpras air limbah tidak sesuai dengan persyaratan teknis</t>
  </si>
  <si>
    <t>76% - 100% area memiliki sarpras pengelolaan persampahan yang tidak memenuhi persyaratan teknis</t>
  </si>
  <si>
    <t>51% - 75% area memiliki sarpras pengelolaan persampahan yang tidak memenuhi persyaratan teknis</t>
  </si>
  <si>
    <t>25% - 50% area memiliki sarpras pengelolaan persampahan yang tidak memenuhi persyaratan teknis</t>
  </si>
  <si>
    <t>76% - 100% area memiliki sistem persampahan tidak sesuai standar</t>
  </si>
  <si>
    <t>51% - 75% area memiliki sistem persampahan tidak sesuai standar</t>
  </si>
  <si>
    <t>25% - 50% area memiliki sistem persampahan tidak sesuai standar</t>
  </si>
  <si>
    <t>76% - 100% area memiliki sarpras persampahan yang tidak terpelihara</t>
  </si>
  <si>
    <t>51% - 75% area memiliki sarpras persampahan yang tidak terpelihara</t>
  </si>
  <si>
    <t>25% - 50% area memiliki sarpras persampahan yang tidak terpelihara</t>
  </si>
  <si>
    <t>76% - 100% area tidak memiliki prasarana proteksi kebakaran</t>
  </si>
  <si>
    <t>51% - 75% area tidak memiliki prasarana proteksi kebakaran</t>
  </si>
  <si>
    <t>25% - 50% area tidak memiliki prasarana proteksi kebakaran</t>
  </si>
  <si>
    <t>76% - 100% area tidak memiliki sarana proteksi kebakaran</t>
  </si>
  <si>
    <t>51% - 75% area tidak memiliki sarana proteksi kebakaran</t>
  </si>
  <si>
    <t>25% - 50%  area tidak memiliki sarana proteksi kebakaran</t>
  </si>
  <si>
    <t>Sangat tidak teratur</t>
  </si>
  <si>
    <t>Tidak teratur</t>
  </si>
  <si>
    <t>Cukup tidak teratur</t>
  </si>
  <si>
    <t>&lt;25% bangunan pada lokasi tidak memiliki keteraturan</t>
  </si>
  <si>
    <t>Sangat padat</t>
  </si>
  <si>
    <t>Padat</t>
  </si>
  <si>
    <t>Sangat sangat tidak teratur</t>
  </si>
  <si>
    <t>Sangat sangat padat</t>
  </si>
  <si>
    <t>&gt;25% bangunan memiliki kepadatan tidak sesuai ketentuan</t>
  </si>
  <si>
    <t>Cukup padat</t>
  </si>
  <si>
    <t>Sangat sangat tidak sesuai</t>
  </si>
  <si>
    <t>Sangat tidak sesuai</t>
  </si>
  <si>
    <t>Tidak sesuai</t>
  </si>
  <si>
    <t>Cukup tidak sesuai</t>
  </si>
  <si>
    <t>&gt;25% area tidak terlayani oleh jaringan jalan lingkungan</t>
  </si>
  <si>
    <t>Sangat sangat tidak terlayani</t>
  </si>
  <si>
    <t>Sangat tidak terlayani</t>
  </si>
  <si>
    <t>Tidak terlayani</t>
  </si>
  <si>
    <t>Cukup tidak terlayani</t>
  </si>
  <si>
    <t>&gt;25% area memiliki kualitas permukaan jalan yang buruk</t>
  </si>
  <si>
    <t>Sangat sangat buruk</t>
  </si>
  <si>
    <t>Sangat buruk</t>
  </si>
  <si>
    <t>Buruk</t>
  </si>
  <si>
    <t>Cukup buruk</t>
  </si>
  <si>
    <t>&gt;25% Populasi tidak dapat mengakses air minum yang aman</t>
  </si>
  <si>
    <t>Sangat sangat sulit diakses</t>
  </si>
  <si>
    <t>Sangat sulit diakses</t>
  </si>
  <si>
    <t>Sulit diakses</t>
  </si>
  <si>
    <t>Cukup sulit diakses</t>
  </si>
  <si>
    <t>&gt;25% Populasi tidak terpenuhi kebutuhan air minum minimalnya</t>
  </si>
  <si>
    <t>Sangat sangat tidak terpenuhi</t>
  </si>
  <si>
    <t>Sangat tidak terpenuhi</t>
  </si>
  <si>
    <t>Tidak terpenuhi</t>
  </si>
  <si>
    <t>Cukup tidak terpenuhi</t>
  </si>
  <si>
    <t>&gt;25% area terjadi genangan &gt; 30 cm, &gt; 2 jam &gt; 2x setahun</t>
  </si>
  <si>
    <t>Sangat sangat tidak mampu</t>
  </si>
  <si>
    <t>Sangat mampu</t>
  </si>
  <si>
    <t>Tidak mampu</t>
  </si>
  <si>
    <t>Cukup tidak mampu</t>
  </si>
  <si>
    <t>&gt;25% area tidak tersedia drainase lingkungan</t>
  </si>
  <si>
    <t>Sangat sangat tidak tersedia</t>
  </si>
  <si>
    <t>Sangat tidak tersedia</t>
  </si>
  <si>
    <t>Tidak tersedia</t>
  </si>
  <si>
    <t>Cukup tidak tersedia</t>
  </si>
  <si>
    <t>&gt;25% drainase lingkungan tidak terhubung dengan hirarki di atasnya</t>
  </si>
  <si>
    <t>Sangat sangat tidak terhubung</t>
  </si>
  <si>
    <t>Sangat tidak terhubung</t>
  </si>
  <si>
    <t>Tidak terhubung</t>
  </si>
  <si>
    <t>Cukup tidak terhubung</t>
  </si>
  <si>
    <t>&gt;25% area memiliki drainase lingkungan yang kotor dan berbau</t>
  </si>
  <si>
    <t>Sangat sangat tidak terpelihara</t>
  </si>
  <si>
    <t>Sangat tidak terpelihara</t>
  </si>
  <si>
    <t>Tidak terpelihara</t>
  </si>
  <si>
    <t>Cukup tidak terpelihara</t>
  </si>
  <si>
    <t>&gt;25%  area tidak memiliki sarana proteksi kebakaran</t>
  </si>
  <si>
    <t>&gt;25% area tidak memiliki prasarana proteksi kebakaran</t>
  </si>
  <si>
    <t>&gt;25% area memiliki sarpras persampahan yang tidak terpelihara</t>
  </si>
  <si>
    <t>&gt;25% area memiliki sistem persampahan tidak sesuai standar</t>
  </si>
  <si>
    <t>&gt;25% area memiliki sarpras pengelolaan persampahan yang tidak memenuhi persyaratan teknis</t>
  </si>
  <si>
    <t>&gt;25% area memiliki sarpras air limbah tidak sesuai dengan persyaratan teknis</t>
  </si>
  <si>
    <t>&gt;25% area memiliki sistem air limbah yang tidak sesuai standar teknis</t>
  </si>
  <si>
    <t>&gt;25% area memiliki kualitas konstruksi drainase lingkungan buruk</t>
  </si>
  <si>
    <t>Sangat  tidak terpelihara</t>
  </si>
  <si>
    <t>Sangat  tidak tersedia</t>
  </si>
  <si>
    <t>miu</t>
  </si>
  <si>
    <t xml:space="preserve">v </t>
  </si>
  <si>
    <t>v</t>
  </si>
  <si>
    <t>M1B1</t>
  </si>
  <si>
    <t>M1B2</t>
  </si>
  <si>
    <t>M1B3</t>
  </si>
  <si>
    <t>M1B4</t>
  </si>
  <si>
    <t>M1B5</t>
  </si>
  <si>
    <t>M1B6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</si>
  <si>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</si>
  <si>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</si>
  <si>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</si>
  <si>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</si>
  <si>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</si>
  <si>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</si>
  <si>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</si>
  <si>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</si>
  <si>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</si>
  <si>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</si>
  <si>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</si>
  <si>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</si>
  <si>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</si>
  <si>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</si>
  <si>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</si>
  <si>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</si>
  <si>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</si>
  <si>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</si>
  <si>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</si>
  <si>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M2B1</t>
  </si>
  <si>
    <t>M2B2</t>
  </si>
  <si>
    <t>M2B3</t>
  </si>
  <si>
    <t>M2B4</t>
  </si>
  <si>
    <t>M2B5</t>
  </si>
  <si>
    <t>M2B6</t>
  </si>
  <si>
    <t>M3B1</t>
  </si>
  <si>
    <t>M3B2</t>
  </si>
  <si>
    <t>M3B3</t>
  </si>
  <si>
    <t>M3B4</t>
  </si>
  <si>
    <t>M3B5</t>
  </si>
  <si>
    <t>M3B6</t>
  </si>
  <si>
    <t>M4B1</t>
  </si>
  <si>
    <t>M4B2</t>
  </si>
  <si>
    <t>M4B3</t>
  </si>
  <si>
    <t>M4B4</t>
  </si>
  <si>
    <t>M4B5</t>
  </si>
  <si>
    <t>M4B6</t>
  </si>
  <si>
    <t>M5B1</t>
  </si>
  <si>
    <t>M5B2</t>
  </si>
  <si>
    <t>M5B3</t>
  </si>
  <si>
    <t>M5B4</t>
  </si>
  <si>
    <t>M5B5</t>
  </si>
  <si>
    <t>M5B6</t>
  </si>
  <si>
    <t>M6B1</t>
  </si>
  <si>
    <t>M6B2</t>
  </si>
  <si>
    <t>M6B3</t>
  </si>
  <si>
    <t>M6B4</t>
  </si>
  <si>
    <t>M6B5</t>
  </si>
  <si>
    <t>M6B6</t>
  </si>
  <si>
    <t>SUM</t>
  </si>
  <si>
    <t>1/19*SUM</t>
  </si>
  <si>
    <t>min</t>
  </si>
  <si>
    <t>MIN (M1, Bj)</t>
  </si>
  <si>
    <t>MIN (M2, Bj)</t>
  </si>
  <si>
    <t>MIN (M3, Bj)</t>
  </si>
  <si>
    <t>MIN (M4, Bj)</t>
  </si>
  <si>
    <t>MIN (M5, Bj)</t>
  </si>
  <si>
    <t>MIN (M6, Bj)</t>
  </si>
  <si>
    <t>TOTAL MIN</t>
  </si>
  <si>
    <t>MIN (Mj, B1)</t>
  </si>
  <si>
    <t>MIN (Mj, B2)</t>
  </si>
  <si>
    <t>MIN (Mj, B3)</t>
  </si>
  <si>
    <t>MIN (Mj, B4)</t>
  </si>
  <si>
    <t>MIN (Mj, B5)</t>
  </si>
  <si>
    <t>MIN (Mj, B6)</t>
  </si>
  <si>
    <t>TOTAL MIN M1BJ</t>
  </si>
  <si>
    <t>TOTAL MIN MJB1</t>
  </si>
  <si>
    <t>R_MB</t>
  </si>
  <si>
    <t xml:space="preserve"> </t>
  </si>
  <si>
    <t>Kelurahan</t>
  </si>
  <si>
    <t>UMKM &amp; Industri Lokal</t>
  </si>
  <si>
    <t>Akses ke Modal &amp; Lembaga Keuangan</t>
  </si>
  <si>
    <t>Izin/Regulasi Mendukung</t>
  </si>
  <si>
    <t>Pasar &amp; Distribusi</t>
  </si>
  <si>
    <t>Total</t>
  </si>
  <si>
    <t>Linguistik</t>
  </si>
  <si>
    <t>MADIUN</t>
  </si>
  <si>
    <t>Nambangan Lor</t>
  </si>
  <si>
    <t>TP</t>
  </si>
  <si>
    <t>Kelun</t>
  </si>
  <si>
    <t>KP</t>
  </si>
  <si>
    <t>Pandean</t>
  </si>
  <si>
    <t>CP</t>
  </si>
  <si>
    <t>Kejuron</t>
  </si>
  <si>
    <t>Tawang</t>
  </si>
  <si>
    <t>P</t>
  </si>
  <si>
    <t>Nambangan kidul</t>
  </si>
  <si>
    <t>BOJONEGORO</t>
  </si>
  <si>
    <t>Jetak</t>
  </si>
  <si>
    <t>Kadipaten</t>
  </si>
  <si>
    <t>Karang Pacar</t>
  </si>
  <si>
    <t>Klangon</t>
  </si>
  <si>
    <t>Ledok Kulon</t>
  </si>
  <si>
    <t>Ledok Wetan</t>
  </si>
  <si>
    <t>MAGETAN</t>
  </si>
  <si>
    <t>Baron</t>
  </si>
  <si>
    <t>Bulukerto</t>
  </si>
  <si>
    <t>Candi Rejo</t>
  </si>
  <si>
    <t>Magetan</t>
  </si>
  <si>
    <t>Ringinagung</t>
  </si>
  <si>
    <t>Selosari</t>
  </si>
  <si>
    <t>R_mb</t>
  </si>
  <si>
    <t>MIN (M1, BJ)</t>
  </si>
  <si>
    <t>MIN (M2, BJ)</t>
  </si>
  <si>
    <t>MIN (M3, BJ)</t>
  </si>
  <si>
    <t>MIN (M4, BJ)</t>
  </si>
  <si>
    <t>MIN (M5, BJ)</t>
  </si>
  <si>
    <t>MIN (M6, BJ)</t>
  </si>
  <si>
    <t>MIN(MJ,B1)</t>
  </si>
  <si>
    <t>MIN (MJ, B2)</t>
  </si>
  <si>
    <t>MIN (MJ, B3)</t>
  </si>
  <si>
    <t>MIN (MJ, B4)</t>
  </si>
  <si>
    <t>MIN (MJ, B5)</t>
  </si>
  <si>
    <t>MIN (MJ, B6)</t>
  </si>
  <si>
    <t>D_MB</t>
  </si>
  <si>
    <t>S_MB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</si>
</sst>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0.0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sz val="8"/>
      <color rgb="FF7030A0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70C0"/>
        <bgColor indexed="64"/>
      </patternFill>
    </fill>
  </fills>
  <borders count="6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rgb="FFFF0000"/>
      </left>
      <right/>
      <top style="medium">
        <color rgb="FFFF0000"/>
      </top>
      <bottom style="thin">
        <color auto="1"/>
      </bottom>
      <diagonal/>
    </border>
    <border>
      <left/>
      <right/>
      <top style="medium">
        <color rgb="FFFF0000"/>
      </top>
      <bottom style="thin">
        <color auto="1"/>
      </bottom>
      <diagonal/>
    </border>
    <border>
      <left style="medium">
        <color rgb="FFFF000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0000"/>
      </left>
      <right/>
      <top/>
      <bottom style="thin">
        <color auto="1"/>
      </bottom>
      <diagonal/>
    </border>
    <border>
      <left/>
      <right style="medium">
        <color rgb="FF0070C0"/>
      </right>
      <top/>
      <bottom style="thin">
        <color auto="1"/>
      </bottom>
      <diagonal/>
    </border>
    <border>
      <left style="medium">
        <color rgb="FFFF0000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medium">
        <color rgb="FFFF0000"/>
      </left>
      <right style="thin">
        <color auto="1"/>
      </right>
      <top style="thin">
        <color auto="1"/>
      </top>
      <bottom style="medium">
        <color rgb="FF007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70C0"/>
      </bottom>
      <diagonal/>
    </border>
    <border>
      <left style="thin">
        <color auto="1"/>
      </left>
      <right style="medium">
        <color rgb="FF0070C0"/>
      </right>
      <top style="thin">
        <color auto="1"/>
      </top>
      <bottom style="medium">
        <color rgb="FF0070C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FF3300"/>
      </left>
      <right style="thin">
        <color rgb="FFFF3300"/>
      </right>
      <top style="medium">
        <color rgb="FFFF0000"/>
      </top>
      <bottom style="thin">
        <color rgb="FFFF3300"/>
      </bottom>
      <diagonal/>
    </border>
    <border>
      <left style="thin">
        <color rgb="FFFF3300"/>
      </left>
      <right style="thin">
        <color rgb="FFFF3300"/>
      </right>
      <top style="medium">
        <color rgb="FFFF0000"/>
      </top>
      <bottom style="thin">
        <color rgb="FFFF3300"/>
      </bottom>
      <diagonal/>
    </border>
    <border>
      <left style="medium">
        <color rgb="FFFF330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FF3300"/>
      </left>
      <right style="thin">
        <color rgb="FFFF3300"/>
      </right>
      <top style="thin">
        <color rgb="FFFF3300"/>
      </top>
      <bottom style="thin">
        <color rgb="FFFF3300"/>
      </bottom>
      <diagonal/>
    </border>
    <border>
      <left style="thin">
        <color rgb="FFFF3300"/>
      </left>
      <right style="thin">
        <color rgb="FFFF3300"/>
      </right>
      <top style="thin">
        <color rgb="FFFF3300"/>
      </top>
      <bottom style="thin">
        <color rgb="FFFF3300"/>
      </bottom>
      <diagonal/>
    </border>
    <border>
      <left style="medium">
        <color rgb="FFFF330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FF3300"/>
      </left>
      <right style="thin">
        <color rgb="FFFF3300"/>
      </right>
      <top style="thin">
        <color rgb="FFFF3300"/>
      </top>
      <bottom style="medium">
        <color auto="1"/>
      </bottom>
      <diagonal/>
    </border>
    <border>
      <left style="thin">
        <color rgb="FFFF3300"/>
      </left>
      <right style="thin">
        <color rgb="FFFF3300"/>
      </right>
      <top style="thin">
        <color rgb="FFFF3300"/>
      </top>
      <bottom style="medium">
        <color auto="1"/>
      </bottom>
      <diagonal/>
    </border>
    <border>
      <left style="thin">
        <color rgb="FFFF3300"/>
      </left>
      <right style="thin">
        <color rgb="FFFF3300"/>
      </right>
      <top style="thin">
        <color rgb="FFFF3300"/>
      </top>
      <bottom/>
      <diagonal/>
    </border>
    <border>
      <left style="medium">
        <color rgb="FFFF330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medium">
        <color rgb="FF0070C0"/>
      </right>
      <top style="thin">
        <color rgb="FF0070C0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rgb="FFFF3300"/>
      </right>
      <top style="medium">
        <color auto="1"/>
      </top>
      <bottom style="medium">
        <color auto="1"/>
      </bottom>
      <diagonal/>
    </border>
    <border>
      <left style="medium">
        <color rgb="FFFF3300"/>
      </left>
      <right/>
      <top style="medium">
        <color auto="1"/>
      </top>
      <bottom style="medium">
        <color auto="1"/>
      </bottom>
      <diagonal/>
    </border>
    <border>
      <left/>
      <right style="medium">
        <color rgb="FF0070C0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FF3300"/>
      </left>
      <right style="thin">
        <color rgb="FFFF3300"/>
      </right>
      <top/>
      <bottom style="thin">
        <color rgb="FFFF3300"/>
      </bottom>
      <diagonal/>
    </border>
    <border>
      <left style="medium">
        <color rgb="FFFF330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thin">
        <color rgb="FFFF3300"/>
      </left>
      <right style="thin">
        <color rgb="FFFF3300"/>
      </right>
      <top style="thin">
        <color rgb="FFFF3300"/>
      </top>
      <bottom style="medium">
        <color rgb="FFFF3300"/>
      </bottom>
      <diagonal/>
    </border>
    <border>
      <left style="medium">
        <color rgb="FFFF330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auto="1"/>
      </right>
      <top style="medium">
        <color rgb="FF0070C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0070C0"/>
      </top>
      <bottom style="thin">
        <color auto="1"/>
      </bottom>
      <diagonal/>
    </border>
    <border>
      <left style="thin">
        <color auto="1"/>
      </left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70C0"/>
      </right>
      <top/>
      <bottom style="thin">
        <color auto="1"/>
      </bottom>
      <diagonal/>
    </border>
    <border>
      <left style="thin">
        <color auto="1"/>
      </left>
      <right style="medium">
        <color rgb="FF0070C0"/>
      </right>
      <top style="thin">
        <color auto="1"/>
      </top>
      <bottom/>
      <diagonal/>
    </border>
    <border>
      <left style="medium">
        <color rgb="FF0070C0"/>
      </left>
      <right style="thin">
        <color auto="1"/>
      </right>
      <top style="thin">
        <color auto="1"/>
      </top>
      <bottom style="medium">
        <color rgb="FF0070C0"/>
      </bottom>
      <diagonal/>
    </border>
    <border>
      <left style="thin">
        <color auto="1"/>
      </left>
      <right style="medium">
        <color rgb="FF0070C0"/>
      </right>
      <top/>
      <bottom style="medium">
        <color rgb="FF0070C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2">
    <xf numFmtId="0" fontId="0" fillId="0" borderId="0" xfId="0"/>
    <xf numFmtId="0" fontId="5" fillId="0" borderId="0" xfId="0" applyFont="1" applyAlignment="1">
      <alignment horizontal="center" wrapText="1"/>
    </xf>
    <xf numFmtId="10" fontId="6" fillId="0" borderId="0" xfId="2" applyNumberFormat="1" applyFont="1" applyBorder="1" applyAlignment="1">
      <alignment horizontal="center" wrapText="1"/>
    </xf>
    <xf numFmtId="0" fontId="0" fillId="2" borderId="0" xfId="0" applyFill="1"/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7" fillId="0" borderId="0" xfId="0" applyFont="1"/>
    <xf numFmtId="0" fontId="4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64" fontId="7" fillId="0" borderId="1" xfId="1" applyFont="1" applyFill="1" applyBorder="1" applyAlignment="1">
      <alignment horizontal="center"/>
    </xf>
    <xf numFmtId="0" fontId="7" fillId="0" borderId="0" xfId="0" applyFont="1" applyAlignment="1">
      <alignment horizontal="left"/>
    </xf>
    <xf numFmtId="165" fontId="7" fillId="0" borderId="1" xfId="1" applyNumberFormat="1" applyFont="1" applyFill="1" applyBorder="1" applyAlignment="1">
      <alignment horizontal="center"/>
    </xf>
    <xf numFmtId="165" fontId="7" fillId="0" borderId="1" xfId="1" applyNumberFormat="1" applyFont="1" applyFill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9" fillId="3" borderId="2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4" borderId="19" xfId="0" applyFont="1" applyFill="1" applyBorder="1" applyAlignment="1">
      <alignment horizontal="center" vertical="center"/>
    </xf>
    <xf numFmtId="0" fontId="10" fillId="4" borderId="20" xfId="0" applyFont="1" applyFill="1" applyBorder="1" applyAlignment="1">
      <alignment horizontal="center" vertical="center"/>
    </xf>
    <xf numFmtId="0" fontId="10" fillId="5" borderId="21" xfId="0" applyFont="1" applyFill="1" applyBorder="1" applyAlignment="1">
      <alignment horizontal="center" vertical="center"/>
    </xf>
    <xf numFmtId="0" fontId="10" fillId="5" borderId="22" xfId="0" applyFont="1" applyFill="1" applyBorder="1" applyAlignment="1">
      <alignment horizontal="center" vertical="center"/>
    </xf>
    <xf numFmtId="0" fontId="10" fillId="5" borderId="23" xfId="0" applyFont="1" applyFill="1" applyBorder="1" applyAlignment="1">
      <alignment horizontal="center" vertical="center"/>
    </xf>
    <xf numFmtId="0" fontId="0" fillId="2" borderId="24" xfId="0" applyFill="1" applyBorder="1" applyAlignment="1">
      <alignment horizontal="left" vertical="center" wrapText="1"/>
    </xf>
    <xf numFmtId="164" fontId="12" fillId="2" borderId="2" xfId="1" applyFont="1" applyFill="1" applyBorder="1" applyAlignment="1">
      <alignment vertical="center" wrapText="1"/>
    </xf>
    <xf numFmtId="164" fontId="12" fillId="2" borderId="2" xfId="0" applyNumberFormat="1" applyFont="1" applyFill="1" applyBorder="1" applyAlignment="1">
      <alignment horizontal="center" vertical="center" wrapText="1"/>
    </xf>
    <xf numFmtId="10" fontId="12" fillId="2" borderId="2" xfId="2" applyNumberFormat="1" applyFont="1" applyFill="1" applyBorder="1" applyAlignment="1">
      <alignment vertical="center"/>
    </xf>
    <xf numFmtId="37" fontId="13" fillId="2" borderId="25" xfId="1" applyNumberFormat="1" applyFont="1" applyFill="1" applyBorder="1" applyAlignment="1">
      <alignment horizontal="center" vertical="center"/>
    </xf>
    <xf numFmtId="37" fontId="14" fillId="2" borderId="26" xfId="1" applyNumberFormat="1" applyFont="1" applyFill="1" applyBorder="1" applyAlignment="1">
      <alignment horizontal="left" vertical="center" wrapText="1"/>
    </xf>
    <xf numFmtId="39" fontId="13" fillId="2" borderId="27" xfId="1" applyNumberFormat="1" applyFont="1" applyFill="1" applyBorder="1" applyAlignment="1">
      <alignment horizontal="center" vertical="center"/>
    </xf>
    <xf numFmtId="37" fontId="13" fillId="2" borderId="27" xfId="1" applyNumberFormat="1" applyFont="1" applyFill="1" applyBorder="1" applyAlignment="1">
      <alignment horizontal="center" vertical="center"/>
    </xf>
    <xf numFmtId="164" fontId="13" fillId="2" borderId="28" xfId="1" applyFont="1" applyFill="1" applyBorder="1" applyAlignment="1">
      <alignment horizontal="center" vertical="center"/>
    </xf>
    <xf numFmtId="37" fontId="13" fillId="2" borderId="29" xfId="1" applyNumberFormat="1" applyFont="1" applyFill="1" applyBorder="1" applyAlignment="1">
      <alignment horizontal="center" vertical="center"/>
    </xf>
    <xf numFmtId="10" fontId="13" fillId="2" borderId="29" xfId="2" applyNumberFormat="1" applyFont="1" applyFill="1" applyBorder="1" applyAlignment="1">
      <alignment horizontal="center" vertical="center"/>
    </xf>
    <xf numFmtId="37" fontId="13" fillId="2" borderId="30" xfId="1" applyNumberFormat="1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164" fontId="12" fillId="2" borderId="2" xfId="0" applyNumberFormat="1" applyFont="1" applyFill="1" applyBorder="1" applyAlignment="1">
      <alignment vertical="center"/>
    </xf>
    <xf numFmtId="37" fontId="14" fillId="2" borderId="31" xfId="1" applyNumberFormat="1" applyFont="1" applyFill="1" applyBorder="1" applyAlignment="1">
      <alignment horizontal="left" vertical="center" wrapText="1"/>
    </xf>
    <xf numFmtId="39" fontId="13" fillId="2" borderId="32" xfId="1" applyNumberFormat="1" applyFont="1" applyFill="1" applyBorder="1" applyAlignment="1">
      <alignment horizontal="center" vertical="center"/>
    </xf>
    <xf numFmtId="37" fontId="13" fillId="2" borderId="32" xfId="1" applyNumberFormat="1" applyFont="1" applyFill="1" applyBorder="1" applyAlignment="1">
      <alignment horizontal="center" vertical="center"/>
    </xf>
    <xf numFmtId="164" fontId="13" fillId="2" borderId="33" xfId="1" applyFont="1" applyFill="1" applyBorder="1" applyAlignment="1">
      <alignment horizontal="center" vertical="center"/>
    </xf>
    <xf numFmtId="37" fontId="15" fillId="2" borderId="34" xfId="1" applyNumberFormat="1" applyFont="1" applyFill="1" applyBorder="1" applyAlignment="1">
      <alignment horizontal="center" vertical="center"/>
    </xf>
    <xf numFmtId="10" fontId="16" fillId="2" borderId="34" xfId="2" applyNumberFormat="1" applyFont="1" applyFill="1" applyBorder="1" applyAlignment="1">
      <alignment horizontal="center" vertical="center"/>
    </xf>
    <xf numFmtId="37" fontId="13" fillId="2" borderId="35" xfId="1" applyNumberFormat="1" applyFont="1" applyFill="1" applyBorder="1" applyAlignment="1">
      <alignment horizontal="center" vertical="center"/>
    </xf>
    <xf numFmtId="0" fontId="0" fillId="2" borderId="3" xfId="0" applyFill="1" applyBorder="1" applyAlignment="1">
      <alignment horizontal="left" vertical="center" wrapText="1"/>
    </xf>
    <xf numFmtId="37" fontId="13" fillId="2" borderId="4" xfId="1" applyNumberFormat="1" applyFont="1" applyFill="1" applyBorder="1" applyAlignment="1">
      <alignment horizontal="center" vertical="center"/>
    </xf>
    <xf numFmtId="37" fontId="14" fillId="2" borderId="36" xfId="1" applyNumberFormat="1" applyFont="1" applyFill="1" applyBorder="1" applyAlignment="1">
      <alignment horizontal="left" vertical="center" wrapText="1"/>
    </xf>
    <xf numFmtId="39" fontId="13" fillId="2" borderId="37" xfId="1" applyNumberFormat="1" applyFont="1" applyFill="1" applyBorder="1" applyAlignment="1">
      <alignment horizontal="center" vertical="center"/>
    </xf>
    <xf numFmtId="37" fontId="13" fillId="2" borderId="38" xfId="1" applyNumberFormat="1" applyFont="1" applyFill="1" applyBorder="1" applyAlignment="1">
      <alignment horizontal="center" vertical="center"/>
    </xf>
    <xf numFmtId="164" fontId="13" fillId="2" borderId="39" xfId="1" applyFont="1" applyFill="1" applyBorder="1" applyAlignment="1">
      <alignment horizontal="center" vertical="center"/>
    </xf>
    <xf numFmtId="37" fontId="13" fillId="2" borderId="40" xfId="1" applyNumberFormat="1" applyFont="1" applyFill="1" applyBorder="1" applyAlignment="1">
      <alignment horizontal="center" vertical="center"/>
    </xf>
    <xf numFmtId="10" fontId="13" fillId="2" borderId="40" xfId="2" applyNumberFormat="1" applyFont="1" applyFill="1" applyBorder="1" applyAlignment="1">
      <alignment horizontal="center" vertical="center"/>
    </xf>
    <xf numFmtId="37" fontId="13" fillId="2" borderId="41" xfId="1" applyNumberFormat="1" applyFont="1" applyFill="1" applyBorder="1" applyAlignment="1">
      <alignment horizontal="center" vertical="center"/>
    </xf>
    <xf numFmtId="0" fontId="17" fillId="7" borderId="42" xfId="0" applyFont="1" applyFill="1" applyBorder="1" applyAlignment="1">
      <alignment horizontal="right" vertical="center" wrapText="1"/>
    </xf>
    <xf numFmtId="164" fontId="18" fillId="7" borderId="43" xfId="0" applyNumberFormat="1" applyFont="1" applyFill="1" applyBorder="1" applyAlignment="1">
      <alignment horizontal="center" vertical="center"/>
    </xf>
    <xf numFmtId="9" fontId="18" fillId="7" borderId="43" xfId="2" applyFont="1" applyFill="1" applyBorder="1" applyAlignment="1">
      <alignment horizontal="center" vertical="center"/>
    </xf>
    <xf numFmtId="9" fontId="12" fillId="7" borderId="43" xfId="2" applyFont="1" applyFill="1" applyBorder="1" applyAlignment="1">
      <alignment horizontal="center" vertical="center"/>
    </xf>
    <xf numFmtId="10" fontId="17" fillId="8" borderId="43" xfId="2" applyNumberFormat="1" applyFont="1" applyFill="1" applyBorder="1" applyAlignment="1">
      <alignment horizontal="center" vertical="center" wrapText="1"/>
    </xf>
    <xf numFmtId="37" fontId="13" fillId="7" borderId="44" xfId="1" applyNumberFormat="1" applyFont="1" applyFill="1" applyBorder="1" applyAlignment="1">
      <alignment horizontal="center" vertical="center"/>
    </xf>
    <xf numFmtId="37" fontId="13" fillId="7" borderId="45" xfId="1" applyNumberFormat="1" applyFont="1" applyFill="1" applyBorder="1" applyAlignment="1">
      <alignment horizontal="center" vertical="center"/>
    </xf>
    <xf numFmtId="37" fontId="13" fillId="7" borderId="43" xfId="1" applyNumberFormat="1" applyFont="1" applyFill="1" applyBorder="1" applyAlignment="1">
      <alignment horizontal="center" vertical="center"/>
    </xf>
    <xf numFmtId="164" fontId="13" fillId="7" borderId="45" xfId="1" applyFont="1" applyFill="1" applyBorder="1" applyAlignment="1">
      <alignment horizontal="center" vertical="center"/>
    </xf>
    <xf numFmtId="10" fontId="13" fillId="7" borderId="43" xfId="2" applyNumberFormat="1" applyFont="1" applyFill="1" applyBorder="1" applyAlignment="1">
      <alignment horizontal="center" vertical="center"/>
    </xf>
    <xf numFmtId="37" fontId="13" fillId="7" borderId="46" xfId="1" applyNumberFormat="1" applyFont="1" applyFill="1" applyBorder="1" applyAlignment="1">
      <alignment horizontal="center" vertical="center"/>
    </xf>
    <xf numFmtId="0" fontId="0" fillId="2" borderId="15" xfId="0" applyFill="1" applyBorder="1" applyAlignment="1">
      <alignment horizontal="left" vertical="center" wrapText="1"/>
    </xf>
    <xf numFmtId="164" fontId="12" fillId="2" borderId="11" xfId="0" applyNumberFormat="1" applyFont="1" applyFill="1" applyBorder="1" applyAlignment="1">
      <alignment vertical="center"/>
    </xf>
    <xf numFmtId="164" fontId="12" fillId="2" borderId="11" xfId="1" applyFont="1" applyFill="1" applyBorder="1" applyAlignment="1">
      <alignment horizontal="center" vertical="center" wrapText="1"/>
    </xf>
    <xf numFmtId="10" fontId="12" fillId="2" borderId="11" xfId="2" applyNumberFormat="1" applyFont="1" applyFill="1" applyBorder="1" applyAlignment="1">
      <alignment vertical="center"/>
    </xf>
    <xf numFmtId="37" fontId="13" fillId="2" borderId="13" xfId="1" applyNumberFormat="1" applyFont="1" applyFill="1" applyBorder="1" applyAlignment="1">
      <alignment horizontal="center" vertical="center"/>
    </xf>
    <xf numFmtId="37" fontId="13" fillId="2" borderId="48" xfId="1" applyNumberFormat="1" applyFont="1" applyFill="1" applyBorder="1" applyAlignment="1">
      <alignment horizontal="center" vertical="center"/>
    </xf>
    <xf numFmtId="164" fontId="13" fillId="2" borderId="49" xfId="1" applyFont="1" applyFill="1" applyBorder="1" applyAlignment="1">
      <alignment horizontal="center" vertical="center"/>
    </xf>
    <xf numFmtId="37" fontId="15" fillId="2" borderId="50" xfId="1" applyNumberFormat="1" applyFont="1" applyFill="1" applyBorder="1" applyAlignment="1">
      <alignment horizontal="center" vertical="center"/>
    </xf>
    <xf numFmtId="10" fontId="16" fillId="2" borderId="50" xfId="2" applyNumberFormat="1" applyFont="1" applyFill="1" applyBorder="1" applyAlignment="1">
      <alignment horizontal="center" vertical="center"/>
    </xf>
    <xf numFmtId="37" fontId="13" fillId="2" borderId="51" xfId="1" applyNumberFormat="1" applyFont="1" applyFill="1" applyBorder="1" applyAlignment="1">
      <alignment horizontal="center" vertical="center"/>
    </xf>
    <xf numFmtId="164" fontId="12" fillId="2" borderId="2" xfId="1" applyFont="1" applyFill="1" applyBorder="1" applyAlignment="1">
      <alignment horizontal="center" vertical="center" wrapText="1"/>
    </xf>
    <xf numFmtId="10" fontId="12" fillId="2" borderId="2" xfId="1" applyNumberFormat="1" applyFont="1" applyFill="1" applyBorder="1" applyAlignment="1">
      <alignment vertical="center"/>
    </xf>
    <xf numFmtId="37" fontId="12" fillId="2" borderId="34" xfId="1" applyNumberFormat="1" applyFont="1" applyFill="1" applyBorder="1" applyAlignment="1">
      <alignment horizontal="center" vertical="center"/>
    </xf>
    <xf numFmtId="10" fontId="12" fillId="2" borderId="34" xfId="2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24" xfId="0" applyBorder="1" applyAlignment="1">
      <alignment horizontal="left" vertical="center" wrapText="1"/>
    </xf>
    <xf numFmtId="10" fontId="12" fillId="2" borderId="2" xfId="2" applyNumberFormat="1" applyFont="1" applyFill="1" applyBorder="1" applyAlignment="1">
      <alignment vertical="center" wrapText="1"/>
    </xf>
    <xf numFmtId="0" fontId="11" fillId="7" borderId="42" xfId="0" applyFont="1" applyFill="1" applyBorder="1" applyAlignment="1">
      <alignment horizontal="right" vertical="center" wrapText="1"/>
    </xf>
    <xf numFmtId="164" fontId="12" fillId="7" borderId="43" xfId="0" applyNumberFormat="1" applyFont="1" applyFill="1" applyBorder="1" applyAlignment="1">
      <alignment horizontal="center" vertical="center"/>
    </xf>
    <xf numFmtId="10" fontId="11" fillId="8" borderId="43" xfId="2" applyNumberFormat="1" applyFont="1" applyFill="1" applyBorder="1" applyAlignment="1">
      <alignment horizontal="center" vertical="center" wrapText="1"/>
    </xf>
    <xf numFmtId="37" fontId="12" fillId="7" borderId="44" xfId="1" applyNumberFormat="1" applyFont="1" applyFill="1" applyBorder="1" applyAlignment="1">
      <alignment horizontal="center" vertical="center"/>
    </xf>
    <xf numFmtId="164" fontId="12" fillId="7" borderId="45" xfId="1" applyFont="1" applyFill="1" applyBorder="1" applyAlignment="1">
      <alignment horizontal="center" vertical="center"/>
    </xf>
    <xf numFmtId="10" fontId="12" fillId="7" borderId="43" xfId="2" applyNumberFormat="1" applyFont="1" applyFill="1" applyBorder="1" applyAlignment="1">
      <alignment horizontal="center" vertical="center"/>
    </xf>
    <xf numFmtId="37" fontId="12" fillId="7" borderId="46" xfId="1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10" fontId="12" fillId="2" borderId="2" xfId="2" applyNumberFormat="1" applyFont="1" applyFill="1" applyBorder="1" applyAlignment="1">
      <alignment horizontal="center" vertical="center" wrapText="1"/>
    </xf>
    <xf numFmtId="0" fontId="11" fillId="7" borderId="42" xfId="0" applyFont="1" applyFill="1" applyBorder="1" applyAlignment="1">
      <alignment horizontal="left" vertical="center" wrapText="1"/>
    </xf>
    <xf numFmtId="37" fontId="12" fillId="7" borderId="45" xfId="1" applyNumberFormat="1" applyFont="1" applyFill="1" applyBorder="1" applyAlignment="1">
      <alignment horizontal="center" vertical="center"/>
    </xf>
    <xf numFmtId="37" fontId="12" fillId="7" borderId="43" xfId="1" applyNumberFormat="1" applyFont="1" applyFill="1" applyBorder="1" applyAlignment="1">
      <alignment horizontal="center" vertical="center"/>
    </xf>
    <xf numFmtId="164" fontId="12" fillId="2" borderId="2" xfId="0" applyNumberFormat="1" applyFont="1" applyFill="1" applyBorder="1" applyAlignment="1">
      <alignment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left" vertical="center" wrapText="1"/>
    </xf>
    <xf numFmtId="164" fontId="12" fillId="2" borderId="1" xfId="0" applyNumberFormat="1" applyFont="1" applyFill="1" applyBorder="1" applyAlignment="1">
      <alignment vertical="center" wrapText="1"/>
    </xf>
    <xf numFmtId="37" fontId="13" fillId="2" borderId="52" xfId="1" applyNumberFormat="1" applyFont="1" applyFill="1" applyBorder="1" applyAlignment="1">
      <alignment horizontal="center" vertical="center"/>
    </xf>
    <xf numFmtId="164" fontId="13" fillId="2" borderId="53" xfId="1" applyFont="1" applyFill="1" applyBorder="1" applyAlignment="1">
      <alignment horizontal="center" vertical="center"/>
    </xf>
    <xf numFmtId="37" fontId="15" fillId="2" borderId="40" xfId="1" applyNumberFormat="1" applyFont="1" applyFill="1" applyBorder="1" applyAlignment="1">
      <alignment horizontal="center" vertical="center"/>
    </xf>
    <xf numFmtId="10" fontId="16" fillId="2" borderId="40" xfId="2" applyNumberFormat="1" applyFont="1" applyFill="1" applyBorder="1" applyAlignment="1">
      <alignment horizontal="center" vertical="center"/>
    </xf>
    <xf numFmtId="164" fontId="3" fillId="7" borderId="43" xfId="0" applyNumberFormat="1" applyFont="1" applyFill="1" applyBorder="1" applyAlignment="1">
      <alignment horizontal="center" vertical="center"/>
    </xf>
    <xf numFmtId="9" fontId="3" fillId="7" borderId="43" xfId="2" applyFont="1" applyFill="1" applyBorder="1" applyAlignment="1">
      <alignment horizontal="center" vertical="center"/>
    </xf>
    <xf numFmtId="37" fontId="3" fillId="7" borderId="44" xfId="1" applyNumberFormat="1" applyFont="1" applyFill="1" applyBorder="1" applyAlignment="1">
      <alignment horizontal="center" vertical="center"/>
    </xf>
    <xf numFmtId="37" fontId="3" fillId="7" borderId="45" xfId="1" applyNumberFormat="1" applyFont="1" applyFill="1" applyBorder="1" applyAlignment="1">
      <alignment horizontal="center" vertical="center"/>
    </xf>
    <xf numFmtId="37" fontId="3" fillId="7" borderId="43" xfId="1" applyNumberFormat="1" applyFont="1" applyFill="1" applyBorder="1" applyAlignment="1">
      <alignment horizontal="center" vertical="center"/>
    </xf>
    <xf numFmtId="164" fontId="3" fillId="7" borderId="45" xfId="1" applyFont="1" applyFill="1" applyBorder="1" applyAlignment="1">
      <alignment horizontal="center" vertical="center"/>
    </xf>
    <xf numFmtId="10" fontId="3" fillId="7" borderId="43" xfId="2" applyNumberFormat="1" applyFont="1" applyFill="1" applyBorder="1" applyAlignment="1">
      <alignment horizontal="center" vertical="center"/>
    </xf>
    <xf numFmtId="37" fontId="3" fillId="7" borderId="46" xfId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0" fillId="0" borderId="0" xfId="0" applyAlignment="1">
      <alignment wrapText="1"/>
    </xf>
    <xf numFmtId="0" fontId="4" fillId="0" borderId="5" xfId="0" applyFont="1" applyBorder="1" applyAlignment="1">
      <alignment horizontal="center"/>
    </xf>
    <xf numFmtId="37" fontId="7" fillId="2" borderId="0" xfId="1" applyNumberFormat="1" applyFont="1" applyFill="1" applyBorder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7" fillId="2" borderId="0" xfId="1" applyNumberFormat="1" applyFont="1" applyFill="1" applyBorder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 wrapText="1"/>
    </xf>
    <xf numFmtId="0" fontId="4" fillId="12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/>
    </xf>
    <xf numFmtId="0" fontId="0" fillId="7" borderId="25" xfId="0" applyFill="1" applyBorder="1" applyAlignment="1">
      <alignment vertical="center"/>
    </xf>
    <xf numFmtId="0" fontId="0" fillId="7" borderId="62" xfId="0" applyFill="1" applyBorder="1" applyAlignment="1">
      <alignment vertical="center"/>
    </xf>
    <xf numFmtId="0" fontId="10" fillId="7" borderId="24" xfId="0" applyFont="1" applyFill="1" applyBorder="1" applyAlignment="1">
      <alignment horizontal="right" vertical="center"/>
    </xf>
    <xf numFmtId="10" fontId="11" fillId="7" borderId="1" xfId="2" quotePrefix="1" applyNumberFormat="1" applyFont="1" applyFill="1" applyBorder="1" applyAlignment="1">
      <alignment horizontal="right" vertical="center"/>
    </xf>
    <xf numFmtId="0" fontId="0" fillId="5" borderId="25" xfId="0" applyFill="1" applyBorder="1" applyAlignment="1">
      <alignment vertical="center"/>
    </xf>
    <xf numFmtId="0" fontId="0" fillId="5" borderId="62" xfId="0" applyFill="1" applyBorder="1" applyAlignment="1">
      <alignment vertical="center"/>
    </xf>
    <xf numFmtId="0" fontId="10" fillId="5" borderId="24" xfId="0" applyFont="1" applyFill="1" applyBorder="1" applyAlignment="1">
      <alignment horizontal="right" vertical="center"/>
    </xf>
    <xf numFmtId="10" fontId="11" fillId="5" borderId="1" xfId="2" quotePrefix="1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/>
    </xf>
    <xf numFmtId="10" fontId="0" fillId="0" borderId="0" xfId="2" applyNumberFormat="1" applyFont="1"/>
    <xf numFmtId="0" fontId="19" fillId="0" borderId="0" xfId="0" applyFont="1"/>
    <xf numFmtId="0" fontId="10" fillId="9" borderId="4" xfId="0" applyFont="1" applyFill="1" applyBorder="1" applyAlignment="1">
      <alignment vertical="center" wrapText="1"/>
    </xf>
    <xf numFmtId="0" fontId="10" fillId="9" borderId="3" xfId="0" applyFont="1" applyFill="1" applyBorder="1" applyAlignment="1">
      <alignment vertical="center" wrapText="1"/>
    </xf>
    <xf numFmtId="0" fontId="10" fillId="9" borderId="13" xfId="0" applyFont="1" applyFill="1" applyBorder="1" applyAlignment="1">
      <alignment vertical="center" wrapText="1"/>
    </xf>
    <xf numFmtId="0" fontId="10" fillId="9" borderId="15" xfId="0" applyFont="1" applyFill="1" applyBorder="1" applyAlignment="1">
      <alignment vertical="center" wrapText="1"/>
    </xf>
    <xf numFmtId="0" fontId="11" fillId="9" borderId="2" xfId="0" applyFont="1" applyFill="1" applyBorder="1" applyAlignment="1">
      <alignment vertical="center" wrapText="1"/>
    </xf>
    <xf numFmtId="0" fontId="11" fillId="9" borderId="47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9" fillId="9" borderId="4" xfId="0" applyFont="1" applyFill="1" applyBorder="1" applyAlignment="1">
      <alignment vertical="center" wrapText="1"/>
    </xf>
    <xf numFmtId="0" fontId="9" fillId="9" borderId="3" xfId="0" applyFont="1" applyFill="1" applyBorder="1" applyAlignment="1">
      <alignment vertical="center" wrapText="1"/>
    </xf>
    <xf numFmtId="0" fontId="9" fillId="9" borderId="13" xfId="0" applyFont="1" applyFill="1" applyBorder="1" applyAlignment="1">
      <alignment vertical="center" wrapText="1"/>
    </xf>
    <xf numFmtId="0" fontId="9" fillId="9" borderId="15" xfId="0" applyFont="1" applyFill="1" applyBorder="1" applyAlignment="1">
      <alignment vertical="center" wrapText="1"/>
    </xf>
    <xf numFmtId="37" fontId="7" fillId="9" borderId="2" xfId="1" applyNumberFormat="1" applyFont="1" applyFill="1" applyBorder="1" applyAlignment="1">
      <alignment vertical="center"/>
    </xf>
    <xf numFmtId="0" fontId="7" fillId="9" borderId="47" xfId="1" applyNumberFormat="1" applyFont="1" applyFill="1" applyBorder="1" applyAlignment="1">
      <alignment vertical="center"/>
    </xf>
    <xf numFmtId="0" fontId="10" fillId="4" borderId="16" xfId="0" applyFont="1" applyFill="1" applyBorder="1" applyAlignment="1">
      <alignment vertical="center"/>
    </xf>
    <xf numFmtId="0" fontId="10" fillId="4" borderId="1" xfId="0" applyFont="1" applyFill="1" applyBorder="1" applyAlignment="1">
      <alignment vertical="center"/>
    </xf>
    <xf numFmtId="0" fontId="4" fillId="6" borderId="2" xfId="0" applyFont="1" applyFill="1" applyBorder="1" applyAlignment="1">
      <alignment vertical="center" wrapText="1"/>
    </xf>
    <xf numFmtId="0" fontId="4" fillId="2" borderId="47" xfId="0" applyFont="1" applyFill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4" fillId="3" borderId="2" xfId="0" applyFont="1" applyFill="1" applyBorder="1" applyAlignment="1">
      <alignment vertical="center" wrapText="1"/>
    </xf>
    <xf numFmtId="0" fontId="4" fillId="3" borderId="11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4" fillId="3" borderId="12" xfId="0" applyFont="1" applyFill="1" applyBorder="1" applyAlignment="1">
      <alignment vertical="center" wrapText="1"/>
    </xf>
    <xf numFmtId="0" fontId="9" fillId="3" borderId="4" xfId="0" applyFont="1" applyFill="1" applyBorder="1" applyAlignment="1">
      <alignment vertical="center" wrapText="1"/>
    </xf>
    <xf numFmtId="0" fontId="9" fillId="3" borderId="5" xfId="0" applyFont="1" applyFill="1" applyBorder="1" applyAlignment="1">
      <alignment vertical="center" wrapText="1"/>
    </xf>
    <xf numFmtId="0" fontId="9" fillId="3" borderId="3" xfId="0" applyFont="1" applyFill="1" applyBorder="1" applyAlignment="1">
      <alignment vertical="center" wrapText="1"/>
    </xf>
    <xf numFmtId="0" fontId="9" fillId="3" borderId="13" xfId="0" applyFont="1" applyFill="1" applyBorder="1" applyAlignment="1">
      <alignment vertical="center" wrapText="1"/>
    </xf>
    <xf numFmtId="0" fontId="9" fillId="3" borderId="14" xfId="0" applyFont="1" applyFill="1" applyBorder="1" applyAlignment="1">
      <alignment vertical="center" wrapText="1"/>
    </xf>
    <xf numFmtId="0" fontId="9" fillId="3" borderId="15" xfId="0" applyFont="1" applyFill="1" applyBorder="1" applyAlignment="1">
      <alignment vertical="center" wrapText="1"/>
    </xf>
    <xf numFmtId="0" fontId="10" fillId="4" borderId="6" xfId="0" applyFont="1" applyFill="1" applyBorder="1" applyAlignment="1">
      <alignment vertical="center"/>
    </xf>
    <xf numFmtId="0" fontId="10" fillId="4" borderId="7" xfId="0" applyFont="1" applyFill="1" applyBorder="1" applyAlignment="1">
      <alignment vertical="center"/>
    </xf>
    <xf numFmtId="0" fontId="11" fillId="7" borderId="63" xfId="0" applyFont="1" applyFill="1" applyBorder="1" applyAlignment="1">
      <alignment horizontal="right" vertical="center" wrapText="1"/>
    </xf>
    <xf numFmtId="164" fontId="3" fillId="7" borderId="64" xfId="0" applyNumberFormat="1" applyFont="1" applyFill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0" fillId="4" borderId="1" xfId="0" applyFill="1" applyBorder="1"/>
    <xf numFmtId="0" fontId="0" fillId="13" borderId="1" xfId="0" applyFill="1" applyBorder="1"/>
    <xf numFmtId="0" fontId="20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wrapText="1"/>
    </xf>
    <xf numFmtId="0" fontId="21" fillId="0" borderId="1" xfId="0" applyFont="1" applyBorder="1" applyAlignment="1">
      <alignment wrapText="1"/>
    </xf>
    <xf numFmtId="0" fontId="20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wrapText="1"/>
    </xf>
    <xf numFmtId="166" fontId="0" fillId="0" borderId="0" xfId="0" applyNumberFormat="1"/>
    <xf numFmtId="0" fontId="0" fillId="0" borderId="1" xfId="0" applyBorder="1" applyAlignment="1">
      <alignment wrapText="1"/>
    </xf>
    <xf numFmtId="166" fontId="0" fillId="0" borderId="1" xfId="0" applyNumberFormat="1" applyBorder="1"/>
    <xf numFmtId="0" fontId="0" fillId="0" borderId="1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4" fillId="0" borderId="0" xfId="0" applyFont="1" applyAlignment="1">
      <alignment wrapText="1"/>
    </xf>
    <xf numFmtId="0" fontId="13" fillId="0" borderId="1" xfId="1" applyNumberFormat="1" applyFont="1" applyFill="1" applyBorder="1" applyAlignment="1">
      <alignment horizontal="center" vertical="center"/>
    </xf>
    <xf numFmtId="0" fontId="12" fillId="0" borderId="1" xfId="1" applyNumberFormat="1" applyFont="1" applyFill="1" applyBorder="1" applyAlignment="1">
      <alignment horizontal="center" vertical="center"/>
    </xf>
    <xf numFmtId="0" fontId="3" fillId="0" borderId="0" xfId="0" applyFont="1"/>
    <xf numFmtId="0" fontId="0" fillId="0" borderId="25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7" fillId="0" borderId="0" xfId="0" applyFont="1" applyAlignment="1">
      <alignment horizontal="left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center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2" borderId="47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9" fillId="9" borderId="4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9" fillId="9" borderId="13" xfId="0" applyFont="1" applyFill="1" applyBorder="1" applyAlignment="1">
      <alignment horizontal="center" vertical="center" wrapText="1"/>
    </xf>
    <xf numFmtId="0" fontId="9" fillId="9" borderId="15" xfId="0" applyFont="1" applyFill="1" applyBorder="1" applyAlignment="1">
      <alignment horizontal="center" vertical="center" wrapText="1"/>
    </xf>
    <xf numFmtId="37" fontId="7" fillId="9" borderId="2" xfId="1" applyNumberFormat="1" applyFont="1" applyFill="1" applyBorder="1" applyAlignment="1">
      <alignment horizontal="center" vertical="center"/>
    </xf>
    <xf numFmtId="0" fontId="7" fillId="9" borderId="47" xfId="1" applyNumberFormat="1" applyFont="1" applyFill="1" applyBorder="1" applyAlignment="1">
      <alignment horizontal="center" vertical="center"/>
    </xf>
    <xf numFmtId="37" fontId="7" fillId="5" borderId="56" xfId="1" applyNumberFormat="1" applyFont="1" applyFill="1" applyBorder="1" applyAlignment="1">
      <alignment horizontal="center" vertical="center"/>
    </xf>
    <xf numFmtId="0" fontId="7" fillId="5" borderId="58" xfId="1" applyNumberFormat="1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5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11" fillId="9" borderId="47" xfId="0" applyFont="1" applyFill="1" applyBorder="1" applyAlignment="1">
      <alignment horizontal="center" vertical="center" wrapText="1"/>
    </xf>
    <xf numFmtId="0" fontId="10" fillId="5" borderId="57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60" xfId="0" applyFont="1" applyFill="1" applyBorder="1" applyAlignment="1">
      <alignment horizontal="center" vertical="center" wrapText="1"/>
    </xf>
    <xf numFmtId="0" fontId="10" fillId="5" borderId="22" xfId="0" applyFont="1" applyFill="1" applyBorder="1" applyAlignment="1">
      <alignment horizontal="center" vertical="center" wrapText="1"/>
    </xf>
    <xf numFmtId="0" fontId="11" fillId="5" borderId="59" xfId="0" applyFont="1" applyFill="1" applyBorder="1" applyAlignment="1">
      <alignment horizontal="center" vertical="center" wrapText="1"/>
    </xf>
    <xf numFmtId="0" fontId="11" fillId="5" borderId="61" xfId="0" applyFont="1" applyFill="1" applyBorder="1" applyAlignment="1">
      <alignment horizontal="center" vertical="center" wrapText="1"/>
    </xf>
    <xf numFmtId="0" fontId="9" fillId="5" borderId="54" xfId="0" applyFont="1" applyFill="1" applyBorder="1" applyAlignment="1">
      <alignment horizontal="center" vertical="center" wrapText="1"/>
    </xf>
    <xf numFmtId="0" fontId="9" fillId="5" borderId="55" xfId="0" applyFont="1" applyFill="1" applyBorder="1" applyAlignment="1">
      <alignment horizontal="center" vertical="center" wrapText="1"/>
    </xf>
    <xf numFmtId="0" fontId="9" fillId="5" borderId="57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162"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theme="7" tint="0.59996337778862885"/>
        </patternFill>
      </fill>
    </dxf>
    <dxf>
      <fill>
        <patternFill patternType="solid">
          <bgColor rgb="FFC00000"/>
        </patternFill>
      </fill>
    </dxf>
    <dxf>
      <fill>
        <patternFill>
          <bgColor rgb="FF92D050"/>
        </patternFill>
      </fill>
    </dxf>
    <dxf>
      <fill>
        <patternFill>
          <bgColor theme="5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8.xml"/><Relationship Id="rId42" Type="http://schemas.openxmlformats.org/officeDocument/2006/relationships/externalLink" Target="externalLinks/externalLink16.xml"/><Relationship Id="rId47" Type="http://schemas.openxmlformats.org/officeDocument/2006/relationships/externalLink" Target="externalLinks/externalLink21.xml"/><Relationship Id="rId50" Type="http://schemas.openxmlformats.org/officeDocument/2006/relationships/externalLink" Target="externalLinks/externalLink24.xml"/><Relationship Id="rId55" Type="http://schemas.openxmlformats.org/officeDocument/2006/relationships/externalLink" Target="externalLinks/externalLink29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6.xml"/><Relationship Id="rId37" Type="http://schemas.openxmlformats.org/officeDocument/2006/relationships/externalLink" Target="externalLinks/externalLink11.xml"/><Relationship Id="rId40" Type="http://schemas.openxmlformats.org/officeDocument/2006/relationships/externalLink" Target="externalLinks/externalLink14.xml"/><Relationship Id="rId45" Type="http://schemas.openxmlformats.org/officeDocument/2006/relationships/externalLink" Target="externalLinks/externalLink19.xml"/><Relationship Id="rId53" Type="http://schemas.openxmlformats.org/officeDocument/2006/relationships/externalLink" Target="externalLinks/externalLink27.xml"/><Relationship Id="rId58" Type="http://schemas.openxmlformats.org/officeDocument/2006/relationships/externalLink" Target="externalLinks/externalLink32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3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externalLink" Target="externalLinks/externalLink9.xml"/><Relationship Id="rId43" Type="http://schemas.openxmlformats.org/officeDocument/2006/relationships/externalLink" Target="externalLinks/externalLink17.xml"/><Relationship Id="rId48" Type="http://schemas.openxmlformats.org/officeDocument/2006/relationships/externalLink" Target="externalLinks/externalLink22.xml"/><Relationship Id="rId56" Type="http://schemas.openxmlformats.org/officeDocument/2006/relationships/externalLink" Target="externalLinks/externalLink30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7.xml"/><Relationship Id="rId38" Type="http://schemas.openxmlformats.org/officeDocument/2006/relationships/externalLink" Target="externalLinks/externalLink12.xml"/><Relationship Id="rId46" Type="http://schemas.openxmlformats.org/officeDocument/2006/relationships/externalLink" Target="externalLinks/externalLink20.xml"/><Relationship Id="rId59" Type="http://schemas.openxmlformats.org/officeDocument/2006/relationships/externalLink" Target="externalLinks/externalLink33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5.xml"/><Relationship Id="rId54" Type="http://schemas.openxmlformats.org/officeDocument/2006/relationships/externalLink" Target="externalLinks/externalLink28.xml"/><Relationship Id="rId62" Type="http://schemas.openxmlformats.org/officeDocument/2006/relationships/externalLink" Target="externalLinks/externalLink3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externalLink" Target="externalLinks/externalLink10.xml"/><Relationship Id="rId49" Type="http://schemas.openxmlformats.org/officeDocument/2006/relationships/externalLink" Target="externalLinks/externalLink23.xml"/><Relationship Id="rId57" Type="http://schemas.openxmlformats.org/officeDocument/2006/relationships/externalLink" Target="externalLinks/externalLink31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5.xml"/><Relationship Id="rId44" Type="http://schemas.openxmlformats.org/officeDocument/2006/relationships/externalLink" Target="externalLinks/externalLink18.xml"/><Relationship Id="rId52" Type="http://schemas.openxmlformats.org/officeDocument/2006/relationships/externalLink" Target="externalLinks/externalLink26.xml"/><Relationship Id="rId60" Type="http://schemas.openxmlformats.org/officeDocument/2006/relationships/externalLink" Target="externalLinks/externalLink34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44</xdr:row>
      <xdr:rowOff>0</xdr:rowOff>
    </xdr:from>
    <xdr:to>
      <xdr:col>12</xdr:col>
      <xdr:colOff>611436</xdr:colOff>
      <xdr:row>50</xdr:row>
      <xdr:rowOff>105832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21F9643-44F1-4794-80ED-DB00B24A8948}"/>
            </a:ext>
          </a:extLst>
        </xdr:cNvPr>
        <xdr:cNvGrpSpPr/>
      </xdr:nvGrpSpPr>
      <xdr:grpSpPr>
        <a:xfrm>
          <a:off x="4667250" y="12268200"/>
          <a:ext cx="9031536" cy="1248832"/>
          <a:chOff x="4656667" y="12086167"/>
          <a:chExt cx="7543519" cy="1248832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5423E94D-9331-0CEA-9C0E-495EAA4F34CB}"/>
              </a:ext>
            </a:extLst>
          </xdr:cNvPr>
          <xdr:cNvSpPr/>
        </xdr:nvSpPr>
        <xdr:spPr>
          <a:xfrm>
            <a:off x="4656667" y="12086167"/>
            <a:ext cx="7543519" cy="600787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𝑲𝒐𝒏𝒕𝒓𝒊𝒃𝒖𝒔𝒊 𝒑𝒆𝒏𝒂𝒏𝒈𝒂𝒏𝒂𝒏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=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( (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𝑅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𝑎𝑡𝑎2 𝑘𝑢𝑚𝑢ℎ 𝑠𝑒𝑘𝑡𝑜𝑟𝑎𝑙 𝑎𝑤𝑎𝑙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− 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  <a:ea typeface="Cambria Math"/>
              </a:rPr>
              <a:t>𝑅𝑎𝑡𝑎2 𝑘𝑢𝑚𝑢ℎ 𝑠𝑒𝑘𝑡𝑜𝑟𝑎𝑙 𝑎𝑘ℎ𝑖𝑟)/(𝑅𝑎𝑡𝑎−𝑟𝑎𝑡𝑎 𝑘𝑢𝑚𝑢ℎ 𝑠𝑒𝑘𝑡𝑜𝑟𝑎𝑙 𝑎𝑤𝑎𝑙)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  <a:ea typeface="Cambria Math"/>
              </a:rPr>
              <a:t>×</a:t>
            </a:r>
            <a:r>
              <a:rPr lang="en-US" sz="1200" i="1">
                <a:solidFill>
                  <a:sysClr val="windowText" lastClr="000000"/>
                </a:solidFill>
                <a:latin typeface="+mn-lt"/>
              </a:rPr>
              <a:t>100%</a:t>
            </a:r>
            <a:endParaRPr lang="en-US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CFBA211F-9224-249B-5565-55A773A3F833}"/>
              </a:ext>
            </a:extLst>
          </xdr:cNvPr>
          <xdr:cNvSpPr/>
        </xdr:nvSpPr>
        <xdr:spPr>
          <a:xfrm>
            <a:off x="4661004" y="12767836"/>
            <a:ext cx="7520418" cy="567163"/>
          </a:xfrm>
          <a:prstGeom prst="rect">
            <a:avLst/>
          </a:prstGeom>
          <a:solidFill>
            <a:schemeClr val="accent1">
              <a:lumMod val="50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lang="en-US" sz="1200" b="1" i="1">
                <a:solidFill>
                  <a:schemeClr val="bg1"/>
                </a:solidFill>
              </a:rPr>
              <a:t>* Jika total nilai tingkat kekumuhan</a:t>
            </a:r>
            <a:r>
              <a:rPr lang="en-US" sz="1200" b="1" i="1" baseline="0">
                <a:solidFill>
                  <a:schemeClr val="bg1"/>
                </a:solidFill>
              </a:rPr>
              <a:t> akhir &lt; 19, maka kontribusi penanganan adalah 100% (dianggap sudah tertangani 100%)</a:t>
            </a:r>
            <a:endParaRPr lang="en-US" sz="1200" b="1" i="1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44</xdr:row>
      <xdr:rowOff>0</xdr:rowOff>
    </xdr:from>
    <xdr:to>
      <xdr:col>12</xdr:col>
      <xdr:colOff>611436</xdr:colOff>
      <xdr:row>50</xdr:row>
      <xdr:rowOff>105832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D242978-0BB9-4AF6-821F-F600868B159A}"/>
            </a:ext>
          </a:extLst>
        </xdr:cNvPr>
        <xdr:cNvGrpSpPr/>
      </xdr:nvGrpSpPr>
      <xdr:grpSpPr>
        <a:xfrm>
          <a:off x="4655344" y="12037219"/>
          <a:ext cx="8993436" cy="1248832"/>
          <a:chOff x="4656667" y="12086167"/>
          <a:chExt cx="7543519" cy="1248832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21D9E221-FEB0-AFA0-7082-60B378D2E222}"/>
              </a:ext>
            </a:extLst>
          </xdr:cNvPr>
          <xdr:cNvSpPr/>
        </xdr:nvSpPr>
        <xdr:spPr>
          <a:xfrm>
            <a:off x="4656667" y="12086167"/>
            <a:ext cx="7543519" cy="600787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𝑲𝒐𝒏𝒕𝒓𝒊𝒃𝒖𝒔𝒊 𝒑𝒆𝒏𝒂𝒏𝒈𝒂𝒏𝒂𝒏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=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( (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𝑅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𝑎𝑡𝑎2 𝑘𝑢𝑚𝑢ℎ 𝑠𝑒𝑘𝑡𝑜𝑟𝑎𝑙 𝑎𝑤𝑎𝑙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− 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  <a:ea typeface="Cambria Math"/>
              </a:rPr>
              <a:t>𝑅𝑎𝑡𝑎2 𝑘𝑢𝑚𝑢ℎ 𝑠𝑒𝑘𝑡𝑜𝑟𝑎𝑙 𝑎𝑘ℎ𝑖𝑟)/(𝑅𝑎𝑡𝑎−𝑟𝑎𝑡𝑎 𝑘𝑢𝑚𝑢ℎ 𝑠𝑒𝑘𝑡𝑜𝑟𝑎𝑙 𝑎𝑤𝑎𝑙)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  <a:ea typeface="Cambria Math"/>
              </a:rPr>
              <a:t>×</a:t>
            </a:r>
            <a:r>
              <a:rPr lang="en-US" sz="1200" i="1">
                <a:solidFill>
                  <a:sysClr val="windowText" lastClr="000000"/>
                </a:solidFill>
                <a:latin typeface="+mn-lt"/>
              </a:rPr>
              <a:t>100%</a:t>
            </a:r>
            <a:endParaRPr lang="en-US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83FD4599-014A-1D05-2D8E-8B52E70BE17F}"/>
              </a:ext>
            </a:extLst>
          </xdr:cNvPr>
          <xdr:cNvSpPr/>
        </xdr:nvSpPr>
        <xdr:spPr>
          <a:xfrm>
            <a:off x="4661004" y="12767836"/>
            <a:ext cx="7520418" cy="567163"/>
          </a:xfrm>
          <a:prstGeom prst="rect">
            <a:avLst/>
          </a:prstGeom>
          <a:solidFill>
            <a:schemeClr val="accent1">
              <a:lumMod val="50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lang="en-US" sz="1200" b="1" i="1">
                <a:solidFill>
                  <a:schemeClr val="bg1"/>
                </a:solidFill>
              </a:rPr>
              <a:t>* Jika total nilai tingkat kekumuhan</a:t>
            </a:r>
            <a:r>
              <a:rPr lang="en-US" sz="1200" b="1" i="1" baseline="0">
                <a:solidFill>
                  <a:schemeClr val="bg1"/>
                </a:solidFill>
              </a:rPr>
              <a:t> akhir &lt; 19, maka kontribusi penanganan adalah 100% (dianggap sudah tertangani 100%)</a:t>
            </a:r>
            <a:endParaRPr lang="en-US" sz="1200" b="1" i="1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44</xdr:row>
      <xdr:rowOff>0</xdr:rowOff>
    </xdr:from>
    <xdr:to>
      <xdr:col>12</xdr:col>
      <xdr:colOff>611436</xdr:colOff>
      <xdr:row>50</xdr:row>
      <xdr:rowOff>105832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39F79BE-CB81-4943-BE67-0CF804DE7F57}"/>
            </a:ext>
          </a:extLst>
        </xdr:cNvPr>
        <xdr:cNvGrpSpPr/>
      </xdr:nvGrpSpPr>
      <xdr:grpSpPr>
        <a:xfrm>
          <a:off x="4667250" y="12160250"/>
          <a:ext cx="8961686" cy="1248832"/>
          <a:chOff x="4656667" y="12086167"/>
          <a:chExt cx="7543519" cy="1248832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BEAA544F-4A88-8249-43DA-299BC15D805A}"/>
              </a:ext>
            </a:extLst>
          </xdr:cNvPr>
          <xdr:cNvSpPr/>
        </xdr:nvSpPr>
        <xdr:spPr>
          <a:xfrm>
            <a:off x="4656667" y="12086167"/>
            <a:ext cx="7543519" cy="600787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𝑲𝒐𝒏𝒕𝒓𝒊𝒃𝒖𝒔𝒊 𝒑𝒆𝒏𝒂𝒏𝒈𝒂𝒏𝒂𝒏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=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( (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𝑅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𝑎𝑡𝑎2 𝑘𝑢𝑚𝑢ℎ 𝑠𝑒𝑘𝑡𝑜𝑟𝑎𝑙 𝑎𝑤𝑎𝑙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− 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  <a:ea typeface="Cambria Math"/>
              </a:rPr>
              <a:t>𝑅𝑎𝑡𝑎2 𝑘𝑢𝑚𝑢ℎ 𝑠𝑒𝑘𝑡𝑜𝑟𝑎𝑙 𝑎𝑘ℎ𝑖𝑟)/(𝑅𝑎𝑡𝑎−𝑟𝑎𝑡𝑎 𝑘𝑢𝑚𝑢ℎ 𝑠𝑒𝑘𝑡𝑜𝑟𝑎𝑙 𝑎𝑤𝑎𝑙)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  <a:ea typeface="Cambria Math"/>
              </a:rPr>
              <a:t>×</a:t>
            </a:r>
            <a:r>
              <a:rPr lang="en-US" sz="1200" i="1">
                <a:solidFill>
                  <a:sysClr val="windowText" lastClr="000000"/>
                </a:solidFill>
                <a:latin typeface="+mn-lt"/>
              </a:rPr>
              <a:t>100%</a:t>
            </a:r>
            <a:endParaRPr lang="en-US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BE79D131-BB34-3C8E-48A3-D39553B298CE}"/>
              </a:ext>
            </a:extLst>
          </xdr:cNvPr>
          <xdr:cNvSpPr/>
        </xdr:nvSpPr>
        <xdr:spPr>
          <a:xfrm>
            <a:off x="4661004" y="12767836"/>
            <a:ext cx="7520418" cy="567163"/>
          </a:xfrm>
          <a:prstGeom prst="rect">
            <a:avLst/>
          </a:prstGeom>
          <a:solidFill>
            <a:schemeClr val="accent1">
              <a:lumMod val="50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lang="en-US" sz="1200" b="1" i="1">
                <a:solidFill>
                  <a:schemeClr val="bg1"/>
                </a:solidFill>
              </a:rPr>
              <a:t>* Jika total nilai tingkat kekumuhan</a:t>
            </a:r>
            <a:r>
              <a:rPr lang="en-US" sz="1200" b="1" i="1" baseline="0">
                <a:solidFill>
                  <a:schemeClr val="bg1"/>
                </a:solidFill>
              </a:rPr>
              <a:t> akhir &lt; 19, maka kontribusi penanganan adalah 100% (dianggap sudah tertangani 100%)</a:t>
            </a:r>
            <a:endParaRPr lang="en-US" sz="1200" b="1" i="1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44</xdr:row>
      <xdr:rowOff>0</xdr:rowOff>
    </xdr:from>
    <xdr:to>
      <xdr:col>12</xdr:col>
      <xdr:colOff>611436</xdr:colOff>
      <xdr:row>50</xdr:row>
      <xdr:rowOff>105832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FC0D00B-B8BF-4DF8-887C-0593ACC737B5}"/>
            </a:ext>
          </a:extLst>
        </xdr:cNvPr>
        <xdr:cNvGrpSpPr/>
      </xdr:nvGrpSpPr>
      <xdr:grpSpPr>
        <a:xfrm>
          <a:off x="4667250" y="12160250"/>
          <a:ext cx="8961686" cy="1248832"/>
          <a:chOff x="4656667" y="12086167"/>
          <a:chExt cx="7543519" cy="1248832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56F9A43E-40F4-8E16-4FA8-758F6A3534E9}"/>
              </a:ext>
            </a:extLst>
          </xdr:cNvPr>
          <xdr:cNvSpPr/>
        </xdr:nvSpPr>
        <xdr:spPr>
          <a:xfrm>
            <a:off x="4656667" y="12086167"/>
            <a:ext cx="7543519" cy="600787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𝑲𝒐𝒏𝒕𝒓𝒊𝒃𝒖𝒔𝒊 𝒑𝒆𝒏𝒂𝒏𝒈𝒂𝒏𝒂𝒏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=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( (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𝑅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𝑎𝑡𝑎2 𝑘𝑢𝑚𝑢ℎ 𝑠𝑒𝑘𝑡𝑜𝑟𝑎𝑙 𝑎𝑤𝑎𝑙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− 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  <a:ea typeface="Cambria Math"/>
              </a:rPr>
              <a:t>𝑅𝑎𝑡𝑎2 𝑘𝑢𝑚𝑢ℎ 𝑠𝑒𝑘𝑡𝑜𝑟𝑎𝑙 𝑎𝑘ℎ𝑖𝑟)/(𝑅𝑎𝑡𝑎−𝑟𝑎𝑡𝑎 𝑘𝑢𝑚𝑢ℎ 𝑠𝑒𝑘𝑡𝑜𝑟𝑎𝑙 𝑎𝑤𝑎𝑙)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  <a:ea typeface="Cambria Math"/>
              </a:rPr>
              <a:t>×</a:t>
            </a:r>
            <a:r>
              <a:rPr lang="en-US" sz="1200" i="1">
                <a:solidFill>
                  <a:sysClr val="windowText" lastClr="000000"/>
                </a:solidFill>
                <a:latin typeface="+mn-lt"/>
              </a:rPr>
              <a:t>100%</a:t>
            </a:r>
            <a:endParaRPr lang="en-US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44DB3F57-023B-A0E1-AF44-04F9E80A079D}"/>
              </a:ext>
            </a:extLst>
          </xdr:cNvPr>
          <xdr:cNvSpPr/>
        </xdr:nvSpPr>
        <xdr:spPr>
          <a:xfrm>
            <a:off x="4661004" y="12767836"/>
            <a:ext cx="7520418" cy="567163"/>
          </a:xfrm>
          <a:prstGeom prst="rect">
            <a:avLst/>
          </a:prstGeom>
          <a:solidFill>
            <a:schemeClr val="accent1">
              <a:lumMod val="50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lang="en-US" sz="1200" b="1" i="1">
                <a:solidFill>
                  <a:schemeClr val="bg1"/>
                </a:solidFill>
              </a:rPr>
              <a:t>* Jika total nilai tingkat kekumuhan</a:t>
            </a:r>
            <a:r>
              <a:rPr lang="en-US" sz="1200" b="1" i="1" baseline="0">
                <a:solidFill>
                  <a:schemeClr val="bg1"/>
                </a:solidFill>
              </a:rPr>
              <a:t> akhir &lt; 19, maka kontribusi penanganan adalah 100% (dianggap sudah tertangani 100%)</a:t>
            </a:r>
            <a:endParaRPr lang="en-US" sz="1200" b="1" i="1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44</xdr:row>
      <xdr:rowOff>0</xdr:rowOff>
    </xdr:from>
    <xdr:to>
      <xdr:col>12</xdr:col>
      <xdr:colOff>611436</xdr:colOff>
      <xdr:row>50</xdr:row>
      <xdr:rowOff>105832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69123E8-5CC1-4FF8-B01F-6716759BCDAF}"/>
            </a:ext>
          </a:extLst>
        </xdr:cNvPr>
        <xdr:cNvGrpSpPr/>
      </xdr:nvGrpSpPr>
      <xdr:grpSpPr>
        <a:xfrm>
          <a:off x="4667250" y="12268200"/>
          <a:ext cx="9031536" cy="1248832"/>
          <a:chOff x="4656667" y="12086167"/>
          <a:chExt cx="7543519" cy="1248832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7C19B34A-84CC-EE4A-964E-A63CC56D1AE5}"/>
              </a:ext>
            </a:extLst>
          </xdr:cNvPr>
          <xdr:cNvSpPr/>
        </xdr:nvSpPr>
        <xdr:spPr>
          <a:xfrm>
            <a:off x="4656667" y="12086167"/>
            <a:ext cx="7543519" cy="600787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𝑲𝒐𝒏𝒕𝒓𝒊𝒃𝒖𝒔𝒊 𝒑𝒆𝒏𝒂𝒏𝒈𝒂𝒏𝒂𝒏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=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( (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𝑅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𝑎𝑡𝑎2 𝑘𝑢𝑚𝑢ℎ 𝑠𝑒𝑘𝑡𝑜𝑟𝑎𝑙 𝑎𝑤𝑎𝑙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− 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  <a:ea typeface="Cambria Math"/>
              </a:rPr>
              <a:t>𝑅𝑎𝑡𝑎2 𝑘𝑢𝑚𝑢ℎ 𝑠𝑒𝑘𝑡𝑜𝑟𝑎𝑙 𝑎𝑘ℎ𝑖𝑟)/(𝑅𝑎𝑡𝑎−𝑟𝑎𝑡𝑎 𝑘𝑢𝑚𝑢ℎ 𝑠𝑒𝑘𝑡𝑜𝑟𝑎𝑙 𝑎𝑤𝑎𝑙)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  <a:ea typeface="Cambria Math"/>
              </a:rPr>
              <a:t>×</a:t>
            </a:r>
            <a:r>
              <a:rPr lang="en-US" sz="1200" i="1">
                <a:solidFill>
                  <a:sysClr val="windowText" lastClr="000000"/>
                </a:solidFill>
                <a:latin typeface="+mn-lt"/>
              </a:rPr>
              <a:t>100%</a:t>
            </a:r>
            <a:endParaRPr lang="en-US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7AF8C128-5C04-F426-3594-476FB5E28C43}"/>
              </a:ext>
            </a:extLst>
          </xdr:cNvPr>
          <xdr:cNvSpPr/>
        </xdr:nvSpPr>
        <xdr:spPr>
          <a:xfrm>
            <a:off x="4661004" y="12767836"/>
            <a:ext cx="7520418" cy="567163"/>
          </a:xfrm>
          <a:prstGeom prst="rect">
            <a:avLst/>
          </a:prstGeom>
          <a:solidFill>
            <a:schemeClr val="accent1">
              <a:lumMod val="50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lang="en-US" sz="1200" b="1" i="1">
                <a:solidFill>
                  <a:schemeClr val="bg1"/>
                </a:solidFill>
              </a:rPr>
              <a:t>* Jika total nilai tingkat kekumuhan</a:t>
            </a:r>
            <a:r>
              <a:rPr lang="en-US" sz="1200" b="1" i="1" baseline="0">
                <a:solidFill>
                  <a:schemeClr val="bg1"/>
                </a:solidFill>
              </a:rPr>
              <a:t> akhir &lt; 19, maka kontribusi penanganan adalah 100% (dianggap sudah tertangani 100%)</a:t>
            </a:r>
            <a:endParaRPr lang="en-US" sz="1200" b="1" i="1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44</xdr:row>
      <xdr:rowOff>0</xdr:rowOff>
    </xdr:from>
    <xdr:to>
      <xdr:col>12</xdr:col>
      <xdr:colOff>611436</xdr:colOff>
      <xdr:row>50</xdr:row>
      <xdr:rowOff>105832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6B54C3A-8635-4B0D-BD04-0A496289695D}"/>
            </a:ext>
          </a:extLst>
        </xdr:cNvPr>
        <xdr:cNvGrpSpPr/>
      </xdr:nvGrpSpPr>
      <xdr:grpSpPr>
        <a:xfrm>
          <a:off x="4667250" y="12083143"/>
          <a:ext cx="9034257" cy="1248832"/>
          <a:chOff x="4656667" y="12086167"/>
          <a:chExt cx="7543519" cy="1248832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7B64708A-3A73-3CC5-6AA2-2D251901A4A3}"/>
              </a:ext>
            </a:extLst>
          </xdr:cNvPr>
          <xdr:cNvSpPr/>
        </xdr:nvSpPr>
        <xdr:spPr>
          <a:xfrm>
            <a:off x="4656667" y="12086167"/>
            <a:ext cx="7543519" cy="600787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𝑲𝒐𝒏𝒕𝒓𝒊𝒃𝒖𝒔𝒊 𝒑𝒆𝒏𝒂𝒏𝒈𝒂𝒏𝒂𝒏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=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( (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𝑅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𝑎𝑡𝑎2 𝑘𝑢𝑚𝑢ℎ 𝑠𝑒𝑘𝑡𝑜𝑟𝑎𝑙 𝑎𝑤𝑎𝑙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− 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  <a:ea typeface="Cambria Math"/>
              </a:rPr>
              <a:t>𝑅𝑎𝑡𝑎2 𝑘𝑢𝑚𝑢ℎ 𝑠𝑒𝑘𝑡𝑜𝑟𝑎𝑙 𝑎𝑘ℎ𝑖𝑟)/(𝑅𝑎𝑡𝑎−𝑟𝑎𝑡𝑎 𝑘𝑢𝑚𝑢ℎ 𝑠𝑒𝑘𝑡𝑜𝑟𝑎𝑙 𝑎𝑤𝑎𝑙)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  <a:ea typeface="Cambria Math"/>
              </a:rPr>
              <a:t>×</a:t>
            </a:r>
            <a:r>
              <a:rPr lang="en-US" sz="1200" i="1">
                <a:solidFill>
                  <a:sysClr val="windowText" lastClr="000000"/>
                </a:solidFill>
                <a:latin typeface="+mn-lt"/>
              </a:rPr>
              <a:t>100%</a:t>
            </a:r>
            <a:endParaRPr lang="en-US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C127C244-1190-FAEF-4E8D-DB11466D39FC}"/>
              </a:ext>
            </a:extLst>
          </xdr:cNvPr>
          <xdr:cNvSpPr/>
        </xdr:nvSpPr>
        <xdr:spPr>
          <a:xfrm>
            <a:off x="4661004" y="12767836"/>
            <a:ext cx="7520418" cy="567163"/>
          </a:xfrm>
          <a:prstGeom prst="rect">
            <a:avLst/>
          </a:prstGeom>
          <a:solidFill>
            <a:schemeClr val="accent1">
              <a:lumMod val="50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lang="en-US" sz="1200" b="1" i="1">
                <a:solidFill>
                  <a:schemeClr val="bg1"/>
                </a:solidFill>
              </a:rPr>
              <a:t>* Jika total nilai tingkat kekumuhan</a:t>
            </a:r>
            <a:r>
              <a:rPr lang="en-US" sz="1200" b="1" i="1" baseline="0">
                <a:solidFill>
                  <a:schemeClr val="bg1"/>
                </a:solidFill>
              </a:rPr>
              <a:t> akhir &lt; 19, maka kontribusi penanganan adalah 100% (dianggap sudah tertangani 100%)</a:t>
            </a:r>
            <a:endParaRPr lang="en-US" sz="1200" b="1" i="1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44</xdr:row>
      <xdr:rowOff>0</xdr:rowOff>
    </xdr:from>
    <xdr:to>
      <xdr:col>12</xdr:col>
      <xdr:colOff>611436</xdr:colOff>
      <xdr:row>50</xdr:row>
      <xdr:rowOff>105832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7513C2E-BAD3-4656-89C7-2D7C25389B08}"/>
            </a:ext>
          </a:extLst>
        </xdr:cNvPr>
        <xdr:cNvGrpSpPr/>
      </xdr:nvGrpSpPr>
      <xdr:grpSpPr>
        <a:xfrm>
          <a:off x="4655344" y="12037219"/>
          <a:ext cx="8993436" cy="1248832"/>
          <a:chOff x="4656667" y="12086167"/>
          <a:chExt cx="7543519" cy="1248832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8A8E607C-0113-4FBE-A079-070FBDA01A00}"/>
              </a:ext>
            </a:extLst>
          </xdr:cNvPr>
          <xdr:cNvSpPr/>
        </xdr:nvSpPr>
        <xdr:spPr>
          <a:xfrm>
            <a:off x="4656667" y="12086167"/>
            <a:ext cx="7543519" cy="600787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𝑲𝒐𝒏𝒕𝒓𝒊𝒃𝒖𝒔𝒊 𝒑𝒆𝒏𝒂𝒏𝒈𝒂𝒏𝒂𝒏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=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( (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𝑅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𝑎𝑡𝑎2 𝑘𝑢𝑚𝑢ℎ 𝑠𝑒𝑘𝑡𝑜𝑟𝑎𝑙 𝑎𝑤𝑎𝑙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− 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  <a:ea typeface="Cambria Math"/>
              </a:rPr>
              <a:t>𝑅𝑎𝑡𝑎2 𝑘𝑢𝑚𝑢ℎ 𝑠𝑒𝑘𝑡𝑜𝑟𝑎𝑙 𝑎𝑘ℎ𝑖𝑟)/(𝑅𝑎𝑡𝑎−𝑟𝑎𝑡𝑎 𝑘𝑢𝑚𝑢ℎ 𝑠𝑒𝑘𝑡𝑜𝑟𝑎𝑙 𝑎𝑤𝑎𝑙)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  <a:ea typeface="Cambria Math"/>
              </a:rPr>
              <a:t>×</a:t>
            </a:r>
            <a:r>
              <a:rPr lang="en-US" sz="1200" i="1">
                <a:solidFill>
                  <a:sysClr val="windowText" lastClr="000000"/>
                </a:solidFill>
                <a:latin typeface="+mn-lt"/>
              </a:rPr>
              <a:t>100%</a:t>
            </a:r>
            <a:endParaRPr lang="en-US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2BE278DD-6671-3719-4EF3-940B538CE8DD}"/>
              </a:ext>
            </a:extLst>
          </xdr:cNvPr>
          <xdr:cNvSpPr/>
        </xdr:nvSpPr>
        <xdr:spPr>
          <a:xfrm>
            <a:off x="4661004" y="12767836"/>
            <a:ext cx="7520418" cy="567163"/>
          </a:xfrm>
          <a:prstGeom prst="rect">
            <a:avLst/>
          </a:prstGeom>
          <a:solidFill>
            <a:schemeClr val="accent1">
              <a:lumMod val="50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lang="en-US" sz="1200" b="1" i="1">
                <a:solidFill>
                  <a:schemeClr val="bg1"/>
                </a:solidFill>
              </a:rPr>
              <a:t>* Jika total nilai tingkat kekumuhan</a:t>
            </a:r>
            <a:r>
              <a:rPr lang="en-US" sz="1200" b="1" i="1" baseline="0">
                <a:solidFill>
                  <a:schemeClr val="bg1"/>
                </a:solidFill>
              </a:rPr>
              <a:t> akhir &lt; 19, maka kontribusi penanganan adalah 100% (dianggap sudah tertangani 100%)</a:t>
            </a:r>
            <a:endParaRPr lang="en-US" sz="1200" b="1" i="1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44</xdr:row>
      <xdr:rowOff>0</xdr:rowOff>
    </xdr:from>
    <xdr:to>
      <xdr:col>12</xdr:col>
      <xdr:colOff>611436</xdr:colOff>
      <xdr:row>50</xdr:row>
      <xdr:rowOff>105832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A06229F-3FDE-4FEC-B0F4-53695B8BC817}"/>
            </a:ext>
          </a:extLst>
        </xdr:cNvPr>
        <xdr:cNvGrpSpPr/>
      </xdr:nvGrpSpPr>
      <xdr:grpSpPr>
        <a:xfrm>
          <a:off x="4655344" y="12037219"/>
          <a:ext cx="8993436" cy="1248832"/>
          <a:chOff x="4656667" y="12086167"/>
          <a:chExt cx="7543519" cy="1248832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978D1EED-1F2D-9302-67E5-19B0C6F237AF}"/>
              </a:ext>
            </a:extLst>
          </xdr:cNvPr>
          <xdr:cNvSpPr/>
        </xdr:nvSpPr>
        <xdr:spPr>
          <a:xfrm>
            <a:off x="4656667" y="12086167"/>
            <a:ext cx="7543519" cy="600787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𝑲𝒐𝒏𝒕𝒓𝒊𝒃𝒖𝒔𝒊 𝒑𝒆𝒏𝒂𝒏𝒈𝒂𝒏𝒂𝒏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=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( (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𝑅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𝑎𝑡𝑎2 𝑘𝑢𝑚𝑢ℎ 𝑠𝑒𝑘𝑡𝑜𝑟𝑎𝑙 𝑎𝑤𝑎𝑙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− 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  <a:ea typeface="Cambria Math"/>
              </a:rPr>
              <a:t>𝑅𝑎𝑡𝑎2 𝑘𝑢𝑚𝑢ℎ 𝑠𝑒𝑘𝑡𝑜𝑟𝑎𝑙 𝑎𝑘ℎ𝑖𝑟)/(𝑅𝑎𝑡𝑎−𝑟𝑎𝑡𝑎 𝑘𝑢𝑚𝑢ℎ 𝑠𝑒𝑘𝑡𝑜𝑟𝑎𝑙 𝑎𝑤𝑎𝑙)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  <a:ea typeface="Cambria Math"/>
              </a:rPr>
              <a:t>×</a:t>
            </a:r>
            <a:r>
              <a:rPr lang="en-US" sz="1200" i="1">
                <a:solidFill>
                  <a:sysClr val="windowText" lastClr="000000"/>
                </a:solidFill>
                <a:latin typeface="+mn-lt"/>
              </a:rPr>
              <a:t>100%</a:t>
            </a:r>
            <a:endParaRPr lang="en-US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A0E6EB90-52A9-A3C5-46B6-B51B5CFAB6C7}"/>
              </a:ext>
            </a:extLst>
          </xdr:cNvPr>
          <xdr:cNvSpPr/>
        </xdr:nvSpPr>
        <xdr:spPr>
          <a:xfrm>
            <a:off x="4661004" y="12767836"/>
            <a:ext cx="7520418" cy="567163"/>
          </a:xfrm>
          <a:prstGeom prst="rect">
            <a:avLst/>
          </a:prstGeom>
          <a:solidFill>
            <a:schemeClr val="accent1">
              <a:lumMod val="50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lang="en-US" sz="1200" b="1" i="1">
                <a:solidFill>
                  <a:schemeClr val="bg1"/>
                </a:solidFill>
              </a:rPr>
              <a:t>* Jika total nilai tingkat kekumuhan</a:t>
            </a:r>
            <a:r>
              <a:rPr lang="en-US" sz="1200" b="1" i="1" baseline="0">
                <a:solidFill>
                  <a:schemeClr val="bg1"/>
                </a:solidFill>
              </a:rPr>
              <a:t> akhir &lt; 19, maka kontribusi penanganan adalah 100% (dianggap sudah tertangani 100%)</a:t>
            </a:r>
            <a:endParaRPr lang="en-US" sz="1200" b="1" i="1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44</xdr:row>
      <xdr:rowOff>0</xdr:rowOff>
    </xdr:from>
    <xdr:to>
      <xdr:col>12</xdr:col>
      <xdr:colOff>611436</xdr:colOff>
      <xdr:row>50</xdr:row>
      <xdr:rowOff>105832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8E04C63-6A28-4C15-A121-88856363B7F6}"/>
            </a:ext>
          </a:extLst>
        </xdr:cNvPr>
        <xdr:cNvGrpSpPr/>
      </xdr:nvGrpSpPr>
      <xdr:grpSpPr>
        <a:xfrm>
          <a:off x="4655344" y="12037219"/>
          <a:ext cx="8993436" cy="1248832"/>
          <a:chOff x="4656667" y="12086167"/>
          <a:chExt cx="7543519" cy="1248832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25426F13-D641-AFCE-9ED6-2D4F1DC32530}"/>
              </a:ext>
            </a:extLst>
          </xdr:cNvPr>
          <xdr:cNvSpPr/>
        </xdr:nvSpPr>
        <xdr:spPr>
          <a:xfrm>
            <a:off x="4656667" y="12086167"/>
            <a:ext cx="7543519" cy="600787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𝑲𝒐𝒏𝒕𝒓𝒊𝒃𝒖𝒔𝒊 𝒑𝒆𝒏𝒂𝒏𝒈𝒂𝒏𝒂𝒏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=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( (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𝑅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𝑎𝑡𝑎2 𝑘𝑢𝑚𝑢ℎ 𝑠𝑒𝑘𝑡𝑜𝑟𝑎𝑙 𝑎𝑤𝑎𝑙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− 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  <a:ea typeface="Cambria Math"/>
              </a:rPr>
              <a:t>𝑅𝑎𝑡𝑎2 𝑘𝑢𝑚𝑢ℎ 𝑠𝑒𝑘𝑡𝑜𝑟𝑎𝑙 𝑎𝑘ℎ𝑖𝑟)/(𝑅𝑎𝑡𝑎−𝑟𝑎𝑡𝑎 𝑘𝑢𝑚𝑢ℎ 𝑠𝑒𝑘𝑡𝑜𝑟𝑎𝑙 𝑎𝑤𝑎𝑙)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  <a:ea typeface="Cambria Math"/>
              </a:rPr>
              <a:t>×</a:t>
            </a:r>
            <a:r>
              <a:rPr lang="en-US" sz="1200" i="1">
                <a:solidFill>
                  <a:sysClr val="windowText" lastClr="000000"/>
                </a:solidFill>
                <a:latin typeface="+mn-lt"/>
              </a:rPr>
              <a:t>100%</a:t>
            </a:r>
            <a:endParaRPr lang="en-US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7A98A96D-3E70-63F6-DD5C-05A6557FB985}"/>
              </a:ext>
            </a:extLst>
          </xdr:cNvPr>
          <xdr:cNvSpPr/>
        </xdr:nvSpPr>
        <xdr:spPr>
          <a:xfrm>
            <a:off x="4661004" y="12767836"/>
            <a:ext cx="7520418" cy="567163"/>
          </a:xfrm>
          <a:prstGeom prst="rect">
            <a:avLst/>
          </a:prstGeom>
          <a:solidFill>
            <a:schemeClr val="accent1">
              <a:lumMod val="50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lang="en-US" sz="1200" b="1" i="1">
                <a:solidFill>
                  <a:schemeClr val="bg1"/>
                </a:solidFill>
              </a:rPr>
              <a:t>* Jika total nilai tingkat kekumuhan</a:t>
            </a:r>
            <a:r>
              <a:rPr lang="en-US" sz="1200" b="1" i="1" baseline="0">
                <a:solidFill>
                  <a:schemeClr val="bg1"/>
                </a:solidFill>
              </a:rPr>
              <a:t> akhir &lt; 19, maka kontribusi penanganan adalah 100% (dianggap sudah tertangani 100%)</a:t>
            </a:r>
            <a:endParaRPr lang="en-US" sz="1200" b="1" i="1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44</xdr:row>
      <xdr:rowOff>0</xdr:rowOff>
    </xdr:from>
    <xdr:to>
      <xdr:col>12</xdr:col>
      <xdr:colOff>611436</xdr:colOff>
      <xdr:row>50</xdr:row>
      <xdr:rowOff>105832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D80290B-3642-4747-9646-2A3789CC109C}"/>
            </a:ext>
          </a:extLst>
        </xdr:cNvPr>
        <xdr:cNvGrpSpPr/>
      </xdr:nvGrpSpPr>
      <xdr:grpSpPr>
        <a:xfrm>
          <a:off x="4655344" y="12037219"/>
          <a:ext cx="8993436" cy="1248832"/>
          <a:chOff x="4656667" y="12086167"/>
          <a:chExt cx="7543519" cy="1248832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A011F722-8A26-F02C-8F36-A3142DC66B7D}"/>
              </a:ext>
            </a:extLst>
          </xdr:cNvPr>
          <xdr:cNvSpPr/>
        </xdr:nvSpPr>
        <xdr:spPr>
          <a:xfrm>
            <a:off x="4656667" y="12086167"/>
            <a:ext cx="7543519" cy="600787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𝑲𝒐𝒏𝒕𝒓𝒊𝒃𝒖𝒔𝒊 𝒑𝒆𝒏𝒂𝒏𝒈𝒂𝒏𝒂𝒏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=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( (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𝑅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𝑎𝑡𝑎2 𝑘𝑢𝑚𝑢ℎ 𝑠𝑒𝑘𝑡𝑜𝑟𝑎𝑙 𝑎𝑤𝑎𝑙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− 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  <a:ea typeface="Cambria Math"/>
              </a:rPr>
              <a:t>𝑅𝑎𝑡𝑎2 𝑘𝑢𝑚𝑢ℎ 𝑠𝑒𝑘𝑡𝑜𝑟𝑎𝑙 𝑎𝑘ℎ𝑖𝑟)/(𝑅𝑎𝑡𝑎−𝑟𝑎𝑡𝑎 𝑘𝑢𝑚𝑢ℎ 𝑠𝑒𝑘𝑡𝑜𝑟𝑎𝑙 𝑎𝑤𝑎𝑙)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  <a:ea typeface="Cambria Math"/>
              </a:rPr>
              <a:t>×</a:t>
            </a:r>
            <a:r>
              <a:rPr lang="en-US" sz="1200" i="1">
                <a:solidFill>
                  <a:sysClr val="windowText" lastClr="000000"/>
                </a:solidFill>
                <a:latin typeface="+mn-lt"/>
              </a:rPr>
              <a:t>100%</a:t>
            </a:r>
            <a:endParaRPr lang="en-US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69D1CF39-13D3-E575-8356-E95422CD6340}"/>
              </a:ext>
            </a:extLst>
          </xdr:cNvPr>
          <xdr:cNvSpPr/>
        </xdr:nvSpPr>
        <xdr:spPr>
          <a:xfrm>
            <a:off x="4661004" y="12767836"/>
            <a:ext cx="7520418" cy="567163"/>
          </a:xfrm>
          <a:prstGeom prst="rect">
            <a:avLst/>
          </a:prstGeom>
          <a:solidFill>
            <a:schemeClr val="accent1">
              <a:lumMod val="50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lang="en-US" sz="1200" b="1" i="1">
                <a:solidFill>
                  <a:schemeClr val="bg1"/>
                </a:solidFill>
              </a:rPr>
              <a:t>* Jika total nilai tingkat kekumuhan</a:t>
            </a:r>
            <a:r>
              <a:rPr lang="en-US" sz="1200" b="1" i="1" baseline="0">
                <a:solidFill>
                  <a:schemeClr val="bg1"/>
                </a:solidFill>
              </a:rPr>
              <a:t> akhir &lt; 19, maka kontribusi penanganan adalah 100% (dianggap sudah tertangani 100%)</a:t>
            </a:r>
            <a:endParaRPr lang="en-US" sz="1200" b="1" i="1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44</xdr:row>
      <xdr:rowOff>0</xdr:rowOff>
    </xdr:from>
    <xdr:to>
      <xdr:col>12</xdr:col>
      <xdr:colOff>611436</xdr:colOff>
      <xdr:row>50</xdr:row>
      <xdr:rowOff>105832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782642E-5316-4034-824E-FCA4C6D9668F}"/>
            </a:ext>
          </a:extLst>
        </xdr:cNvPr>
        <xdr:cNvGrpSpPr/>
      </xdr:nvGrpSpPr>
      <xdr:grpSpPr>
        <a:xfrm>
          <a:off x="4655344" y="12037219"/>
          <a:ext cx="8993436" cy="1248832"/>
          <a:chOff x="4656667" y="12086167"/>
          <a:chExt cx="7543519" cy="1248832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68C05728-04E1-0A65-9A96-43BEBFDE7F6F}"/>
              </a:ext>
            </a:extLst>
          </xdr:cNvPr>
          <xdr:cNvSpPr/>
        </xdr:nvSpPr>
        <xdr:spPr>
          <a:xfrm>
            <a:off x="4656667" y="12086167"/>
            <a:ext cx="7543519" cy="600787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𝑲𝒐𝒏𝒕𝒓𝒊𝒃𝒖𝒔𝒊 𝒑𝒆𝒏𝒂𝒏𝒈𝒂𝒏𝒂𝒏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=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( (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𝑅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𝑎𝑡𝑎2 𝑘𝑢𝑚𝑢ℎ 𝑠𝑒𝑘𝑡𝑜𝑟𝑎𝑙 𝑎𝑤𝑎𝑙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− 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  <a:ea typeface="Cambria Math"/>
              </a:rPr>
              <a:t>𝑅𝑎𝑡𝑎2 𝑘𝑢𝑚𝑢ℎ 𝑠𝑒𝑘𝑡𝑜𝑟𝑎𝑙 𝑎𝑘ℎ𝑖𝑟)/(𝑅𝑎𝑡𝑎−𝑟𝑎𝑡𝑎 𝑘𝑢𝑚𝑢ℎ 𝑠𝑒𝑘𝑡𝑜𝑟𝑎𝑙 𝑎𝑤𝑎𝑙)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  <a:ea typeface="Cambria Math"/>
              </a:rPr>
              <a:t>×</a:t>
            </a:r>
            <a:r>
              <a:rPr lang="en-US" sz="1200" i="1">
                <a:solidFill>
                  <a:sysClr val="windowText" lastClr="000000"/>
                </a:solidFill>
                <a:latin typeface="+mn-lt"/>
              </a:rPr>
              <a:t>100%</a:t>
            </a:r>
            <a:endParaRPr lang="en-US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EEF0BF5A-3A18-1A77-0DEC-A212233FD53A}"/>
              </a:ext>
            </a:extLst>
          </xdr:cNvPr>
          <xdr:cNvSpPr/>
        </xdr:nvSpPr>
        <xdr:spPr>
          <a:xfrm>
            <a:off x="4661004" y="12767836"/>
            <a:ext cx="7520418" cy="567163"/>
          </a:xfrm>
          <a:prstGeom prst="rect">
            <a:avLst/>
          </a:prstGeom>
          <a:solidFill>
            <a:schemeClr val="accent1">
              <a:lumMod val="50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lang="en-US" sz="1200" b="1" i="1">
                <a:solidFill>
                  <a:schemeClr val="bg1"/>
                </a:solidFill>
              </a:rPr>
              <a:t>* Jika total nilai tingkat kekumuhan</a:t>
            </a:r>
            <a:r>
              <a:rPr lang="en-US" sz="1200" b="1" i="1" baseline="0">
                <a:solidFill>
                  <a:schemeClr val="bg1"/>
                </a:solidFill>
              </a:rPr>
              <a:t> akhir &lt; 19, maka kontribusi penanganan adalah 100% (dianggap sudah tertangani 100%)</a:t>
            </a:r>
            <a:endParaRPr lang="en-US" sz="1200" b="1" i="1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44</xdr:row>
      <xdr:rowOff>0</xdr:rowOff>
    </xdr:from>
    <xdr:to>
      <xdr:col>12</xdr:col>
      <xdr:colOff>611436</xdr:colOff>
      <xdr:row>50</xdr:row>
      <xdr:rowOff>105832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E40D4BC-422C-411D-B57D-97B2117FC6B2}"/>
            </a:ext>
          </a:extLst>
        </xdr:cNvPr>
        <xdr:cNvGrpSpPr/>
      </xdr:nvGrpSpPr>
      <xdr:grpSpPr>
        <a:xfrm>
          <a:off x="4655344" y="12037219"/>
          <a:ext cx="8993436" cy="1248832"/>
          <a:chOff x="4656667" y="12086167"/>
          <a:chExt cx="7543519" cy="1248832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D63AB09D-35E7-3D58-2E5C-3970FF83CA6F}"/>
              </a:ext>
            </a:extLst>
          </xdr:cNvPr>
          <xdr:cNvSpPr/>
        </xdr:nvSpPr>
        <xdr:spPr>
          <a:xfrm>
            <a:off x="4656667" y="12086167"/>
            <a:ext cx="7543519" cy="600787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𝑲𝒐𝒏𝒕𝒓𝒊𝒃𝒖𝒔𝒊 𝒑𝒆𝒏𝒂𝒏𝒈𝒂𝒏𝒂𝒏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=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( (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𝑅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𝑎𝑡𝑎2 𝑘𝑢𝑚𝑢ℎ 𝑠𝑒𝑘𝑡𝑜𝑟𝑎𝑙 𝑎𝑤𝑎𝑙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− 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  <a:ea typeface="Cambria Math"/>
              </a:rPr>
              <a:t>𝑅𝑎𝑡𝑎2 𝑘𝑢𝑚𝑢ℎ 𝑠𝑒𝑘𝑡𝑜𝑟𝑎𝑙 𝑎𝑘ℎ𝑖𝑟)/(𝑅𝑎𝑡𝑎−𝑟𝑎𝑡𝑎 𝑘𝑢𝑚𝑢ℎ 𝑠𝑒𝑘𝑡𝑜𝑟𝑎𝑙 𝑎𝑤𝑎𝑙)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  <a:ea typeface="Cambria Math"/>
              </a:rPr>
              <a:t>×</a:t>
            </a:r>
            <a:r>
              <a:rPr lang="en-US" sz="1200" i="1">
                <a:solidFill>
                  <a:sysClr val="windowText" lastClr="000000"/>
                </a:solidFill>
                <a:latin typeface="+mn-lt"/>
              </a:rPr>
              <a:t>100%</a:t>
            </a:r>
            <a:endParaRPr lang="en-US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A19F8900-3067-CD43-1B91-6E28C1514795}"/>
              </a:ext>
            </a:extLst>
          </xdr:cNvPr>
          <xdr:cNvSpPr/>
        </xdr:nvSpPr>
        <xdr:spPr>
          <a:xfrm>
            <a:off x="4661004" y="12767836"/>
            <a:ext cx="7520418" cy="567163"/>
          </a:xfrm>
          <a:prstGeom prst="rect">
            <a:avLst/>
          </a:prstGeom>
          <a:solidFill>
            <a:schemeClr val="accent1">
              <a:lumMod val="50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lang="en-US" sz="1200" b="1" i="1">
                <a:solidFill>
                  <a:schemeClr val="bg1"/>
                </a:solidFill>
              </a:rPr>
              <a:t>* Jika total nilai tingkat kekumuhan</a:t>
            </a:r>
            <a:r>
              <a:rPr lang="en-US" sz="1200" b="1" i="1" baseline="0">
                <a:solidFill>
                  <a:schemeClr val="bg1"/>
                </a:solidFill>
              </a:rPr>
              <a:t> akhir &lt; 19, maka kontribusi penanganan adalah 100% (dianggap sudah tertangani 100%)</a:t>
            </a:r>
            <a:endParaRPr lang="en-US" sz="1200" b="1" i="1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44</xdr:row>
      <xdr:rowOff>0</xdr:rowOff>
    </xdr:from>
    <xdr:to>
      <xdr:col>12</xdr:col>
      <xdr:colOff>611436</xdr:colOff>
      <xdr:row>50</xdr:row>
      <xdr:rowOff>105832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5AB19F6-FE17-4D3C-920C-9C430D8FA8D9}"/>
            </a:ext>
          </a:extLst>
        </xdr:cNvPr>
        <xdr:cNvGrpSpPr/>
      </xdr:nvGrpSpPr>
      <xdr:grpSpPr>
        <a:xfrm>
          <a:off x="4655344" y="12037219"/>
          <a:ext cx="8993436" cy="1248832"/>
          <a:chOff x="4656667" y="12086167"/>
          <a:chExt cx="7543519" cy="1248832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440C1046-228D-BD68-C616-874671E4F2A1}"/>
              </a:ext>
            </a:extLst>
          </xdr:cNvPr>
          <xdr:cNvSpPr/>
        </xdr:nvSpPr>
        <xdr:spPr>
          <a:xfrm>
            <a:off x="4656667" y="12086167"/>
            <a:ext cx="7543519" cy="600787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𝑲𝒐𝒏𝒕𝒓𝒊𝒃𝒖𝒔𝒊 𝒑𝒆𝒏𝒂𝒏𝒈𝒂𝒏𝒂𝒏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=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( (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𝑅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𝑎𝑡𝑎2 𝑘𝑢𝑚𝑢ℎ 𝑠𝑒𝑘𝑡𝑜𝑟𝑎𝑙 𝑎𝑤𝑎𝑙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− 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  <a:ea typeface="Cambria Math"/>
              </a:rPr>
              <a:t>𝑅𝑎𝑡𝑎2 𝑘𝑢𝑚𝑢ℎ 𝑠𝑒𝑘𝑡𝑜𝑟𝑎𝑙 𝑎𝑘ℎ𝑖𝑟)/(𝑅𝑎𝑡𝑎−𝑟𝑎𝑡𝑎 𝑘𝑢𝑚𝑢ℎ 𝑠𝑒𝑘𝑡𝑜𝑟𝑎𝑙 𝑎𝑤𝑎𝑙)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  <a:ea typeface="Cambria Math"/>
              </a:rPr>
              <a:t>×</a:t>
            </a:r>
            <a:r>
              <a:rPr lang="en-US" sz="1200" i="1">
                <a:solidFill>
                  <a:sysClr val="windowText" lastClr="000000"/>
                </a:solidFill>
                <a:latin typeface="+mn-lt"/>
              </a:rPr>
              <a:t>100%</a:t>
            </a:r>
            <a:endParaRPr lang="en-US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828F2620-5094-BCD5-8B7F-B0EA58A7C124}"/>
              </a:ext>
            </a:extLst>
          </xdr:cNvPr>
          <xdr:cNvSpPr/>
        </xdr:nvSpPr>
        <xdr:spPr>
          <a:xfrm>
            <a:off x="4661004" y="12767836"/>
            <a:ext cx="7520418" cy="567163"/>
          </a:xfrm>
          <a:prstGeom prst="rect">
            <a:avLst/>
          </a:prstGeom>
          <a:solidFill>
            <a:schemeClr val="accent1">
              <a:lumMod val="50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lang="en-US" sz="1200" b="1" i="1">
                <a:solidFill>
                  <a:schemeClr val="bg1"/>
                </a:solidFill>
              </a:rPr>
              <a:t>* Jika total nilai tingkat kekumuhan</a:t>
            </a:r>
            <a:r>
              <a:rPr lang="en-US" sz="1200" b="1" i="1" baseline="0">
                <a:solidFill>
                  <a:schemeClr val="bg1"/>
                </a:solidFill>
              </a:rPr>
              <a:t> akhir &lt; 19, maka kontribusi penanganan adalah 100% (dianggap sudah tertangani 100%)</a:t>
            </a:r>
            <a:endParaRPr lang="en-US" sz="1200" b="1" i="1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44</xdr:row>
      <xdr:rowOff>0</xdr:rowOff>
    </xdr:from>
    <xdr:to>
      <xdr:col>12</xdr:col>
      <xdr:colOff>611436</xdr:colOff>
      <xdr:row>50</xdr:row>
      <xdr:rowOff>105832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543CDCEF-9431-4983-9B50-609512609CDF}"/>
            </a:ext>
          </a:extLst>
        </xdr:cNvPr>
        <xdr:cNvGrpSpPr/>
      </xdr:nvGrpSpPr>
      <xdr:grpSpPr>
        <a:xfrm>
          <a:off x="4655344" y="12037219"/>
          <a:ext cx="8993436" cy="1248832"/>
          <a:chOff x="4656667" y="12086167"/>
          <a:chExt cx="7543519" cy="1248832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12078DA2-28E0-AE89-B236-405969BBFB4E}"/>
              </a:ext>
            </a:extLst>
          </xdr:cNvPr>
          <xdr:cNvSpPr/>
        </xdr:nvSpPr>
        <xdr:spPr>
          <a:xfrm>
            <a:off x="4656667" y="12086167"/>
            <a:ext cx="7543519" cy="600787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𝑲𝒐𝒏𝒕𝒓𝒊𝒃𝒖𝒔𝒊 𝒑𝒆𝒏𝒂𝒏𝒈𝒂𝒏𝒂𝒏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=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( (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𝑅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𝑎𝑡𝑎2 𝑘𝑢𝑚𝑢ℎ 𝑠𝑒𝑘𝑡𝑜𝑟𝑎𝑙 𝑎𝑤𝑎𝑙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− 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  <a:ea typeface="Cambria Math"/>
              </a:rPr>
              <a:t>𝑅𝑎𝑡𝑎2 𝑘𝑢𝑚𝑢ℎ 𝑠𝑒𝑘𝑡𝑜𝑟𝑎𝑙 𝑎𝑘ℎ𝑖𝑟)/(𝑅𝑎𝑡𝑎−𝑟𝑎𝑡𝑎 𝑘𝑢𝑚𝑢ℎ 𝑠𝑒𝑘𝑡𝑜𝑟𝑎𝑙 𝑎𝑤𝑎𝑙)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  <a:ea typeface="Cambria Math"/>
              </a:rPr>
              <a:t>×</a:t>
            </a:r>
            <a:r>
              <a:rPr lang="en-US" sz="1200" i="1">
                <a:solidFill>
                  <a:sysClr val="windowText" lastClr="000000"/>
                </a:solidFill>
                <a:latin typeface="+mn-lt"/>
              </a:rPr>
              <a:t>100%</a:t>
            </a:r>
            <a:endParaRPr lang="en-US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77452111-E7D0-541D-9D45-DDDD33C65AD0}"/>
              </a:ext>
            </a:extLst>
          </xdr:cNvPr>
          <xdr:cNvSpPr/>
        </xdr:nvSpPr>
        <xdr:spPr>
          <a:xfrm>
            <a:off x="4661004" y="12767836"/>
            <a:ext cx="7520418" cy="567163"/>
          </a:xfrm>
          <a:prstGeom prst="rect">
            <a:avLst/>
          </a:prstGeom>
          <a:solidFill>
            <a:schemeClr val="accent1">
              <a:lumMod val="50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lang="en-US" sz="1200" b="1" i="1">
                <a:solidFill>
                  <a:schemeClr val="bg1"/>
                </a:solidFill>
              </a:rPr>
              <a:t>* Jika total nilai tingkat kekumuhan</a:t>
            </a:r>
            <a:r>
              <a:rPr lang="en-US" sz="1200" b="1" i="1" baseline="0">
                <a:solidFill>
                  <a:schemeClr val="bg1"/>
                </a:solidFill>
              </a:rPr>
              <a:t> akhir &lt; 19, maka kontribusi penanganan adalah 100% (dianggap sudah tertangani 100%)</a:t>
            </a:r>
            <a:endParaRPr lang="en-US" sz="1200" b="1" i="1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44</xdr:row>
      <xdr:rowOff>0</xdr:rowOff>
    </xdr:from>
    <xdr:to>
      <xdr:col>12</xdr:col>
      <xdr:colOff>611436</xdr:colOff>
      <xdr:row>50</xdr:row>
      <xdr:rowOff>105832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290C74C-1F8C-4238-8B99-95149D468AD7}"/>
            </a:ext>
          </a:extLst>
        </xdr:cNvPr>
        <xdr:cNvGrpSpPr/>
      </xdr:nvGrpSpPr>
      <xdr:grpSpPr>
        <a:xfrm>
          <a:off x="4655344" y="12037219"/>
          <a:ext cx="8993436" cy="1248832"/>
          <a:chOff x="4656667" y="12086167"/>
          <a:chExt cx="7543519" cy="1248832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3111D530-C153-E1DB-7971-73E28E4EAFA1}"/>
              </a:ext>
            </a:extLst>
          </xdr:cNvPr>
          <xdr:cNvSpPr/>
        </xdr:nvSpPr>
        <xdr:spPr>
          <a:xfrm>
            <a:off x="4656667" y="12086167"/>
            <a:ext cx="7543519" cy="600787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𝑲𝒐𝒏𝒕𝒓𝒊𝒃𝒖𝒔𝒊 𝒑𝒆𝒏𝒂𝒏𝒈𝒂𝒏𝒂𝒏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=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( (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𝑅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𝑎𝑡𝑎2 𝑘𝑢𝑚𝑢ℎ 𝑠𝑒𝑘𝑡𝑜𝑟𝑎𝑙 𝑎𝑤𝑎𝑙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− 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  <a:ea typeface="Cambria Math"/>
              </a:rPr>
              <a:t>𝑅𝑎𝑡𝑎2 𝑘𝑢𝑚𝑢ℎ 𝑠𝑒𝑘𝑡𝑜𝑟𝑎𝑙 𝑎𝑘ℎ𝑖𝑟)/(𝑅𝑎𝑡𝑎−𝑟𝑎𝑡𝑎 𝑘𝑢𝑚𝑢ℎ 𝑠𝑒𝑘𝑡𝑜𝑟𝑎𝑙 𝑎𝑤𝑎𝑙)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  <a:ea typeface="Cambria Math"/>
              </a:rPr>
              <a:t>×</a:t>
            </a:r>
            <a:r>
              <a:rPr lang="en-US" sz="1200" i="1">
                <a:solidFill>
                  <a:sysClr val="windowText" lastClr="000000"/>
                </a:solidFill>
                <a:latin typeface="+mn-lt"/>
              </a:rPr>
              <a:t>100%</a:t>
            </a:r>
            <a:endParaRPr lang="en-US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D46B9CB2-EE00-03DB-4E05-A98F4403B486}"/>
              </a:ext>
            </a:extLst>
          </xdr:cNvPr>
          <xdr:cNvSpPr/>
        </xdr:nvSpPr>
        <xdr:spPr>
          <a:xfrm>
            <a:off x="4661004" y="12767836"/>
            <a:ext cx="7520418" cy="567163"/>
          </a:xfrm>
          <a:prstGeom prst="rect">
            <a:avLst/>
          </a:prstGeom>
          <a:solidFill>
            <a:schemeClr val="accent1">
              <a:lumMod val="50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lang="en-US" sz="1200" b="1" i="1">
                <a:solidFill>
                  <a:schemeClr val="bg1"/>
                </a:solidFill>
              </a:rPr>
              <a:t>* Jika total nilai tingkat kekumuhan</a:t>
            </a:r>
            <a:r>
              <a:rPr lang="en-US" sz="1200" b="1" i="1" baseline="0">
                <a:solidFill>
                  <a:schemeClr val="bg1"/>
                </a:solidFill>
              </a:rPr>
              <a:t> akhir &lt; 19, maka kontribusi penanganan adalah 100% (dianggap sudah tertangani 100%)</a:t>
            </a:r>
            <a:endParaRPr lang="en-US" sz="1200" b="1" i="1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44</xdr:row>
      <xdr:rowOff>0</xdr:rowOff>
    </xdr:from>
    <xdr:to>
      <xdr:col>12</xdr:col>
      <xdr:colOff>611436</xdr:colOff>
      <xdr:row>50</xdr:row>
      <xdr:rowOff>105832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D5981C0-841F-4125-9A0D-7A28B062318C}"/>
            </a:ext>
          </a:extLst>
        </xdr:cNvPr>
        <xdr:cNvGrpSpPr/>
      </xdr:nvGrpSpPr>
      <xdr:grpSpPr>
        <a:xfrm>
          <a:off x="4655344" y="12037219"/>
          <a:ext cx="8993436" cy="1248832"/>
          <a:chOff x="4656667" y="12086167"/>
          <a:chExt cx="7543519" cy="1248832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9D39E53D-D182-3CF1-F984-F102C09451F2}"/>
              </a:ext>
            </a:extLst>
          </xdr:cNvPr>
          <xdr:cNvSpPr/>
        </xdr:nvSpPr>
        <xdr:spPr>
          <a:xfrm>
            <a:off x="4656667" y="12086167"/>
            <a:ext cx="7543519" cy="600787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𝑲𝒐𝒏𝒕𝒓𝒊𝒃𝒖𝒔𝒊 𝒑𝒆𝒏𝒂𝒏𝒈𝒂𝒏𝒂𝒏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=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( (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𝑅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𝑎𝑡𝑎2 𝑘𝑢𝑚𝑢ℎ 𝑠𝑒𝑘𝑡𝑜𝑟𝑎𝑙 𝑎𝑤𝑎𝑙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− 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  <a:ea typeface="Cambria Math"/>
              </a:rPr>
              <a:t>𝑅𝑎𝑡𝑎2 𝑘𝑢𝑚𝑢ℎ 𝑠𝑒𝑘𝑡𝑜𝑟𝑎𝑙 𝑎𝑘ℎ𝑖𝑟)/(𝑅𝑎𝑡𝑎−𝑟𝑎𝑡𝑎 𝑘𝑢𝑚𝑢ℎ 𝑠𝑒𝑘𝑡𝑜𝑟𝑎𝑙 𝑎𝑤𝑎𝑙)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  <a:ea typeface="Cambria Math"/>
              </a:rPr>
              <a:t>×</a:t>
            </a:r>
            <a:r>
              <a:rPr lang="en-US" sz="1200" i="1">
                <a:solidFill>
                  <a:sysClr val="windowText" lastClr="000000"/>
                </a:solidFill>
                <a:latin typeface="+mn-lt"/>
              </a:rPr>
              <a:t>100%</a:t>
            </a:r>
            <a:endParaRPr lang="en-US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BAAB803F-CB00-B452-CCBB-27748FACF687}"/>
              </a:ext>
            </a:extLst>
          </xdr:cNvPr>
          <xdr:cNvSpPr/>
        </xdr:nvSpPr>
        <xdr:spPr>
          <a:xfrm>
            <a:off x="4661004" y="12767836"/>
            <a:ext cx="7520418" cy="567163"/>
          </a:xfrm>
          <a:prstGeom prst="rect">
            <a:avLst/>
          </a:prstGeom>
          <a:solidFill>
            <a:schemeClr val="accent1">
              <a:lumMod val="50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lang="en-US" sz="1200" b="1" i="1">
                <a:solidFill>
                  <a:schemeClr val="bg1"/>
                </a:solidFill>
              </a:rPr>
              <a:t>* Jika total nilai tingkat kekumuhan</a:t>
            </a:r>
            <a:r>
              <a:rPr lang="en-US" sz="1200" b="1" i="1" baseline="0">
                <a:solidFill>
                  <a:schemeClr val="bg1"/>
                </a:solidFill>
              </a:rPr>
              <a:t> akhir &lt; 19, maka kontribusi penanganan adalah 100% (dianggap sudah tertangani 100%)</a:t>
            </a:r>
            <a:endParaRPr lang="en-US" sz="1200" b="1" i="1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44</xdr:row>
      <xdr:rowOff>0</xdr:rowOff>
    </xdr:from>
    <xdr:to>
      <xdr:col>12</xdr:col>
      <xdr:colOff>611436</xdr:colOff>
      <xdr:row>50</xdr:row>
      <xdr:rowOff>105832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1F87761-4FE9-4C60-9761-1CA5DD2B3BDD}"/>
            </a:ext>
          </a:extLst>
        </xdr:cNvPr>
        <xdr:cNvGrpSpPr/>
      </xdr:nvGrpSpPr>
      <xdr:grpSpPr>
        <a:xfrm>
          <a:off x="4655344" y="12037219"/>
          <a:ext cx="8993436" cy="1248832"/>
          <a:chOff x="4656667" y="12086167"/>
          <a:chExt cx="7543519" cy="1248832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2FA2D745-2A29-B83B-8345-0E7633E24753}"/>
              </a:ext>
            </a:extLst>
          </xdr:cNvPr>
          <xdr:cNvSpPr/>
        </xdr:nvSpPr>
        <xdr:spPr>
          <a:xfrm>
            <a:off x="4656667" y="12086167"/>
            <a:ext cx="7543519" cy="600787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𝑲𝒐𝒏𝒕𝒓𝒊𝒃𝒖𝒔𝒊 𝒑𝒆𝒏𝒂𝒏𝒈𝒂𝒏𝒂𝒏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=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( (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𝑅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𝑎𝑡𝑎2 𝑘𝑢𝑚𝑢ℎ 𝑠𝑒𝑘𝑡𝑜𝑟𝑎𝑙 𝑎𝑤𝑎𝑙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− 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  <a:ea typeface="Cambria Math"/>
              </a:rPr>
              <a:t>𝑅𝑎𝑡𝑎2 𝑘𝑢𝑚𝑢ℎ 𝑠𝑒𝑘𝑡𝑜𝑟𝑎𝑙 𝑎𝑘ℎ𝑖𝑟)/(𝑅𝑎𝑡𝑎−𝑟𝑎𝑡𝑎 𝑘𝑢𝑚𝑢ℎ 𝑠𝑒𝑘𝑡𝑜𝑟𝑎𝑙 𝑎𝑤𝑎𝑙)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  <a:ea typeface="Cambria Math"/>
              </a:rPr>
              <a:t>×</a:t>
            </a:r>
            <a:r>
              <a:rPr lang="en-US" sz="1200" i="1">
                <a:solidFill>
                  <a:sysClr val="windowText" lastClr="000000"/>
                </a:solidFill>
                <a:latin typeface="+mn-lt"/>
              </a:rPr>
              <a:t>100%</a:t>
            </a:r>
            <a:endParaRPr lang="en-US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BD936F92-4034-7613-A54B-AF2955125963}"/>
              </a:ext>
            </a:extLst>
          </xdr:cNvPr>
          <xdr:cNvSpPr/>
        </xdr:nvSpPr>
        <xdr:spPr>
          <a:xfrm>
            <a:off x="4661004" y="12767836"/>
            <a:ext cx="7520418" cy="567163"/>
          </a:xfrm>
          <a:prstGeom prst="rect">
            <a:avLst/>
          </a:prstGeom>
          <a:solidFill>
            <a:schemeClr val="accent1">
              <a:lumMod val="50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lang="en-US" sz="1200" b="1" i="1">
                <a:solidFill>
                  <a:schemeClr val="bg1"/>
                </a:solidFill>
              </a:rPr>
              <a:t>* Jika total nilai tingkat kekumuhan</a:t>
            </a:r>
            <a:r>
              <a:rPr lang="en-US" sz="1200" b="1" i="1" baseline="0">
                <a:solidFill>
                  <a:schemeClr val="bg1"/>
                </a:solidFill>
              </a:rPr>
              <a:t> akhir &lt; 19, maka kontribusi penanganan adalah 100% (dianggap sudah tertangani 100%)</a:t>
            </a:r>
            <a:endParaRPr lang="en-US" sz="1200" b="1" i="1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44</xdr:row>
      <xdr:rowOff>0</xdr:rowOff>
    </xdr:from>
    <xdr:to>
      <xdr:col>12</xdr:col>
      <xdr:colOff>611436</xdr:colOff>
      <xdr:row>50</xdr:row>
      <xdr:rowOff>105832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B5515BF-C412-46E5-BC71-FF6CEB737C94}"/>
            </a:ext>
          </a:extLst>
        </xdr:cNvPr>
        <xdr:cNvGrpSpPr/>
      </xdr:nvGrpSpPr>
      <xdr:grpSpPr>
        <a:xfrm>
          <a:off x="4655344" y="12037219"/>
          <a:ext cx="8993436" cy="1248832"/>
          <a:chOff x="4656667" y="12086167"/>
          <a:chExt cx="7543519" cy="1248832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832CCDA3-66E7-3E3B-828B-9789F4AD1457}"/>
              </a:ext>
            </a:extLst>
          </xdr:cNvPr>
          <xdr:cNvSpPr/>
        </xdr:nvSpPr>
        <xdr:spPr>
          <a:xfrm>
            <a:off x="4656667" y="12086167"/>
            <a:ext cx="7543519" cy="600787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𝑲𝒐𝒏𝒕𝒓𝒊𝒃𝒖𝒔𝒊 𝒑𝒆𝒏𝒂𝒏𝒈𝒂𝒏𝒂𝒏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=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( (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𝑅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</a:rPr>
              <a:t>𝑎𝑡𝑎2 𝑘𝑢𝑚𝑢ℎ 𝑠𝑒𝑘𝑡𝑜𝑟𝑎𝑙 𝑎𝑤𝑎𝑙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− </a:t>
            </a:r>
            <a:r>
              <a:rPr lang="en-US" sz="1200" b="0" i="0">
                <a:solidFill>
                  <a:sysClr val="windowText" lastClr="000000"/>
                </a:solidFill>
                <a:latin typeface="Cambria Math" panose="02040503050406030204" pitchFamily="18" charset="0"/>
                <a:ea typeface="Cambria Math"/>
              </a:rPr>
              <a:t>𝑅𝑎𝑡𝑎2 𝑘𝑢𝑚𝑢ℎ 𝑠𝑒𝑘𝑡𝑜𝑟𝑎𝑙 𝑎𝑘ℎ𝑖𝑟)/(𝑅𝑎𝑡𝑎−𝑟𝑎𝑡𝑎 𝑘𝑢𝑚𝑢ℎ 𝑠𝑒𝑘𝑡𝑜𝑟𝑎𝑙 𝑎𝑤𝑎𝑙)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</a:rPr>
              <a:t> )</a:t>
            </a:r>
            <a:r>
              <a:rPr lang="en-US" sz="1200" b="0" i="0">
                <a:solidFill>
                  <a:sysClr val="windowText" lastClr="000000"/>
                </a:solidFill>
                <a:latin typeface="Cambria Math"/>
                <a:ea typeface="Cambria Math"/>
              </a:rPr>
              <a:t>×</a:t>
            </a:r>
            <a:r>
              <a:rPr lang="en-US" sz="1200" i="1">
                <a:solidFill>
                  <a:sysClr val="windowText" lastClr="000000"/>
                </a:solidFill>
                <a:latin typeface="+mn-lt"/>
              </a:rPr>
              <a:t>100%</a:t>
            </a:r>
            <a:endParaRPr lang="en-US" sz="12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AB5207E7-B321-52E5-9379-77CE3E1BD55F}"/>
              </a:ext>
            </a:extLst>
          </xdr:cNvPr>
          <xdr:cNvSpPr/>
        </xdr:nvSpPr>
        <xdr:spPr>
          <a:xfrm>
            <a:off x="4661004" y="12767836"/>
            <a:ext cx="7520418" cy="567163"/>
          </a:xfrm>
          <a:prstGeom prst="rect">
            <a:avLst/>
          </a:prstGeom>
          <a:solidFill>
            <a:schemeClr val="accent1">
              <a:lumMod val="50000"/>
            </a:schemeClr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36000" tIns="36000" rIns="36000" bIns="36000" rtlCol="0" anchor="ctr"/>
          <a:lstStyle/>
          <a:p>
            <a:pPr algn="ctr"/>
            <a:r>
              <a:rPr lang="en-US" sz="1200" b="1" i="1">
                <a:solidFill>
                  <a:schemeClr val="bg1"/>
                </a:solidFill>
              </a:rPr>
              <a:t>* Jika total nilai tingkat kekumuhan</a:t>
            </a:r>
            <a:r>
              <a:rPr lang="en-US" sz="1200" b="1" i="1" baseline="0">
                <a:solidFill>
                  <a:schemeClr val="bg1"/>
                </a:solidFill>
              </a:rPr>
              <a:t> akhir &lt; 19, maka kontribusi penanganan adalah 100% (dianggap sudah tertangani 100%)</a:t>
            </a:r>
            <a:endParaRPr lang="en-US" sz="1200" b="1" i="1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anibuchari/Documents/TOT%20GEL.%202/REKAP%20EV%20DAN%20PENGAMATAN%20PESERTA%20/A:/Documents%20and%20Settings/User/My%20Documents/ZAHRON/KMW%2012-UPP2-2(New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nanibuchari\Documents\TOT%20GEL.%202\REKAP%20EV%20DAN%20PENGAMATAN%20PESERTA%20\A:\Documents%20and%20Settings\User\My%20Documents\ZAHRON\KMW%2012-UPP2-2(New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yi/Downloads/ARIEF%20FILE-2008/PENYIAPAN%20PNPM%202008/FINAL%20DOCUMENT%20PNPMM%202008/FINAL%20OE-MARET%202008/IDEAL/MEI%202008/FINAL-OE%20NMC-PNPMM%202008-Mei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Ayi\Downloads\ARIEF%20FILE-2008\PENYIAPAN%20PNPM%202008\FINAL%20DOCUMENT%20PNPMM%202008\FINAL%20OE-MARET%202008\IDEAL\MEI%202008\FINAL-OE%20NMC-PNPMM%202008-Mei%2020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3.%20MIS\MIS_BL3329\VnV%20Baseline\VERIFIKASI%20ASMANDAT\3329BL_AppSIM(v32)\01.%20Analisa%20SIM\Analisa_Data_BASELINE%20(V.2015.12.10)%20BREBE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03.%20MIS/MIS_BL3329/VnV%20Baseline/VERIFIKASI%20ASMANDAT/3329BL_AppSIM(v32)/01.%20Analisa%20SIM/Analisa_Data_BASELINE%20(V.2015.12.10)%20BREB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Ayi\Downloads\Data%20PNPM%202011\Pedoman%20Padat%20Karya%20Merapi\Format_Format\04.%20Personil%20KMW,%20Korkot%20dan%20Faskel%20PNPM%202011-PAD+RPJM+APBN2011%20non%20phasing%20out%20status%2018%20Februari%2020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yi/Downloads/Data%20PNPM%202011/Pedoman%20Padat%20Karya%20Merapi/Format_Format/04.%20Personil%20KMW,%20Korkot%20dan%20Faskel%20PNPM%202011-PAD+RPJM+APBN2011%20non%20phasing%20out%20status%2018%20Februari%20201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TABEL%20MP%20RPLP%20DAN%20R0/PERHITUNGAN%20KUMUH%20R0/Perhitungan%20Kumuh%20Kadipaten%20Baru/R0-Simulasi%20Perhitungan%20Kekumuhan_Kadipaten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TABEL%20MP%20RPLP%20DAN%20R0/PERHITUNGAN%20KUMUH%20R0/Perhitungan%20Kumuh%20Karangpacar%20Baru/Perhitungan%20Kumuh%20Gresik/R0-Simulasi%20Perhitungan%20Kekumuhan_Karangpacar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TABEL%20MP%20RPLP%20DAN%20R0/PERHITUNGAN%20KUMUH%20R0/Perhitungan%20Kumuh%20Klangon%20Baru/Perhitungan%20Kumuh%20Gresik/R0-Simulasi%20Perhitungan%20Kekumuhan_Klangon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TABEL%20MP%20RPLP%20DAN%20R0/PERHITUNGAN%20KUMUH%20R0/Perhitungan%20Kumuh%20Jetak%20Baru/Perhitungan%20Kumuh%20Gresik/R0-Simulasi%20Perhitungan%20Kekumuhan_Jetak.xlsm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microsoft.com/office/2019/04/relationships/externalLinkLongPath" Target="file:///E:\BEDAH%20KAMPUNG%20DKI_DOKUMENTASI%20LAPANGAN\Pejagalan\INDIKASI%20PROGRAM%20100%200%20100_Pejagalan\INDIKASI%20PROGRAM%20100%200%20100\PJM%20BKM%20Budi%20Utomo%20Kel.%20pejagalan\ICDD%202011%20TIM%206%20ok\Copy%20of%20Dok%20Usulan%20Keg%20IDB%202011_Kel.Kamal%20Muara%20.xls?C57AD948" TargetMode="External"/><Relationship Id="rId1" Type="http://schemas.openxmlformats.org/officeDocument/2006/relationships/externalLinkPath" Target="file:///\\C57AD948\Copy%20of%20Dok%20Usulan%20Keg%20IDB%202011_Kel.Kamal%20Muara%20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microsoft.com/office/2019/04/relationships/externalLinkLongPath" Target="/BEDAH%20KAMPUNG%20DKI_DOKUMENTASI%20LAPANGAN/Pejagalan/INDIKASI%20PROGRAM%20100%200%20100_Pejagalan/INDIKASI%20PROGRAM%20100%200%20100/PJM%20BKM%20Budi%20Utomo%20Kel.%20pejagalan/ICDD%202011%20TIM%206%20ok/Copy%20of%20Dok%20Usulan%20Keg%20IDB%202011_Kel.Kamal%20Muara%20.xls?E7E91364" TargetMode="External"/><Relationship Id="rId1" Type="http://schemas.openxmlformats.org/officeDocument/2006/relationships/externalLinkPath" Target="file:///\\E7E91364\Copy%20of%20Dok%20Usulan%20Keg%20IDB%202011_Kel.Kamal%20Muara%2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5_UjiCobaTools\@BLM\Analisa_Data_SIM_BLM%20(V.2013.09.27)%20by%20ThnProject.xlsb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05_UjiCobaTools/@BLM/Analisa_Data_SIM_BLM%20(V.2013.09.27)%20by%20ThnProject.xlsb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anibuchari/Documents/TOT%20GEL.%202/REKAP%20EV%20DAN%20PENGAMATAN%20PESERTA%20/server-alpha/Data_DI/Rekapprogres/TA%202007/progres%20belanja/LT3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nanibuchari\Documents\TOT%20GEL.%202\REKAP%20EV%20DAN%20PENGAMATAN%20PESERTA%20\server-alpha\Data_DI\Rekapprogres\TA%202007\progres%20belanja\LT3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E\UB\DISERTASI\simulasi%20aplikasi\Magetan%20(6%20kec)\b%20R0-Pengurangan%20Kumuh%202018%20SELOSARI.xlsx" TargetMode="External"/><Relationship Id="rId1" Type="http://schemas.openxmlformats.org/officeDocument/2006/relationships/externalLinkPath" Target="Magetan%20(6%20kec)/b%20R0-Pengurangan%20Kumuh%202018%20SELOSARI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E\UB\DISERTASI\simulasi%20aplikasi\Magetan%20(6%20kec)\b%20R0-Pengurangan%20Kumuh%202018%20RINGINAGUNG.xlsx" TargetMode="External"/><Relationship Id="rId1" Type="http://schemas.openxmlformats.org/officeDocument/2006/relationships/externalLinkPath" Target="Magetan%20(6%20kec)/b%20R0-Pengurangan%20Kumuh%202018%20RINGINAGUNG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E\UB\DISERTASI\simulasi%20aplikasi\Magetan%20(6%20kec)\b%20R0-Pengurangan%20Kumuh%202018%20MAGETAN%20des.xlsx" TargetMode="External"/><Relationship Id="rId1" Type="http://schemas.openxmlformats.org/officeDocument/2006/relationships/externalLinkPath" Target="Magetan%20(6%20kec)/b%20R0-Pengurangan%20Kumuh%202018%20MAGETAN%20des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E\UB\DISERTASI\simulasi%20aplikasi\Magetan%20(6%20kec)\b%20R0-Pengurangan%20Kumuh%202018%20CANDIREJO.xlsx" TargetMode="External"/><Relationship Id="rId1" Type="http://schemas.openxmlformats.org/officeDocument/2006/relationships/externalLinkPath" Target="Magetan%20(6%20kec)/b%20R0-Pengurangan%20Kumuh%202018%20CANDIREJO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E\UB\DISERTASI\simulasi%20aplikasi\Magetan%20(6%20kec)\b%20R0-Pengurangan%20Kumuh%202018%20BULUKERTO.xlsx" TargetMode="External"/><Relationship Id="rId1" Type="http://schemas.openxmlformats.org/officeDocument/2006/relationships/externalLinkPath" Target="Magetan%20(6%20kec)/b%20R0-Pengurangan%20Kumuh%202018%20BULUKERTO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E\UB\DISERTASI\simulasi%20aplikasi\Magetan%20(6%20kec)\b%20R0-Pengurangan%20Kumuh%202018%20BARON%20des.xlsx" TargetMode="External"/><Relationship Id="rId1" Type="http://schemas.openxmlformats.org/officeDocument/2006/relationships/externalLinkPath" Target="Magetan%20(6%20kec)/b%20R0-Pengurangan%20Kumuh%202018%20BARON%20des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E\UB\DISERTASI\simulasi%20aplikasi\Bojonegoro%20(6%20kec)\R0%202018%20by%20BANGKIM%20(10.01.19)\R0-Simulasi%20Perhitungan%20Kekumuhan_Ledok%20Wetanrye.xlsx" TargetMode="External"/><Relationship Id="rId1" Type="http://schemas.openxmlformats.org/officeDocument/2006/relationships/externalLinkPath" Target="Bojonegoro%20(6%20kec)/R0%202018%20by%20BANGKIM%20(10.01.19)/R0-Simulasi%20Perhitungan%20Kekumuhan_Ledok%20Wetanrye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E\UB\DISERTASI\simulasi%20aplikasi\Bojonegoro%20(6%20kec)\R0%202018%20by%20BANGKIM%20(10.01.19)\R0-Simulasi%20Perhitungan%20Kekumuhan_Ledok%20Kulontew.xlsx" TargetMode="External"/><Relationship Id="rId1" Type="http://schemas.openxmlformats.org/officeDocument/2006/relationships/externalLinkPath" Target="Bojonegoro%20(6%20kec)/R0%202018%20by%20BANGKIM%20(10.01.19)/R0-Simulasi%20Perhitungan%20Kekumuhan_Ledok%20Kulontew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E\UB\DISERTASI\simulasi%20aplikasi\Bojonegoro%20(6%20kec)\R0%202018%20by%20BANGKIM%20(10.01.19)\R0-Simulasi%20Perhitungan%20Kekumuhan_KlangonEe.xlsx" TargetMode="External"/><Relationship Id="rId1" Type="http://schemas.openxmlformats.org/officeDocument/2006/relationships/externalLinkPath" Target="Bojonegoro%20(6%20kec)/R0%202018%20by%20BANGKIM%20(10.01.19)/R0-Simulasi%20Perhitungan%20Kekumuhan_KlangonEe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E\UB\DISERTASI\simulasi%20aplikasi\Bojonegoro%20(6%20kec)\R0%202018%20by%20BANGKIM%20(10.01.19)\R0-Simulasi%20Perhitungan%20Kekumuhan_Karang%20Pacaraewta.xlsx" TargetMode="External"/><Relationship Id="rId1" Type="http://schemas.openxmlformats.org/officeDocument/2006/relationships/externalLinkPath" Target="Bojonegoro%20(6%20kec)/R0%202018%20by%20BANGKIM%20(10.01.19)/R0-Simulasi%20Perhitungan%20Kekumuhan_Karang%20Pacaraewta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E\UB\DISERTASI\simulasi%20aplikasi\Bojonegoro%20(6%20kec)\R0%202018%20by%20BANGKIM%20(10.01.19)\R0-Simulasi%20Perhitungan%20Kekumuhan_Kadipaten.xlsx" TargetMode="External"/><Relationship Id="rId1" Type="http://schemas.openxmlformats.org/officeDocument/2006/relationships/externalLinkPath" Target="Bojonegoro%20(6%20kec)/R0%202018%20by%20BANGKIM%20(10.01.19)/R0-Simulasi%20Perhitungan%20Kekumuhan_Kadipaten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E\UB\DISERTASI\simulasi%20aplikasi\Bojonegoro%20(6%20kec)\R0%202018%20by%20BANGKIM%20(10.01.19)\R0-Simulasi%20Perhitungan%20Kekumuhan_Jetakdfa.xlsx" TargetMode="External"/><Relationship Id="rId1" Type="http://schemas.openxmlformats.org/officeDocument/2006/relationships/externalLinkPath" Target="Bojonegoro%20(6%20kec)/R0%202018%20by%20BANGKIM%20(10.01.19)/R0-Simulasi%20Perhitungan%20Kekumuhan_Jetakdfa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E\UB\DISERTASI\simulasi%20aplikasi\Madiun%20(6%20kec)\R0%202018%20FLAG%201%20KOTA%20MADIUN\R0%202018%20FLAG%201%20KOTA%20MADIUN\R0-Simulasi%20Pengurangan%20Kumuh%20Tawang%20FALG%201%202018.xlsx" TargetMode="External"/><Relationship Id="rId1" Type="http://schemas.openxmlformats.org/officeDocument/2006/relationships/externalLinkPath" Target="Madiun%20(6%20kec)/R0%202018%20FLAG%201%20KOTA%20MADIUN/R0%202018%20FLAG%201%20KOTA%20MADIUN/R0-Simulasi%20Pengurangan%20Kumuh%20Tawang%20FALG%201%202018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E\UB\DISERTASI\simulasi%20aplikasi\Madiun%20(6%20kec)\R0%202018%20FLAG%201%20KOTA%20MADIUN\R0%202018%20FLAG%201%20KOTA%20MADIUN\R0-Simulasi%20Pengurangan%20Kumuh%20Pandean%20FALG%201%202018.xlsx" TargetMode="External"/><Relationship Id="rId1" Type="http://schemas.openxmlformats.org/officeDocument/2006/relationships/externalLinkPath" Target="Madiun%20(6%20kec)/R0%202018%20FLAG%201%20KOTA%20MADIUN/R0%202018%20FLAG%201%20KOTA%20MADIUN/R0-Simulasi%20Pengurangan%20Kumuh%20Pandean%20FALG%201%202018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E\UB\DISERTASI\simulasi%20aplikasi\Madiun%20(6%20kec)\R0%202018%20FLAG%201%20KOTA%20MADIUN\R0%202018%20FLAG%201%20KOTA%20MADIUN\R0-Simulasi%20Pengurangan%20Kumuh%20Nambangan%20Lor%20FALG%201%202018.xlsx" TargetMode="External"/><Relationship Id="rId1" Type="http://schemas.openxmlformats.org/officeDocument/2006/relationships/externalLinkPath" Target="Madiun%20(6%20kec)/R0%202018%20FLAG%201%20KOTA%20MADIUN/R0%202018%20FLAG%201%20KOTA%20MADIUN/R0-Simulasi%20Pengurangan%20Kumuh%20Nambangan%20Lor%20FALG%201%202018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E\UB\DISERTASI\simulasi%20aplikasi\Madiun%20(6%20kec)\R0%202018%20FLAG%201%20KOTA%20MADIUN\R0%202018%20FLAG%201%20KOTA%20MADIUN\R0-Simulasi%20Pengurangan%20Kumuh%20Nambangan%20Kidul%20FALG%201%202018.xlsx" TargetMode="External"/><Relationship Id="rId1" Type="http://schemas.openxmlformats.org/officeDocument/2006/relationships/externalLinkPath" Target="Madiun%20(6%20kec)/R0%202018%20FLAG%201%20KOTA%20MADIUN/R0%202018%20FLAG%201%20KOTA%20MADIUN/R0-Simulasi%20Pengurangan%20Kumuh%20Nambangan%20Kidul%20FALG%201%202018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E\UB\DISERTASI\simulasi%20aplikasi\Madiun%20(6%20kec)\R0%202018%20FLAG%201%20KOTA%20MADIUN\R0%202018%20FLAG%201%20KOTA%20MADIUN\R0-Simulasi%20Pengurangan%20Kumuh%20Kelun%20FALG%201%202018.xlsx" TargetMode="External"/><Relationship Id="rId1" Type="http://schemas.openxmlformats.org/officeDocument/2006/relationships/externalLinkPath" Target="Madiun%20(6%20kec)/R0%202018%20FLAG%201%20KOTA%20MADIUN/R0%202018%20FLAG%201%20KOTA%20MADIUN/R0-Simulasi%20Pengurangan%20Kumuh%20Kelun%20FALG%201%202018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E\UB\DISERTASI\simulasi%20aplikasi\Madiun%20(6%20kec)\R0%202018%20FLAG%201%20KOTA%20MADIUN\R0%202018%20FLAG%201%20KOTA%20MADIUN\R0-Simulasi%20Pengurangan%20Kumuh%20Kejuron%20FALG%201%202018.xlsx" TargetMode="External"/><Relationship Id="rId1" Type="http://schemas.openxmlformats.org/officeDocument/2006/relationships/externalLinkPath" Target="Madiun%20(6%20kec)/R0%202018%20FLAG%201%20KOTA%20MADIUN/R0%202018%20FLAG%201%20KOTA%20MADIUN/R0-Simulasi%20Pengurangan%20Kumuh%20Kejuron%20FALG%201%20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EMUNERASI"/>
      <sheetName val="REIMBUSHABLE"/>
      <sheetName val="Training"/>
      <sheetName val="Sosialisasi Pusat"/>
      <sheetName val="PAGU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EMUNERASI"/>
      <sheetName val="REIMBUSHABLE"/>
      <sheetName val="Training"/>
      <sheetName val="Sosialisasi Pusat"/>
      <sheetName val="PAGU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al"/>
      <sheetName val="KEL"/>
      <sheetName val="REKAP"/>
      <sheetName val="BASIS"/>
      <sheetName val="PVT"/>
      <sheetName val="Nilai Kumuh by RT"/>
      <sheetName val="BASIS_RKP"/>
      <sheetName val="logbookSIM"/>
      <sheetName val="INDIKATOR"/>
      <sheetName val="PRINT"/>
      <sheetName val="CATATAN MASALAH"/>
      <sheetName val="SK_KMH"/>
      <sheetName val="Nilai Kumuh Kel"/>
      <sheetName val="Sheet1"/>
    </sheetNames>
    <sheetDataSet>
      <sheetData sheetId="0"/>
      <sheetData sheetId="1">
        <row r="11">
          <cell r="B11" t="str">
            <v>KAB. BREBES</v>
          </cell>
          <cell r="G11" t="str">
            <v>MAJU SEJAHTERA</v>
          </cell>
          <cell r="H11" t="str">
            <v>MANDIRI</v>
          </cell>
          <cell r="I11">
            <v>189</v>
          </cell>
          <cell r="J11" t="str">
            <v>Jasa dan perdagangan</v>
          </cell>
          <cell r="M11" t="str">
            <v>KECIL</v>
          </cell>
          <cell r="N11">
            <v>30</v>
          </cell>
        </row>
        <row r="12">
          <cell r="B12" t="str">
            <v>KAB. BREBES</v>
          </cell>
          <cell r="G12" t="str">
            <v>SEJAHTERA MANDIRI</v>
          </cell>
          <cell r="H12" t="str">
            <v>MANDIRI</v>
          </cell>
          <cell r="I12">
            <v>306</v>
          </cell>
          <cell r="J12" t="str">
            <v>Jasa dan perdagangan</v>
          </cell>
          <cell r="M12" t="str">
            <v>KECIL</v>
          </cell>
          <cell r="N12">
            <v>127</v>
          </cell>
        </row>
        <row r="13">
          <cell r="B13" t="str">
            <v>KAB. BREBES</v>
          </cell>
          <cell r="G13" t="str">
            <v>GANDASARI</v>
          </cell>
          <cell r="H13" t="str">
            <v>MANDIRI</v>
          </cell>
          <cell r="I13">
            <v>119.1</v>
          </cell>
          <cell r="J13" t="str">
            <v>Persawahan</v>
          </cell>
          <cell r="M13" t="str">
            <v>KECIL</v>
          </cell>
          <cell r="N13">
            <v>37</v>
          </cell>
        </row>
        <row r="14">
          <cell r="B14" t="str">
            <v>KAB. BREBES</v>
          </cell>
          <cell r="G14" t="str">
            <v>BINA SEJAHTERA</v>
          </cell>
          <cell r="H14" t="str">
            <v>MANDIRI</v>
          </cell>
          <cell r="I14">
            <v>218</v>
          </cell>
          <cell r="J14" t="str">
            <v>Jasa dan perdagangan</v>
          </cell>
          <cell r="M14" t="str">
            <v>KECIL</v>
          </cell>
          <cell r="N14">
            <v>37</v>
          </cell>
        </row>
        <row r="15">
          <cell r="B15" t="str">
            <v>KAB. BREBES</v>
          </cell>
          <cell r="G15" t="str">
            <v>GOTONG ROYONG</v>
          </cell>
          <cell r="H15" t="str">
            <v>BERDAYA</v>
          </cell>
          <cell r="I15">
            <v>422.21</v>
          </cell>
          <cell r="J15" t="str">
            <v>Jasa dan perdagangan</v>
          </cell>
          <cell r="M15" t="str">
            <v>KECIL</v>
          </cell>
          <cell r="N15">
            <v>45</v>
          </cell>
        </row>
        <row r="16">
          <cell r="B16" t="str">
            <v>KAB. BREBES</v>
          </cell>
          <cell r="G16" t="str">
            <v>TATA MULIA</v>
          </cell>
          <cell r="H16" t="str">
            <v>MANDIRI</v>
          </cell>
          <cell r="I16">
            <v>185</v>
          </cell>
          <cell r="J16" t="str">
            <v>Persawahan</v>
          </cell>
          <cell r="M16" t="str">
            <v>KECIL</v>
          </cell>
          <cell r="N16">
            <v>21</v>
          </cell>
        </row>
        <row r="17">
          <cell r="B17" t="str">
            <v>KAB. BREBES</v>
          </cell>
          <cell r="G17" t="str">
            <v>AMANAH</v>
          </cell>
          <cell r="H17" t="str">
            <v>MANDIRI</v>
          </cell>
          <cell r="I17">
            <v>518</v>
          </cell>
          <cell r="J17" t="str">
            <v>Jasa dan perdagangan</v>
          </cell>
          <cell r="M17" t="str">
            <v>KECIL</v>
          </cell>
          <cell r="N17">
            <v>69</v>
          </cell>
        </row>
        <row r="18">
          <cell r="B18" t="str">
            <v>KAB. BREBES</v>
          </cell>
          <cell r="G18" t="str">
            <v>MANDIRI</v>
          </cell>
          <cell r="H18" t="str">
            <v>MANDIRI</v>
          </cell>
          <cell r="I18">
            <v>168</v>
          </cell>
          <cell r="J18" t="str">
            <v>Persawahan</v>
          </cell>
          <cell r="M18" t="str">
            <v>KECIL</v>
          </cell>
          <cell r="N18">
            <v>25</v>
          </cell>
        </row>
        <row r="19">
          <cell r="B19" t="str">
            <v>KAB. BREBES</v>
          </cell>
          <cell r="G19" t="str">
            <v>SUMBER MAKMUR</v>
          </cell>
          <cell r="H19" t="str">
            <v>MANDIRI</v>
          </cell>
          <cell r="I19">
            <v>136.08000000000001</v>
          </cell>
          <cell r="J19" t="str">
            <v>Persawahan</v>
          </cell>
          <cell r="M19" t="str">
            <v>KECIL</v>
          </cell>
          <cell r="N19">
            <v>19</v>
          </cell>
        </row>
        <row r="20">
          <cell r="B20" t="str">
            <v>KAB. BREBES</v>
          </cell>
          <cell r="G20" t="str">
            <v>LANGGENG MAKMUR</v>
          </cell>
          <cell r="H20" t="str">
            <v>MANDIRI</v>
          </cell>
          <cell r="I20">
            <v>218</v>
          </cell>
          <cell r="J20" t="str">
            <v>Jasa dan perdagangan</v>
          </cell>
          <cell r="M20" t="str">
            <v>KECIL</v>
          </cell>
          <cell r="N20">
            <v>31</v>
          </cell>
        </row>
        <row r="21">
          <cell r="B21" t="str">
            <v>KAB. BREBES</v>
          </cell>
          <cell r="G21" t="str">
            <v>RUKUN SEJAHTERA</v>
          </cell>
          <cell r="H21" t="str">
            <v>MANDIRI</v>
          </cell>
          <cell r="I21">
            <v>214.315</v>
          </cell>
          <cell r="J21" t="str">
            <v>Persawahan</v>
          </cell>
          <cell r="M21" t="str">
            <v>KECIL</v>
          </cell>
          <cell r="N21">
            <v>17</v>
          </cell>
        </row>
        <row r="22">
          <cell r="B22" t="str">
            <v>KAB. BREBES</v>
          </cell>
          <cell r="G22" t="str">
            <v>TUNAS BAHARI</v>
          </cell>
          <cell r="H22" t="str">
            <v>MANDIRI</v>
          </cell>
          <cell r="I22">
            <v>680</v>
          </cell>
          <cell r="J22" t="str">
            <v>Nelayan</v>
          </cell>
          <cell r="M22" t="str">
            <v>KECIL</v>
          </cell>
          <cell r="N22">
            <v>24</v>
          </cell>
        </row>
        <row r="23">
          <cell r="B23" t="str">
            <v>KAB. BREBES</v>
          </cell>
          <cell r="G23" t="str">
            <v>BUDI LUHUR</v>
          </cell>
          <cell r="H23" t="str">
            <v>MANDIRI</v>
          </cell>
          <cell r="I23">
            <v>331.87</v>
          </cell>
          <cell r="J23" t="str">
            <v>Persawahan</v>
          </cell>
          <cell r="M23" t="str">
            <v>KECIL</v>
          </cell>
          <cell r="N23">
            <v>24</v>
          </cell>
        </row>
        <row r="24">
          <cell r="B24" t="str">
            <v>KAB. BREBES</v>
          </cell>
          <cell r="G24" t="str">
            <v>SARANA MAJU</v>
          </cell>
          <cell r="H24" t="str">
            <v>MANDIRI</v>
          </cell>
          <cell r="I24">
            <v>165915</v>
          </cell>
          <cell r="J24" t="str">
            <v>Persawahan</v>
          </cell>
          <cell r="M24" t="str">
            <v>KECIL</v>
          </cell>
          <cell r="N24">
            <v>27</v>
          </cell>
        </row>
        <row r="25">
          <cell r="B25" t="str">
            <v>KAB. BREBES</v>
          </cell>
          <cell r="G25" t="str">
            <v>TUNAS JAYA</v>
          </cell>
          <cell r="H25" t="str">
            <v>MANDIRI</v>
          </cell>
          <cell r="I25">
            <v>240.3</v>
          </cell>
          <cell r="J25" t="str">
            <v>Persawahan</v>
          </cell>
          <cell r="M25" t="str">
            <v>KECIL</v>
          </cell>
          <cell r="N25">
            <v>26</v>
          </cell>
        </row>
        <row r="26">
          <cell r="B26" t="str">
            <v>KAB. BREBES</v>
          </cell>
          <cell r="G26" t="str">
            <v>CAHAYA ABADI</v>
          </cell>
          <cell r="H26" t="str">
            <v>MANDIRI</v>
          </cell>
          <cell r="I26">
            <v>184.155</v>
          </cell>
          <cell r="J26" t="str">
            <v>Peternakan</v>
          </cell>
          <cell r="M26" t="str">
            <v>KECIL</v>
          </cell>
          <cell r="N26">
            <v>19</v>
          </cell>
        </row>
        <row r="27">
          <cell r="B27" t="str">
            <v>KAB. BREBES</v>
          </cell>
          <cell r="G27" t="str">
            <v>BAROKATUL UMMAT</v>
          </cell>
          <cell r="H27" t="str">
            <v>MANDIRI</v>
          </cell>
          <cell r="I27">
            <v>289.72000000000003</v>
          </cell>
          <cell r="J27" t="str">
            <v>Persawahan</v>
          </cell>
          <cell r="M27" t="str">
            <v>KECIL</v>
          </cell>
          <cell r="N27">
            <v>27</v>
          </cell>
        </row>
        <row r="28">
          <cell r="B28" t="str">
            <v>KAB. BREBES</v>
          </cell>
          <cell r="G28" t="str">
            <v>SEJAHTERA</v>
          </cell>
          <cell r="H28" t="str">
            <v>BERDAYA</v>
          </cell>
          <cell r="I28">
            <v>428.39</v>
          </cell>
          <cell r="J28" t="str">
            <v>Persawahan</v>
          </cell>
          <cell r="M28" t="str">
            <v>KECIL</v>
          </cell>
          <cell r="N28">
            <v>25</v>
          </cell>
        </row>
        <row r="29">
          <cell r="B29" t="str">
            <v>KAB. BREBES</v>
          </cell>
          <cell r="G29" t="str">
            <v>MUTIARA ABADI</v>
          </cell>
          <cell r="H29" t="str">
            <v>MANDIRI</v>
          </cell>
          <cell r="I29">
            <v>1365</v>
          </cell>
          <cell r="J29" t="str">
            <v>Nelayan</v>
          </cell>
          <cell r="M29" t="str">
            <v>KECIL</v>
          </cell>
          <cell r="N29">
            <v>30</v>
          </cell>
        </row>
        <row r="30">
          <cell r="B30" t="str">
            <v>KAB. BREBES</v>
          </cell>
          <cell r="G30" t="str">
            <v>RUKUN SEJAHTERA</v>
          </cell>
          <cell r="H30" t="str">
            <v>MANDIRI</v>
          </cell>
          <cell r="I30">
            <v>520</v>
          </cell>
          <cell r="J30" t="str">
            <v>Nelayan</v>
          </cell>
          <cell r="M30" t="str">
            <v>KECIL</v>
          </cell>
          <cell r="N30">
            <v>9</v>
          </cell>
        </row>
        <row r="31">
          <cell r="B31" t="str">
            <v>KAB. BREBES</v>
          </cell>
          <cell r="G31" t="str">
            <v>BINA SEJAHTERA</v>
          </cell>
          <cell r="H31" t="str">
            <v>MANDIRI</v>
          </cell>
          <cell r="I31">
            <v>75</v>
          </cell>
          <cell r="J31" t="str">
            <v>Persawahan</v>
          </cell>
          <cell r="M31" t="str">
            <v>KECIL</v>
          </cell>
          <cell r="N31">
            <v>8</v>
          </cell>
        </row>
        <row r="32">
          <cell r="B32" t="str">
            <v>KAB. BREBES</v>
          </cell>
          <cell r="G32" t="str">
            <v>MITRA SEJAHTERA</v>
          </cell>
          <cell r="H32" t="str">
            <v>MANDIRI</v>
          </cell>
          <cell r="I32">
            <v>132.5</v>
          </cell>
          <cell r="J32" t="str">
            <v>Persawahan</v>
          </cell>
          <cell r="M32" t="str">
            <v>KECIL</v>
          </cell>
          <cell r="N32">
            <v>20</v>
          </cell>
        </row>
        <row r="33">
          <cell r="B33" t="str">
            <v>KAB. BREBES</v>
          </cell>
          <cell r="G33" t="str">
            <v>SIDA MAKMUR</v>
          </cell>
          <cell r="H33" t="str">
            <v>MANDIRI</v>
          </cell>
          <cell r="I33">
            <v>120</v>
          </cell>
          <cell r="J33" t="str">
            <v>Persawahan</v>
          </cell>
          <cell r="M33" t="str">
            <v>KECIL</v>
          </cell>
          <cell r="N33">
            <v>18</v>
          </cell>
        </row>
        <row r="34">
          <cell r="B34" t="str">
            <v>KAB. BREBES</v>
          </cell>
          <cell r="G34" t="str">
            <v>BUMIAYU</v>
          </cell>
          <cell r="H34" t="str">
            <v>MANDIRI</v>
          </cell>
          <cell r="I34">
            <v>5530.95</v>
          </cell>
          <cell r="J34" t="str">
            <v>Jasa dan perdagangan</v>
          </cell>
          <cell r="M34" t="str">
            <v>KECIL</v>
          </cell>
          <cell r="N34">
            <v>52</v>
          </cell>
        </row>
        <row r="35">
          <cell r="B35" t="str">
            <v>KAB. BREBES</v>
          </cell>
          <cell r="G35" t="str">
            <v>DUKUHTURI</v>
          </cell>
          <cell r="H35" t="str">
            <v>MANDIRI</v>
          </cell>
          <cell r="I35">
            <v>3007.3</v>
          </cell>
          <cell r="J35" t="str">
            <v>Persawahan</v>
          </cell>
          <cell r="M35" t="str">
            <v>KECIL</v>
          </cell>
          <cell r="N35">
            <v>45</v>
          </cell>
        </row>
        <row r="36">
          <cell r="B36" t="str">
            <v>KAB. BREBES</v>
          </cell>
          <cell r="G36" t="str">
            <v>JATISAWIT</v>
          </cell>
          <cell r="H36" t="str">
            <v>MANDIRI</v>
          </cell>
          <cell r="I36">
            <v>219</v>
          </cell>
          <cell r="J36" t="str">
            <v>Persawahan</v>
          </cell>
          <cell r="M36" t="str">
            <v>KECIL</v>
          </cell>
          <cell r="N36">
            <v>46</v>
          </cell>
        </row>
        <row r="37">
          <cell r="B37" t="str">
            <v>KAB. BREBES</v>
          </cell>
          <cell r="G37" t="str">
            <v>KALIERANG</v>
          </cell>
          <cell r="H37" t="str">
            <v>MANDIRI</v>
          </cell>
          <cell r="I37">
            <v>272</v>
          </cell>
          <cell r="J37" t="str">
            <v>Persawahan</v>
          </cell>
          <cell r="M37" t="str">
            <v>KECIL</v>
          </cell>
          <cell r="N37">
            <v>69</v>
          </cell>
        </row>
        <row r="38">
          <cell r="B38" t="str">
            <v>KAB. BREBES</v>
          </cell>
          <cell r="G38" t="str">
            <v>AMANAH</v>
          </cell>
          <cell r="H38" t="str">
            <v>MANDIRI</v>
          </cell>
          <cell r="I38">
            <v>155.38499999999999</v>
          </cell>
          <cell r="J38" t="str">
            <v>Persawahan</v>
          </cell>
          <cell r="M38" t="str">
            <v>KECIL</v>
          </cell>
          <cell r="N38">
            <v>19</v>
          </cell>
        </row>
        <row r="39">
          <cell r="B39" t="str">
            <v>KAB. BREBES</v>
          </cell>
          <cell r="G39" t="str">
            <v>KALIWADAS</v>
          </cell>
          <cell r="H39" t="str">
            <v>MANDIRI</v>
          </cell>
          <cell r="I39">
            <v>240.535</v>
          </cell>
          <cell r="J39" t="str">
            <v>Persawahan</v>
          </cell>
          <cell r="M39" t="str">
            <v>KECIL</v>
          </cell>
          <cell r="N39">
            <v>39</v>
          </cell>
        </row>
        <row r="40">
          <cell r="B40" t="str">
            <v>KAB. BREBES</v>
          </cell>
          <cell r="G40" t="str">
            <v>MAKMUR MANDIRI SEJAHTERA</v>
          </cell>
          <cell r="H40" t="str">
            <v>MANDIRI</v>
          </cell>
          <cell r="I40">
            <v>596.60500000000002</v>
          </cell>
          <cell r="J40" t="str">
            <v>Persawahan</v>
          </cell>
          <cell r="M40" t="str">
            <v>KECIL</v>
          </cell>
          <cell r="N40">
            <v>44</v>
          </cell>
        </row>
        <row r="41">
          <cell r="B41" t="str">
            <v>KAB. BREBES</v>
          </cell>
          <cell r="G41" t="str">
            <v>HARAPAN MAJU</v>
          </cell>
          <cell r="H41" t="str">
            <v>MANDIRI</v>
          </cell>
          <cell r="I41">
            <v>3267</v>
          </cell>
          <cell r="J41" t="str">
            <v>Persawahan</v>
          </cell>
          <cell r="M41" t="str">
            <v>KECIL</v>
          </cell>
          <cell r="N41">
            <v>36</v>
          </cell>
        </row>
        <row r="42">
          <cell r="B42" t="str">
            <v>KAB. BREBES</v>
          </cell>
          <cell r="G42" t="str">
            <v>MAJU SEJAHTERA</v>
          </cell>
          <cell r="H42" t="str">
            <v>MANDIRI</v>
          </cell>
          <cell r="I42">
            <v>88</v>
          </cell>
          <cell r="J42" t="str">
            <v>Persawahan</v>
          </cell>
          <cell r="M42" t="str">
            <v>KECIL</v>
          </cell>
          <cell r="N42">
            <v>9</v>
          </cell>
        </row>
        <row r="43">
          <cell r="B43" t="str">
            <v>KAB. BREBES</v>
          </cell>
          <cell r="G43" t="str">
            <v>AKUR</v>
          </cell>
          <cell r="H43" t="str">
            <v>MANDIRI</v>
          </cell>
          <cell r="I43">
            <v>273</v>
          </cell>
          <cell r="J43" t="str">
            <v>Persawahan</v>
          </cell>
          <cell r="M43" t="str">
            <v>KECIL</v>
          </cell>
          <cell r="N43">
            <v>40</v>
          </cell>
        </row>
        <row r="44">
          <cell r="B44" t="str">
            <v>KAB. BREBES</v>
          </cell>
          <cell r="G44" t="str">
            <v>BUMI MANDIRI</v>
          </cell>
          <cell r="H44" t="str">
            <v>MANDIRI</v>
          </cell>
          <cell r="I44">
            <v>237</v>
          </cell>
          <cell r="J44" t="str">
            <v>Persawahan</v>
          </cell>
          <cell r="M44" t="str">
            <v>KECIL</v>
          </cell>
          <cell r="N44">
            <v>31</v>
          </cell>
        </row>
        <row r="45">
          <cell r="B45" t="str">
            <v>KAB. BREBES</v>
          </cell>
          <cell r="G45" t="str">
            <v>DAHA MANDIRI</v>
          </cell>
          <cell r="H45" t="str">
            <v>MANDIRI</v>
          </cell>
          <cell r="I45">
            <v>198</v>
          </cell>
          <cell r="J45" t="str">
            <v>Persawahan</v>
          </cell>
          <cell r="M45" t="str">
            <v>KECIL</v>
          </cell>
          <cell r="N45">
            <v>22</v>
          </cell>
        </row>
        <row r="46">
          <cell r="B46" t="str">
            <v>KAB. BREBES</v>
          </cell>
          <cell r="G46" t="str">
            <v>MUGI SUGIH</v>
          </cell>
          <cell r="H46" t="str">
            <v>MANDIRI</v>
          </cell>
          <cell r="I46">
            <v>85.11</v>
          </cell>
          <cell r="J46" t="str">
            <v>Persawahan</v>
          </cell>
          <cell r="M46" t="str">
            <v>KECIL</v>
          </cell>
          <cell r="N46">
            <v>12</v>
          </cell>
        </row>
        <row r="47">
          <cell r="B47" t="str">
            <v>KAB. BREBES</v>
          </cell>
          <cell r="G47" t="str">
            <v>MANDIRI SEJAHTERA</v>
          </cell>
          <cell r="H47" t="str">
            <v>MANDIRI</v>
          </cell>
          <cell r="I47">
            <v>495</v>
          </cell>
          <cell r="J47" t="str">
            <v>Persawahan</v>
          </cell>
          <cell r="M47" t="str">
            <v>KECIL</v>
          </cell>
          <cell r="N47">
            <v>17</v>
          </cell>
        </row>
        <row r="48">
          <cell r="B48" t="str">
            <v>KAB. BREBES</v>
          </cell>
          <cell r="G48" t="str">
            <v>SEHATI</v>
          </cell>
          <cell r="H48" t="str">
            <v>MANDIRI</v>
          </cell>
          <cell r="I48">
            <v>1297</v>
          </cell>
          <cell r="J48" t="str">
            <v>Persawahan</v>
          </cell>
          <cell r="M48" t="str">
            <v>KECIL</v>
          </cell>
          <cell r="N48">
            <v>98</v>
          </cell>
        </row>
      </sheetData>
      <sheetData sheetId="2"/>
      <sheetData sheetId="3">
        <row r="10">
          <cell r="E10" t="str">
            <v>5</v>
          </cell>
          <cell r="FK10" t="str">
            <v>167</v>
          </cell>
        </row>
        <row r="11">
          <cell r="E11">
            <v>33290201</v>
          </cell>
          <cell r="FK11">
            <v>0</v>
          </cell>
        </row>
        <row r="12">
          <cell r="E12">
            <v>33290201</v>
          </cell>
          <cell r="FK12">
            <v>0</v>
          </cell>
        </row>
        <row r="13">
          <cell r="E13">
            <v>33290201</v>
          </cell>
          <cell r="FK13">
            <v>0</v>
          </cell>
        </row>
        <row r="14">
          <cell r="E14">
            <v>33290201</v>
          </cell>
          <cell r="FK14">
            <v>0</v>
          </cell>
        </row>
        <row r="15">
          <cell r="E15">
            <v>33290201</v>
          </cell>
          <cell r="FK15">
            <v>0</v>
          </cell>
        </row>
        <row r="16">
          <cell r="E16">
            <v>33290201</v>
          </cell>
          <cell r="FK16">
            <v>0</v>
          </cell>
        </row>
        <row r="17">
          <cell r="E17">
            <v>33290201</v>
          </cell>
          <cell r="FK17">
            <v>0</v>
          </cell>
        </row>
        <row r="18">
          <cell r="E18">
            <v>33290201</v>
          </cell>
          <cell r="FK18">
            <v>0</v>
          </cell>
        </row>
        <row r="19">
          <cell r="E19">
            <v>33290201</v>
          </cell>
          <cell r="FK19">
            <v>1</v>
          </cell>
        </row>
        <row r="20">
          <cell r="E20">
            <v>33290201</v>
          </cell>
          <cell r="FK20">
            <v>1</v>
          </cell>
        </row>
        <row r="21">
          <cell r="E21">
            <v>33290201</v>
          </cell>
          <cell r="FK21">
            <v>0</v>
          </cell>
        </row>
        <row r="22">
          <cell r="E22">
            <v>33290201</v>
          </cell>
          <cell r="FK22">
            <v>0</v>
          </cell>
        </row>
        <row r="23">
          <cell r="E23">
            <v>33290201</v>
          </cell>
          <cell r="FK23">
            <v>0</v>
          </cell>
        </row>
        <row r="24">
          <cell r="E24">
            <v>33290201</v>
          </cell>
          <cell r="FK24">
            <v>0</v>
          </cell>
        </row>
        <row r="25">
          <cell r="E25">
            <v>33290201</v>
          </cell>
          <cell r="FK25">
            <v>0</v>
          </cell>
        </row>
        <row r="26">
          <cell r="E26">
            <v>33290201</v>
          </cell>
          <cell r="FK26">
            <v>1</v>
          </cell>
        </row>
        <row r="27">
          <cell r="E27">
            <v>33290201</v>
          </cell>
          <cell r="FK27">
            <v>0</v>
          </cell>
        </row>
        <row r="28">
          <cell r="E28">
            <v>33290201</v>
          </cell>
          <cell r="FK28">
            <v>0</v>
          </cell>
        </row>
        <row r="29">
          <cell r="E29">
            <v>33290201</v>
          </cell>
          <cell r="FK29">
            <v>0</v>
          </cell>
        </row>
        <row r="30">
          <cell r="E30">
            <v>33290201</v>
          </cell>
          <cell r="FK30">
            <v>0</v>
          </cell>
        </row>
        <row r="31">
          <cell r="E31">
            <v>33290201</v>
          </cell>
          <cell r="FK31">
            <v>0</v>
          </cell>
        </row>
        <row r="32">
          <cell r="E32">
            <v>33290201</v>
          </cell>
          <cell r="FK32">
            <v>0</v>
          </cell>
        </row>
        <row r="33">
          <cell r="E33">
            <v>33290201</v>
          </cell>
          <cell r="FK33">
            <v>1</v>
          </cell>
        </row>
        <row r="34">
          <cell r="E34">
            <v>33290201</v>
          </cell>
          <cell r="FK34">
            <v>0</v>
          </cell>
        </row>
        <row r="35">
          <cell r="E35">
            <v>33290201</v>
          </cell>
          <cell r="FK35">
            <v>0</v>
          </cell>
        </row>
        <row r="36">
          <cell r="E36">
            <v>33290201</v>
          </cell>
          <cell r="FK36">
            <v>0</v>
          </cell>
        </row>
        <row r="37">
          <cell r="E37">
            <v>33290201</v>
          </cell>
          <cell r="FK37">
            <v>0</v>
          </cell>
        </row>
        <row r="38">
          <cell r="E38">
            <v>33290201</v>
          </cell>
          <cell r="FK38">
            <v>0</v>
          </cell>
        </row>
        <row r="39">
          <cell r="E39">
            <v>33290201</v>
          </cell>
          <cell r="FK39">
            <v>0</v>
          </cell>
        </row>
        <row r="40">
          <cell r="E40">
            <v>33290201</v>
          </cell>
          <cell r="FK40">
            <v>0</v>
          </cell>
        </row>
        <row r="41">
          <cell r="E41">
            <v>33290202</v>
          </cell>
          <cell r="FK41">
            <v>0</v>
          </cell>
        </row>
        <row r="42">
          <cell r="E42">
            <v>33290202</v>
          </cell>
          <cell r="FK42">
            <v>0</v>
          </cell>
        </row>
        <row r="43">
          <cell r="E43">
            <v>33290202</v>
          </cell>
          <cell r="FK43">
            <v>0</v>
          </cell>
        </row>
        <row r="44">
          <cell r="E44">
            <v>33290202</v>
          </cell>
          <cell r="FK44">
            <v>0</v>
          </cell>
        </row>
        <row r="45">
          <cell r="E45">
            <v>33290202</v>
          </cell>
          <cell r="FK45">
            <v>0</v>
          </cell>
        </row>
        <row r="46">
          <cell r="E46">
            <v>33290202</v>
          </cell>
          <cell r="FK46">
            <v>0</v>
          </cell>
        </row>
        <row r="47">
          <cell r="E47">
            <v>33290202</v>
          </cell>
          <cell r="FK47">
            <v>0</v>
          </cell>
        </row>
        <row r="48">
          <cell r="E48">
            <v>33290202</v>
          </cell>
          <cell r="FK48">
            <v>0</v>
          </cell>
        </row>
        <row r="49">
          <cell r="E49">
            <v>33290202</v>
          </cell>
          <cell r="FK49">
            <v>0</v>
          </cell>
        </row>
        <row r="50">
          <cell r="E50">
            <v>33290202</v>
          </cell>
          <cell r="FK50">
            <v>0</v>
          </cell>
        </row>
        <row r="51">
          <cell r="E51">
            <v>33290202</v>
          </cell>
          <cell r="FK51">
            <v>0</v>
          </cell>
        </row>
        <row r="52">
          <cell r="E52">
            <v>33290202</v>
          </cell>
          <cell r="FK52">
            <v>0</v>
          </cell>
        </row>
        <row r="53">
          <cell r="E53">
            <v>33290202</v>
          </cell>
          <cell r="FK53">
            <v>0</v>
          </cell>
        </row>
        <row r="54">
          <cell r="E54">
            <v>33290202</v>
          </cell>
          <cell r="FK54">
            <v>0</v>
          </cell>
        </row>
        <row r="55">
          <cell r="E55">
            <v>33290202</v>
          </cell>
          <cell r="FK55">
            <v>0</v>
          </cell>
        </row>
        <row r="56">
          <cell r="E56">
            <v>33290202</v>
          </cell>
          <cell r="FK56">
            <v>0</v>
          </cell>
        </row>
        <row r="57">
          <cell r="E57">
            <v>33290202</v>
          </cell>
          <cell r="FK57">
            <v>0</v>
          </cell>
        </row>
        <row r="58">
          <cell r="E58">
            <v>33290202</v>
          </cell>
          <cell r="FK58">
            <v>0</v>
          </cell>
        </row>
        <row r="59">
          <cell r="E59">
            <v>33290202</v>
          </cell>
          <cell r="FK59">
            <v>0</v>
          </cell>
        </row>
        <row r="60">
          <cell r="E60">
            <v>33290202</v>
          </cell>
          <cell r="FK60">
            <v>0</v>
          </cell>
        </row>
        <row r="61">
          <cell r="E61">
            <v>33290202</v>
          </cell>
          <cell r="FK61">
            <v>0</v>
          </cell>
        </row>
        <row r="62">
          <cell r="E62">
            <v>33290202</v>
          </cell>
          <cell r="FK62">
            <v>0</v>
          </cell>
        </row>
        <row r="63">
          <cell r="E63">
            <v>33290202</v>
          </cell>
          <cell r="FK63">
            <v>0</v>
          </cell>
        </row>
        <row r="64">
          <cell r="E64">
            <v>33290202</v>
          </cell>
          <cell r="FK64">
            <v>0</v>
          </cell>
        </row>
        <row r="65">
          <cell r="E65">
            <v>33290202</v>
          </cell>
          <cell r="FK65">
            <v>0</v>
          </cell>
        </row>
        <row r="66">
          <cell r="E66">
            <v>33290202</v>
          </cell>
          <cell r="FK66">
            <v>0</v>
          </cell>
        </row>
        <row r="67">
          <cell r="E67">
            <v>33290202</v>
          </cell>
          <cell r="FK67">
            <v>0</v>
          </cell>
        </row>
        <row r="68">
          <cell r="E68">
            <v>33290202</v>
          </cell>
          <cell r="FK68">
            <v>0</v>
          </cell>
        </row>
        <row r="69">
          <cell r="E69">
            <v>33290202</v>
          </cell>
          <cell r="FK69">
            <v>1</v>
          </cell>
        </row>
        <row r="70">
          <cell r="E70">
            <v>33290202</v>
          </cell>
          <cell r="FK70">
            <v>0</v>
          </cell>
        </row>
        <row r="71">
          <cell r="E71">
            <v>33290202</v>
          </cell>
          <cell r="FK71">
            <v>0</v>
          </cell>
        </row>
        <row r="72">
          <cell r="E72">
            <v>33290202</v>
          </cell>
          <cell r="FK72">
            <v>0</v>
          </cell>
        </row>
        <row r="73">
          <cell r="E73">
            <v>33290202</v>
          </cell>
          <cell r="FK73">
            <v>0</v>
          </cell>
        </row>
        <row r="74">
          <cell r="E74">
            <v>33290202</v>
          </cell>
          <cell r="FK74">
            <v>0</v>
          </cell>
        </row>
        <row r="75">
          <cell r="E75">
            <v>33290202</v>
          </cell>
          <cell r="FK75">
            <v>0</v>
          </cell>
        </row>
        <row r="76">
          <cell r="E76">
            <v>33290202</v>
          </cell>
          <cell r="FK76">
            <v>0</v>
          </cell>
        </row>
        <row r="77">
          <cell r="E77">
            <v>33290202</v>
          </cell>
          <cell r="FK77">
            <v>0</v>
          </cell>
        </row>
        <row r="78">
          <cell r="E78">
            <v>33290202</v>
          </cell>
          <cell r="FK78">
            <v>0</v>
          </cell>
        </row>
        <row r="79">
          <cell r="E79">
            <v>33290202</v>
          </cell>
          <cell r="FK79">
            <v>0</v>
          </cell>
        </row>
        <row r="80">
          <cell r="E80">
            <v>33290202</v>
          </cell>
          <cell r="FK80">
            <v>0</v>
          </cell>
        </row>
        <row r="81">
          <cell r="E81">
            <v>33290202</v>
          </cell>
          <cell r="FK81">
            <v>0</v>
          </cell>
        </row>
        <row r="82">
          <cell r="E82">
            <v>33290202</v>
          </cell>
          <cell r="FK82">
            <v>0</v>
          </cell>
        </row>
        <row r="83">
          <cell r="E83">
            <v>33290202</v>
          </cell>
          <cell r="FK83">
            <v>0</v>
          </cell>
        </row>
        <row r="84">
          <cell r="E84">
            <v>33290202</v>
          </cell>
          <cell r="FK84">
            <v>0</v>
          </cell>
        </row>
        <row r="85">
          <cell r="E85">
            <v>33290202</v>
          </cell>
          <cell r="FK85">
            <v>0</v>
          </cell>
        </row>
        <row r="86">
          <cell r="E86">
            <v>33290202</v>
          </cell>
          <cell r="FK86">
            <v>0</v>
          </cell>
        </row>
        <row r="87">
          <cell r="E87">
            <v>33290202</v>
          </cell>
          <cell r="FK87">
            <v>0</v>
          </cell>
        </row>
        <row r="88">
          <cell r="E88">
            <v>33290202</v>
          </cell>
          <cell r="FK88">
            <v>0</v>
          </cell>
        </row>
        <row r="89">
          <cell r="E89">
            <v>33290202</v>
          </cell>
          <cell r="FK89">
            <v>0</v>
          </cell>
        </row>
        <row r="90">
          <cell r="E90">
            <v>33290202</v>
          </cell>
          <cell r="FK90">
            <v>0</v>
          </cell>
        </row>
        <row r="91">
          <cell r="E91">
            <v>33290202</v>
          </cell>
          <cell r="FK91">
            <v>0</v>
          </cell>
        </row>
        <row r="92">
          <cell r="E92">
            <v>33290202</v>
          </cell>
          <cell r="FK92">
            <v>0</v>
          </cell>
        </row>
        <row r="93">
          <cell r="E93">
            <v>33290202</v>
          </cell>
          <cell r="FK93">
            <v>0</v>
          </cell>
        </row>
        <row r="94">
          <cell r="E94">
            <v>33290202</v>
          </cell>
          <cell r="FK94">
            <v>0</v>
          </cell>
        </row>
        <row r="95">
          <cell r="E95">
            <v>33290202</v>
          </cell>
          <cell r="FK95">
            <v>0</v>
          </cell>
        </row>
        <row r="96">
          <cell r="E96">
            <v>33290202</v>
          </cell>
          <cell r="FK96">
            <v>0</v>
          </cell>
        </row>
        <row r="97">
          <cell r="E97">
            <v>33290202</v>
          </cell>
          <cell r="FK97">
            <v>0</v>
          </cell>
        </row>
        <row r="98">
          <cell r="E98">
            <v>33290202</v>
          </cell>
          <cell r="FK98">
            <v>0</v>
          </cell>
        </row>
        <row r="99">
          <cell r="E99">
            <v>33290202</v>
          </cell>
          <cell r="FK99">
            <v>0</v>
          </cell>
        </row>
        <row r="100">
          <cell r="E100">
            <v>33290202</v>
          </cell>
          <cell r="FK100">
            <v>0</v>
          </cell>
        </row>
        <row r="101">
          <cell r="E101">
            <v>33290202</v>
          </cell>
          <cell r="FK101">
            <v>0</v>
          </cell>
        </row>
        <row r="102">
          <cell r="E102">
            <v>33290202</v>
          </cell>
          <cell r="FK102">
            <v>0</v>
          </cell>
        </row>
        <row r="103">
          <cell r="E103">
            <v>33290202</v>
          </cell>
          <cell r="FK103">
            <v>0</v>
          </cell>
        </row>
        <row r="104">
          <cell r="E104">
            <v>33290202</v>
          </cell>
          <cell r="FK104">
            <v>0</v>
          </cell>
        </row>
        <row r="105">
          <cell r="E105">
            <v>33290202</v>
          </cell>
          <cell r="FK105">
            <v>0</v>
          </cell>
        </row>
        <row r="106">
          <cell r="E106">
            <v>33290202</v>
          </cell>
          <cell r="FK106">
            <v>0</v>
          </cell>
        </row>
        <row r="107">
          <cell r="E107">
            <v>33290202</v>
          </cell>
          <cell r="FK107">
            <v>0</v>
          </cell>
        </row>
        <row r="108">
          <cell r="E108">
            <v>33290202</v>
          </cell>
          <cell r="FK108">
            <v>1</v>
          </cell>
        </row>
        <row r="109">
          <cell r="E109">
            <v>33290202</v>
          </cell>
          <cell r="FK109">
            <v>0</v>
          </cell>
        </row>
        <row r="110">
          <cell r="E110">
            <v>33290202</v>
          </cell>
          <cell r="FK110">
            <v>0</v>
          </cell>
        </row>
        <row r="111">
          <cell r="E111">
            <v>33290202</v>
          </cell>
          <cell r="FK111">
            <v>0</v>
          </cell>
        </row>
        <row r="112">
          <cell r="E112">
            <v>33290202</v>
          </cell>
          <cell r="FK112">
            <v>0</v>
          </cell>
        </row>
        <row r="113">
          <cell r="E113">
            <v>33290202</v>
          </cell>
          <cell r="FK113">
            <v>0</v>
          </cell>
        </row>
        <row r="114">
          <cell r="E114">
            <v>33290202</v>
          </cell>
          <cell r="FK114">
            <v>0</v>
          </cell>
        </row>
        <row r="115">
          <cell r="E115">
            <v>33290202</v>
          </cell>
          <cell r="FK115">
            <v>0</v>
          </cell>
        </row>
        <row r="116">
          <cell r="E116">
            <v>33290202</v>
          </cell>
          <cell r="FK116">
            <v>0</v>
          </cell>
        </row>
        <row r="117">
          <cell r="E117">
            <v>33290202</v>
          </cell>
          <cell r="FK117">
            <v>0</v>
          </cell>
        </row>
        <row r="118">
          <cell r="E118">
            <v>33290202</v>
          </cell>
          <cell r="FK118">
            <v>0</v>
          </cell>
        </row>
        <row r="119">
          <cell r="E119">
            <v>33290202</v>
          </cell>
          <cell r="FK119">
            <v>0</v>
          </cell>
        </row>
        <row r="120">
          <cell r="E120">
            <v>33290202</v>
          </cell>
          <cell r="FK120">
            <v>0</v>
          </cell>
        </row>
        <row r="121">
          <cell r="E121">
            <v>33290202</v>
          </cell>
          <cell r="FK121">
            <v>0</v>
          </cell>
        </row>
        <row r="122">
          <cell r="E122">
            <v>33290202</v>
          </cell>
          <cell r="FK122">
            <v>0</v>
          </cell>
        </row>
        <row r="123">
          <cell r="E123">
            <v>33290202</v>
          </cell>
          <cell r="FK123">
            <v>0</v>
          </cell>
        </row>
        <row r="124">
          <cell r="E124">
            <v>33290202</v>
          </cell>
          <cell r="FK124">
            <v>0</v>
          </cell>
        </row>
        <row r="125">
          <cell r="E125">
            <v>33290202</v>
          </cell>
          <cell r="FK125">
            <v>0</v>
          </cell>
        </row>
        <row r="126">
          <cell r="E126">
            <v>33290202</v>
          </cell>
          <cell r="FK126">
            <v>0</v>
          </cell>
        </row>
        <row r="127">
          <cell r="E127">
            <v>33290202</v>
          </cell>
          <cell r="FK127">
            <v>0</v>
          </cell>
        </row>
        <row r="128">
          <cell r="E128">
            <v>33290202</v>
          </cell>
          <cell r="FK128">
            <v>0</v>
          </cell>
        </row>
        <row r="129">
          <cell r="E129">
            <v>33290202</v>
          </cell>
          <cell r="FK129">
            <v>0</v>
          </cell>
        </row>
        <row r="130">
          <cell r="E130">
            <v>33290202</v>
          </cell>
          <cell r="FK130">
            <v>0</v>
          </cell>
        </row>
        <row r="131">
          <cell r="E131">
            <v>33290202</v>
          </cell>
          <cell r="FK131">
            <v>0</v>
          </cell>
        </row>
        <row r="132">
          <cell r="E132">
            <v>33290202</v>
          </cell>
          <cell r="FK132">
            <v>0</v>
          </cell>
        </row>
        <row r="133">
          <cell r="E133">
            <v>33290202</v>
          </cell>
          <cell r="FK133">
            <v>0</v>
          </cell>
        </row>
        <row r="134">
          <cell r="E134">
            <v>33290202</v>
          </cell>
          <cell r="FK134">
            <v>0</v>
          </cell>
        </row>
        <row r="135">
          <cell r="E135">
            <v>33290202</v>
          </cell>
          <cell r="FK135">
            <v>0</v>
          </cell>
        </row>
        <row r="136">
          <cell r="E136">
            <v>33290202</v>
          </cell>
          <cell r="FK136">
            <v>0</v>
          </cell>
        </row>
        <row r="137">
          <cell r="E137">
            <v>33290202</v>
          </cell>
          <cell r="FK137">
            <v>0</v>
          </cell>
        </row>
        <row r="138">
          <cell r="E138">
            <v>33290202</v>
          </cell>
          <cell r="FK138">
            <v>0</v>
          </cell>
        </row>
        <row r="139">
          <cell r="E139">
            <v>33290202</v>
          </cell>
          <cell r="FK139">
            <v>0</v>
          </cell>
        </row>
        <row r="140">
          <cell r="E140">
            <v>33290202</v>
          </cell>
          <cell r="FK140">
            <v>0</v>
          </cell>
        </row>
        <row r="141">
          <cell r="E141">
            <v>33290202</v>
          </cell>
          <cell r="FK141">
            <v>0</v>
          </cell>
        </row>
        <row r="142">
          <cell r="E142">
            <v>33290202</v>
          </cell>
          <cell r="FK142">
            <v>0</v>
          </cell>
        </row>
        <row r="143">
          <cell r="E143">
            <v>33290202</v>
          </cell>
          <cell r="FK143">
            <v>0</v>
          </cell>
        </row>
        <row r="144">
          <cell r="E144">
            <v>33290202</v>
          </cell>
          <cell r="FK144">
            <v>1</v>
          </cell>
        </row>
        <row r="145">
          <cell r="E145">
            <v>33290202</v>
          </cell>
          <cell r="FK145">
            <v>0</v>
          </cell>
        </row>
        <row r="146">
          <cell r="E146">
            <v>33290202</v>
          </cell>
          <cell r="FK146">
            <v>0</v>
          </cell>
        </row>
        <row r="147">
          <cell r="E147">
            <v>33290202</v>
          </cell>
          <cell r="FK147">
            <v>0</v>
          </cell>
        </row>
        <row r="148">
          <cell r="E148">
            <v>33290202</v>
          </cell>
          <cell r="FK148">
            <v>0</v>
          </cell>
        </row>
        <row r="149">
          <cell r="E149">
            <v>33290202</v>
          </cell>
          <cell r="FK149">
            <v>0</v>
          </cell>
        </row>
        <row r="150">
          <cell r="E150">
            <v>33290202</v>
          </cell>
          <cell r="FK150">
            <v>0</v>
          </cell>
        </row>
        <row r="151">
          <cell r="E151">
            <v>33290202</v>
          </cell>
          <cell r="FK151">
            <v>0</v>
          </cell>
        </row>
        <row r="152">
          <cell r="E152">
            <v>33290202</v>
          </cell>
          <cell r="FK152">
            <v>0</v>
          </cell>
        </row>
        <row r="153">
          <cell r="E153">
            <v>33290202</v>
          </cell>
          <cell r="FK153">
            <v>0</v>
          </cell>
        </row>
        <row r="154">
          <cell r="E154">
            <v>33290202</v>
          </cell>
          <cell r="FK154">
            <v>0</v>
          </cell>
        </row>
        <row r="155">
          <cell r="E155">
            <v>33290202</v>
          </cell>
          <cell r="FK155">
            <v>0</v>
          </cell>
        </row>
        <row r="156">
          <cell r="E156">
            <v>33290202</v>
          </cell>
          <cell r="FK156">
            <v>0</v>
          </cell>
        </row>
        <row r="157">
          <cell r="E157">
            <v>33290202</v>
          </cell>
          <cell r="FK157">
            <v>0</v>
          </cell>
        </row>
        <row r="158">
          <cell r="E158">
            <v>33290202</v>
          </cell>
          <cell r="FK158">
            <v>0</v>
          </cell>
        </row>
        <row r="159">
          <cell r="E159">
            <v>33290202</v>
          </cell>
          <cell r="FK159">
            <v>0</v>
          </cell>
        </row>
        <row r="160">
          <cell r="E160">
            <v>33290202</v>
          </cell>
          <cell r="FK160">
            <v>0</v>
          </cell>
        </row>
        <row r="161">
          <cell r="E161">
            <v>33290202</v>
          </cell>
          <cell r="FK161">
            <v>0</v>
          </cell>
        </row>
        <row r="162">
          <cell r="E162">
            <v>33290202</v>
          </cell>
          <cell r="FK162">
            <v>0</v>
          </cell>
        </row>
        <row r="163">
          <cell r="E163">
            <v>33290202</v>
          </cell>
          <cell r="FK163">
            <v>1</v>
          </cell>
        </row>
        <row r="164">
          <cell r="E164">
            <v>33290202</v>
          </cell>
          <cell r="FK164">
            <v>0</v>
          </cell>
        </row>
        <row r="165">
          <cell r="E165">
            <v>33290202</v>
          </cell>
          <cell r="FK165">
            <v>0</v>
          </cell>
        </row>
        <row r="166">
          <cell r="E166">
            <v>33290202</v>
          </cell>
          <cell r="FK166">
            <v>0</v>
          </cell>
        </row>
        <row r="167">
          <cell r="E167">
            <v>33290202</v>
          </cell>
          <cell r="FK167">
            <v>0</v>
          </cell>
        </row>
        <row r="168">
          <cell r="E168">
            <v>33290203</v>
          </cell>
          <cell r="FK168">
            <v>0</v>
          </cell>
        </row>
        <row r="169">
          <cell r="E169">
            <v>33290203</v>
          </cell>
          <cell r="FK169">
            <v>0</v>
          </cell>
        </row>
        <row r="170">
          <cell r="E170">
            <v>33290203</v>
          </cell>
          <cell r="FK170">
            <v>0</v>
          </cell>
        </row>
        <row r="171">
          <cell r="E171">
            <v>33290203</v>
          </cell>
          <cell r="FK171">
            <v>0</v>
          </cell>
        </row>
        <row r="172">
          <cell r="E172">
            <v>33290203</v>
          </cell>
          <cell r="FK172">
            <v>0</v>
          </cell>
        </row>
        <row r="173">
          <cell r="E173">
            <v>33290203</v>
          </cell>
          <cell r="FK173">
            <v>0</v>
          </cell>
        </row>
        <row r="174">
          <cell r="E174">
            <v>33290203</v>
          </cell>
          <cell r="FK174">
            <v>0</v>
          </cell>
        </row>
        <row r="175">
          <cell r="E175">
            <v>33290203</v>
          </cell>
          <cell r="FK175">
            <v>0</v>
          </cell>
        </row>
        <row r="176">
          <cell r="E176">
            <v>33290203</v>
          </cell>
          <cell r="FK176">
            <v>0</v>
          </cell>
        </row>
        <row r="177">
          <cell r="E177">
            <v>33290203</v>
          </cell>
          <cell r="FK177">
            <v>0</v>
          </cell>
        </row>
        <row r="178">
          <cell r="E178">
            <v>33290203</v>
          </cell>
          <cell r="FK178">
            <v>0</v>
          </cell>
        </row>
        <row r="179">
          <cell r="E179">
            <v>33290203</v>
          </cell>
          <cell r="FK179">
            <v>0</v>
          </cell>
        </row>
        <row r="180">
          <cell r="E180">
            <v>33290203</v>
          </cell>
          <cell r="FK180">
            <v>0</v>
          </cell>
        </row>
        <row r="181">
          <cell r="E181">
            <v>33290203</v>
          </cell>
          <cell r="FK181">
            <v>0</v>
          </cell>
        </row>
        <row r="182">
          <cell r="E182">
            <v>33290203</v>
          </cell>
          <cell r="FK182">
            <v>0</v>
          </cell>
        </row>
        <row r="183">
          <cell r="E183">
            <v>33290203</v>
          </cell>
          <cell r="FK183">
            <v>0</v>
          </cell>
        </row>
        <row r="184">
          <cell r="E184">
            <v>33290203</v>
          </cell>
          <cell r="FK184">
            <v>0</v>
          </cell>
        </row>
        <row r="185">
          <cell r="E185">
            <v>33290203</v>
          </cell>
          <cell r="FK185">
            <v>0</v>
          </cell>
        </row>
        <row r="186">
          <cell r="E186">
            <v>33290203</v>
          </cell>
          <cell r="FK186">
            <v>0</v>
          </cell>
        </row>
        <row r="187">
          <cell r="E187">
            <v>33290203</v>
          </cell>
          <cell r="FK187">
            <v>0</v>
          </cell>
        </row>
        <row r="188">
          <cell r="E188">
            <v>33290203</v>
          </cell>
          <cell r="FK188">
            <v>0</v>
          </cell>
        </row>
        <row r="189">
          <cell r="E189">
            <v>33290203</v>
          </cell>
          <cell r="FK189">
            <v>0</v>
          </cell>
        </row>
        <row r="190">
          <cell r="E190">
            <v>33290203</v>
          </cell>
          <cell r="FK190">
            <v>1</v>
          </cell>
        </row>
        <row r="191">
          <cell r="E191">
            <v>33290203</v>
          </cell>
          <cell r="FK191">
            <v>0</v>
          </cell>
        </row>
        <row r="192">
          <cell r="E192">
            <v>33290203</v>
          </cell>
          <cell r="FK192">
            <v>0</v>
          </cell>
        </row>
        <row r="193">
          <cell r="E193">
            <v>33290203</v>
          </cell>
          <cell r="FK193">
            <v>0</v>
          </cell>
        </row>
        <row r="194">
          <cell r="E194">
            <v>33290203</v>
          </cell>
          <cell r="FK194">
            <v>0</v>
          </cell>
        </row>
        <row r="195">
          <cell r="E195">
            <v>33290203</v>
          </cell>
          <cell r="FK195">
            <v>0</v>
          </cell>
        </row>
        <row r="196">
          <cell r="E196">
            <v>33290203</v>
          </cell>
          <cell r="FK196">
            <v>0</v>
          </cell>
        </row>
        <row r="197">
          <cell r="E197">
            <v>33290203</v>
          </cell>
          <cell r="FK197">
            <v>1</v>
          </cell>
        </row>
        <row r="198">
          <cell r="E198">
            <v>33290203</v>
          </cell>
          <cell r="FK198">
            <v>0</v>
          </cell>
        </row>
        <row r="199">
          <cell r="E199">
            <v>33290203</v>
          </cell>
          <cell r="FK199">
            <v>0</v>
          </cell>
        </row>
        <row r="200">
          <cell r="E200">
            <v>33290203</v>
          </cell>
          <cell r="FK200">
            <v>0</v>
          </cell>
        </row>
        <row r="201">
          <cell r="E201">
            <v>33290203</v>
          </cell>
          <cell r="FK201">
            <v>0</v>
          </cell>
        </row>
        <row r="202">
          <cell r="E202">
            <v>33290203</v>
          </cell>
          <cell r="FK202">
            <v>0</v>
          </cell>
        </row>
        <row r="203">
          <cell r="E203">
            <v>33290203</v>
          </cell>
          <cell r="FK203">
            <v>0</v>
          </cell>
        </row>
        <row r="204">
          <cell r="E204">
            <v>33290203</v>
          </cell>
          <cell r="FK204">
            <v>0</v>
          </cell>
        </row>
        <row r="205">
          <cell r="E205">
            <v>33290204</v>
          </cell>
          <cell r="FK205">
            <v>1</v>
          </cell>
        </row>
        <row r="206">
          <cell r="E206">
            <v>33290204</v>
          </cell>
          <cell r="FK206">
            <v>0</v>
          </cell>
        </row>
        <row r="207">
          <cell r="E207">
            <v>33290204</v>
          </cell>
          <cell r="FK207">
            <v>0</v>
          </cell>
        </row>
        <row r="208">
          <cell r="E208">
            <v>33290204</v>
          </cell>
          <cell r="FK208">
            <v>0</v>
          </cell>
        </row>
        <row r="209">
          <cell r="E209">
            <v>33290204</v>
          </cell>
          <cell r="FK209">
            <v>1</v>
          </cell>
        </row>
        <row r="210">
          <cell r="E210">
            <v>33290204</v>
          </cell>
          <cell r="FK210">
            <v>1</v>
          </cell>
        </row>
        <row r="211">
          <cell r="E211">
            <v>33290204</v>
          </cell>
          <cell r="FK211">
            <v>1</v>
          </cell>
        </row>
        <row r="212">
          <cell r="E212">
            <v>33290204</v>
          </cell>
          <cell r="FK212">
            <v>1</v>
          </cell>
        </row>
        <row r="213">
          <cell r="E213">
            <v>33290204</v>
          </cell>
          <cell r="FK213">
            <v>2</v>
          </cell>
        </row>
        <row r="214">
          <cell r="E214">
            <v>33290204</v>
          </cell>
          <cell r="FK214">
            <v>0</v>
          </cell>
        </row>
        <row r="215">
          <cell r="E215">
            <v>33290204</v>
          </cell>
          <cell r="FK215">
            <v>1</v>
          </cell>
        </row>
        <row r="216">
          <cell r="E216">
            <v>33290204</v>
          </cell>
          <cell r="FK216">
            <v>1</v>
          </cell>
        </row>
        <row r="217">
          <cell r="E217">
            <v>33290204</v>
          </cell>
          <cell r="FK217">
            <v>1</v>
          </cell>
        </row>
        <row r="218">
          <cell r="E218">
            <v>33290204</v>
          </cell>
          <cell r="FK218">
            <v>0</v>
          </cell>
        </row>
        <row r="219">
          <cell r="E219">
            <v>33290204</v>
          </cell>
          <cell r="FK219">
            <v>0</v>
          </cell>
        </row>
        <row r="220">
          <cell r="E220">
            <v>33290204</v>
          </cell>
          <cell r="FK220">
            <v>0</v>
          </cell>
        </row>
        <row r="221">
          <cell r="E221">
            <v>33290204</v>
          </cell>
          <cell r="FK221">
            <v>1</v>
          </cell>
        </row>
        <row r="222">
          <cell r="E222">
            <v>33290204</v>
          </cell>
          <cell r="FK222">
            <v>0</v>
          </cell>
        </row>
        <row r="223">
          <cell r="E223">
            <v>33290204</v>
          </cell>
          <cell r="FK223">
            <v>0</v>
          </cell>
        </row>
        <row r="224">
          <cell r="E224">
            <v>33290204</v>
          </cell>
          <cell r="FK224">
            <v>0</v>
          </cell>
        </row>
        <row r="225">
          <cell r="E225">
            <v>33290204</v>
          </cell>
          <cell r="FK225">
            <v>0</v>
          </cell>
        </row>
        <row r="226">
          <cell r="E226">
            <v>33290204</v>
          </cell>
          <cell r="FK226">
            <v>0</v>
          </cell>
        </row>
        <row r="227">
          <cell r="E227">
            <v>33290204</v>
          </cell>
          <cell r="FK227">
            <v>0</v>
          </cell>
        </row>
        <row r="228">
          <cell r="E228">
            <v>33290204</v>
          </cell>
          <cell r="FK228">
            <v>0</v>
          </cell>
        </row>
        <row r="229">
          <cell r="E229">
            <v>33290204</v>
          </cell>
          <cell r="FK229">
            <v>0</v>
          </cell>
        </row>
        <row r="230">
          <cell r="E230">
            <v>33290204</v>
          </cell>
          <cell r="FK230">
            <v>0</v>
          </cell>
        </row>
        <row r="231">
          <cell r="E231">
            <v>33290204</v>
          </cell>
          <cell r="FK231">
            <v>0</v>
          </cell>
        </row>
        <row r="232">
          <cell r="E232">
            <v>33290204</v>
          </cell>
          <cell r="FK232">
            <v>0</v>
          </cell>
        </row>
        <row r="233">
          <cell r="E233">
            <v>33290204</v>
          </cell>
          <cell r="FK233">
            <v>1</v>
          </cell>
        </row>
        <row r="234">
          <cell r="E234">
            <v>33290204</v>
          </cell>
          <cell r="FK234">
            <v>0</v>
          </cell>
        </row>
        <row r="235">
          <cell r="E235">
            <v>33290204</v>
          </cell>
          <cell r="FK235">
            <v>1</v>
          </cell>
        </row>
        <row r="236">
          <cell r="E236">
            <v>33290204</v>
          </cell>
          <cell r="FK236">
            <v>0</v>
          </cell>
        </row>
        <row r="237">
          <cell r="E237">
            <v>33290204</v>
          </cell>
          <cell r="FK237">
            <v>0</v>
          </cell>
        </row>
        <row r="238">
          <cell r="E238">
            <v>33290204</v>
          </cell>
          <cell r="FK238">
            <v>0</v>
          </cell>
        </row>
        <row r="239">
          <cell r="E239">
            <v>33290204</v>
          </cell>
          <cell r="FK239">
            <v>0</v>
          </cell>
        </row>
        <row r="240">
          <cell r="E240">
            <v>33290204</v>
          </cell>
          <cell r="FK240">
            <v>0</v>
          </cell>
        </row>
        <row r="241">
          <cell r="E241">
            <v>33290204</v>
          </cell>
          <cell r="FK241">
            <v>1</v>
          </cell>
        </row>
        <row r="242">
          <cell r="E242">
            <v>33290205</v>
          </cell>
          <cell r="FK242">
            <v>1</v>
          </cell>
        </row>
        <row r="243">
          <cell r="E243">
            <v>33290205</v>
          </cell>
          <cell r="FK243">
            <v>3</v>
          </cell>
        </row>
        <row r="244">
          <cell r="E244">
            <v>33290205</v>
          </cell>
          <cell r="FK244">
            <v>0</v>
          </cell>
        </row>
        <row r="245">
          <cell r="E245">
            <v>33290205</v>
          </cell>
          <cell r="FK245">
            <v>0</v>
          </cell>
        </row>
        <row r="246">
          <cell r="E246">
            <v>33290205</v>
          </cell>
          <cell r="FK246">
            <v>0</v>
          </cell>
        </row>
        <row r="247">
          <cell r="E247">
            <v>33290205</v>
          </cell>
          <cell r="FK247">
            <v>0</v>
          </cell>
        </row>
        <row r="248">
          <cell r="E248">
            <v>33290205</v>
          </cell>
          <cell r="FK248">
            <v>0</v>
          </cell>
        </row>
        <row r="249">
          <cell r="E249">
            <v>33290205</v>
          </cell>
          <cell r="FK249">
            <v>0</v>
          </cell>
        </row>
        <row r="250">
          <cell r="E250">
            <v>33290205</v>
          </cell>
          <cell r="FK250">
            <v>1</v>
          </cell>
        </row>
        <row r="251">
          <cell r="E251">
            <v>33290205</v>
          </cell>
          <cell r="FK251">
            <v>1</v>
          </cell>
        </row>
        <row r="252">
          <cell r="E252">
            <v>33290205</v>
          </cell>
          <cell r="FK252">
            <v>0</v>
          </cell>
        </row>
        <row r="253">
          <cell r="E253">
            <v>33290205</v>
          </cell>
          <cell r="FK253">
            <v>0</v>
          </cell>
        </row>
        <row r="254">
          <cell r="E254">
            <v>33290205</v>
          </cell>
          <cell r="FK254">
            <v>0</v>
          </cell>
        </row>
        <row r="255">
          <cell r="E255">
            <v>33290205</v>
          </cell>
          <cell r="FK255">
            <v>0</v>
          </cell>
        </row>
        <row r="256">
          <cell r="E256">
            <v>33290205</v>
          </cell>
          <cell r="FK256">
            <v>0</v>
          </cell>
        </row>
        <row r="257">
          <cell r="E257">
            <v>33290205</v>
          </cell>
          <cell r="FK257">
            <v>0</v>
          </cell>
        </row>
        <row r="258">
          <cell r="E258">
            <v>33290205</v>
          </cell>
          <cell r="FK258">
            <v>1</v>
          </cell>
        </row>
        <row r="259">
          <cell r="E259">
            <v>33290205</v>
          </cell>
          <cell r="FK259">
            <v>1</v>
          </cell>
        </row>
        <row r="260">
          <cell r="E260">
            <v>33290205</v>
          </cell>
          <cell r="FK260">
            <v>0</v>
          </cell>
        </row>
        <row r="261">
          <cell r="E261">
            <v>33290205</v>
          </cell>
          <cell r="FK261">
            <v>0</v>
          </cell>
        </row>
        <row r="262">
          <cell r="E262">
            <v>33290205</v>
          </cell>
          <cell r="FK262">
            <v>0</v>
          </cell>
        </row>
        <row r="263">
          <cell r="E263">
            <v>33290205</v>
          </cell>
          <cell r="FK263">
            <v>0</v>
          </cell>
        </row>
        <row r="264">
          <cell r="E264">
            <v>33290205</v>
          </cell>
          <cell r="FK264">
            <v>0</v>
          </cell>
        </row>
        <row r="265">
          <cell r="E265">
            <v>33290205</v>
          </cell>
          <cell r="FK265">
            <v>0</v>
          </cell>
        </row>
        <row r="266">
          <cell r="E266">
            <v>33290205</v>
          </cell>
          <cell r="FK266">
            <v>0</v>
          </cell>
        </row>
        <row r="267">
          <cell r="E267">
            <v>33290205</v>
          </cell>
          <cell r="FK267">
            <v>0</v>
          </cell>
        </row>
        <row r="268">
          <cell r="E268">
            <v>33290205</v>
          </cell>
          <cell r="FK268">
            <v>0</v>
          </cell>
        </row>
        <row r="269">
          <cell r="E269">
            <v>33290205</v>
          </cell>
          <cell r="FK269">
            <v>0</v>
          </cell>
        </row>
        <row r="270">
          <cell r="E270">
            <v>33290205</v>
          </cell>
          <cell r="FK270">
            <v>0</v>
          </cell>
        </row>
        <row r="271">
          <cell r="E271">
            <v>33290205</v>
          </cell>
          <cell r="FK271">
            <v>0</v>
          </cell>
        </row>
        <row r="272">
          <cell r="E272">
            <v>33290205</v>
          </cell>
          <cell r="FK272">
            <v>0</v>
          </cell>
        </row>
        <row r="273">
          <cell r="E273">
            <v>33290205</v>
          </cell>
          <cell r="FK273">
            <v>0</v>
          </cell>
        </row>
        <row r="274">
          <cell r="E274">
            <v>33290205</v>
          </cell>
          <cell r="FK274">
            <v>0</v>
          </cell>
        </row>
        <row r="275">
          <cell r="E275">
            <v>33290205</v>
          </cell>
          <cell r="FK275">
            <v>0</v>
          </cell>
        </row>
        <row r="276">
          <cell r="E276">
            <v>33290205</v>
          </cell>
          <cell r="FK276">
            <v>0</v>
          </cell>
        </row>
        <row r="277">
          <cell r="E277">
            <v>33290205</v>
          </cell>
          <cell r="FK277">
            <v>0</v>
          </cell>
        </row>
        <row r="278">
          <cell r="E278">
            <v>33290205</v>
          </cell>
          <cell r="FK278">
            <v>0</v>
          </cell>
        </row>
        <row r="279">
          <cell r="E279">
            <v>33290205</v>
          </cell>
          <cell r="FK279">
            <v>0</v>
          </cell>
        </row>
        <row r="280">
          <cell r="E280">
            <v>33290205</v>
          </cell>
          <cell r="FK280">
            <v>0</v>
          </cell>
        </row>
        <row r="281">
          <cell r="E281">
            <v>33290205</v>
          </cell>
          <cell r="FK281">
            <v>0</v>
          </cell>
        </row>
        <row r="282">
          <cell r="E282">
            <v>33290205</v>
          </cell>
          <cell r="FK282">
            <v>0</v>
          </cell>
        </row>
        <row r="283">
          <cell r="E283">
            <v>33290205</v>
          </cell>
          <cell r="FK283">
            <v>0</v>
          </cell>
        </row>
        <row r="284">
          <cell r="E284">
            <v>33290205</v>
          </cell>
          <cell r="FK284">
            <v>0</v>
          </cell>
        </row>
        <row r="285">
          <cell r="E285">
            <v>33290205</v>
          </cell>
          <cell r="FK285">
            <v>0</v>
          </cell>
        </row>
        <row r="286">
          <cell r="E286">
            <v>33290205</v>
          </cell>
          <cell r="FK286">
            <v>0</v>
          </cell>
        </row>
        <row r="287">
          <cell r="E287">
            <v>33290206</v>
          </cell>
          <cell r="FK287">
            <v>1</v>
          </cell>
        </row>
        <row r="288">
          <cell r="E288">
            <v>33290206</v>
          </cell>
          <cell r="FK288">
            <v>0</v>
          </cell>
        </row>
        <row r="289">
          <cell r="E289">
            <v>33290206</v>
          </cell>
          <cell r="FK289">
            <v>0</v>
          </cell>
        </row>
        <row r="290">
          <cell r="E290">
            <v>33290206</v>
          </cell>
          <cell r="FK290">
            <v>0</v>
          </cell>
        </row>
        <row r="291">
          <cell r="E291">
            <v>33290206</v>
          </cell>
          <cell r="FK291">
            <v>1</v>
          </cell>
        </row>
        <row r="292">
          <cell r="E292">
            <v>33290206</v>
          </cell>
          <cell r="FK292">
            <v>1</v>
          </cell>
        </row>
        <row r="293">
          <cell r="E293">
            <v>33290206</v>
          </cell>
          <cell r="FK293">
            <v>0</v>
          </cell>
        </row>
        <row r="294">
          <cell r="E294">
            <v>33290206</v>
          </cell>
          <cell r="FK294">
            <v>1</v>
          </cell>
        </row>
        <row r="295">
          <cell r="E295">
            <v>33290206</v>
          </cell>
          <cell r="FK295">
            <v>1</v>
          </cell>
        </row>
        <row r="296">
          <cell r="E296">
            <v>33290206</v>
          </cell>
          <cell r="FK296">
            <v>0</v>
          </cell>
        </row>
        <row r="297">
          <cell r="E297">
            <v>33290206</v>
          </cell>
          <cell r="FK297">
            <v>0</v>
          </cell>
        </row>
        <row r="298">
          <cell r="E298">
            <v>33290206</v>
          </cell>
          <cell r="FK298">
            <v>0</v>
          </cell>
        </row>
        <row r="299">
          <cell r="E299">
            <v>33290206</v>
          </cell>
          <cell r="FK299">
            <v>1</v>
          </cell>
        </row>
        <row r="300">
          <cell r="E300">
            <v>33290206</v>
          </cell>
          <cell r="FK300">
            <v>0</v>
          </cell>
        </row>
        <row r="301">
          <cell r="E301">
            <v>33290206</v>
          </cell>
          <cell r="FK301">
            <v>0</v>
          </cell>
        </row>
        <row r="302">
          <cell r="E302">
            <v>33290206</v>
          </cell>
          <cell r="FK302">
            <v>0</v>
          </cell>
        </row>
        <row r="303">
          <cell r="E303">
            <v>33290206</v>
          </cell>
          <cell r="FK303">
            <v>1</v>
          </cell>
        </row>
        <row r="304">
          <cell r="E304">
            <v>33290206</v>
          </cell>
          <cell r="FK304">
            <v>0</v>
          </cell>
        </row>
        <row r="305">
          <cell r="E305">
            <v>33290206</v>
          </cell>
          <cell r="FK305">
            <v>0</v>
          </cell>
        </row>
        <row r="306">
          <cell r="E306">
            <v>33290206</v>
          </cell>
          <cell r="FK306">
            <v>1</v>
          </cell>
        </row>
        <row r="307">
          <cell r="E307">
            <v>33290206</v>
          </cell>
          <cell r="FK307">
            <v>0</v>
          </cell>
        </row>
        <row r="308">
          <cell r="E308">
            <v>33290207</v>
          </cell>
          <cell r="FK308">
            <v>0</v>
          </cell>
        </row>
        <row r="309">
          <cell r="E309">
            <v>33290207</v>
          </cell>
          <cell r="FK309">
            <v>0</v>
          </cell>
        </row>
        <row r="310">
          <cell r="E310">
            <v>33290207</v>
          </cell>
          <cell r="FK310">
            <v>0</v>
          </cell>
        </row>
        <row r="311">
          <cell r="E311">
            <v>33290207</v>
          </cell>
          <cell r="FK311">
            <v>0</v>
          </cell>
        </row>
        <row r="312">
          <cell r="E312">
            <v>33290207</v>
          </cell>
          <cell r="FK312">
            <v>0</v>
          </cell>
        </row>
        <row r="313">
          <cell r="E313">
            <v>33290207</v>
          </cell>
          <cell r="FK313">
            <v>0</v>
          </cell>
        </row>
        <row r="314">
          <cell r="E314">
            <v>33290207</v>
          </cell>
          <cell r="FK314">
            <v>0</v>
          </cell>
        </row>
        <row r="315">
          <cell r="E315">
            <v>33290207</v>
          </cell>
          <cell r="FK315">
            <v>0</v>
          </cell>
        </row>
        <row r="316">
          <cell r="E316">
            <v>33290207</v>
          </cell>
          <cell r="FK316">
            <v>0</v>
          </cell>
        </row>
        <row r="317">
          <cell r="E317">
            <v>33290207</v>
          </cell>
          <cell r="FK317">
            <v>0</v>
          </cell>
        </row>
        <row r="318">
          <cell r="E318">
            <v>33290207</v>
          </cell>
          <cell r="FK318">
            <v>0</v>
          </cell>
        </row>
        <row r="319">
          <cell r="E319">
            <v>33290207</v>
          </cell>
          <cell r="FK319">
            <v>0</v>
          </cell>
        </row>
        <row r="320">
          <cell r="E320">
            <v>33290207</v>
          </cell>
          <cell r="FK320">
            <v>0</v>
          </cell>
        </row>
        <row r="321">
          <cell r="E321">
            <v>33290207</v>
          </cell>
          <cell r="FK321">
            <v>0</v>
          </cell>
        </row>
        <row r="322">
          <cell r="E322">
            <v>33290207</v>
          </cell>
          <cell r="FK322">
            <v>0</v>
          </cell>
        </row>
        <row r="323">
          <cell r="E323">
            <v>33290207</v>
          </cell>
          <cell r="FK323">
            <v>0</v>
          </cell>
        </row>
        <row r="324">
          <cell r="E324">
            <v>33290207</v>
          </cell>
          <cell r="FK324">
            <v>0</v>
          </cell>
        </row>
        <row r="325">
          <cell r="E325">
            <v>33290207</v>
          </cell>
          <cell r="FK325">
            <v>0</v>
          </cell>
        </row>
        <row r="326">
          <cell r="E326">
            <v>33290207</v>
          </cell>
          <cell r="FK326">
            <v>0</v>
          </cell>
        </row>
        <row r="327">
          <cell r="E327">
            <v>33290207</v>
          </cell>
          <cell r="FK327">
            <v>0</v>
          </cell>
        </row>
        <row r="328">
          <cell r="E328">
            <v>33290207</v>
          </cell>
          <cell r="FK328">
            <v>0</v>
          </cell>
        </row>
        <row r="329">
          <cell r="E329">
            <v>33290207</v>
          </cell>
          <cell r="FK329">
            <v>0</v>
          </cell>
        </row>
        <row r="330">
          <cell r="E330">
            <v>33290207</v>
          </cell>
          <cell r="FK330">
            <v>0</v>
          </cell>
        </row>
        <row r="331">
          <cell r="E331">
            <v>33290207</v>
          </cell>
          <cell r="FK331">
            <v>0</v>
          </cell>
        </row>
        <row r="332">
          <cell r="E332">
            <v>33290207</v>
          </cell>
          <cell r="FK332">
            <v>1</v>
          </cell>
        </row>
        <row r="333">
          <cell r="E333">
            <v>33290207</v>
          </cell>
          <cell r="FK333">
            <v>1</v>
          </cell>
        </row>
        <row r="334">
          <cell r="E334">
            <v>33290207</v>
          </cell>
          <cell r="FK334">
            <v>0</v>
          </cell>
        </row>
        <row r="335">
          <cell r="E335">
            <v>33290207</v>
          </cell>
          <cell r="FK335">
            <v>0</v>
          </cell>
        </row>
        <row r="336">
          <cell r="E336">
            <v>33290207</v>
          </cell>
          <cell r="FK336">
            <v>0</v>
          </cell>
        </row>
        <row r="337">
          <cell r="E337">
            <v>33290207</v>
          </cell>
          <cell r="FK337">
            <v>0</v>
          </cell>
        </row>
        <row r="338">
          <cell r="E338">
            <v>33290207</v>
          </cell>
          <cell r="FK338">
            <v>0</v>
          </cell>
        </row>
        <row r="339">
          <cell r="E339">
            <v>33290207</v>
          </cell>
          <cell r="FK339">
            <v>0</v>
          </cell>
        </row>
        <row r="340">
          <cell r="E340">
            <v>33290207</v>
          </cell>
          <cell r="FK340">
            <v>0</v>
          </cell>
        </row>
        <row r="341">
          <cell r="E341">
            <v>33290207</v>
          </cell>
          <cell r="FK341">
            <v>0</v>
          </cell>
        </row>
        <row r="342">
          <cell r="E342">
            <v>33290207</v>
          </cell>
          <cell r="FK342">
            <v>0</v>
          </cell>
        </row>
        <row r="343">
          <cell r="E343">
            <v>33290207</v>
          </cell>
          <cell r="FK343">
            <v>0</v>
          </cell>
        </row>
        <row r="344">
          <cell r="E344">
            <v>33290207</v>
          </cell>
          <cell r="FK344">
            <v>0</v>
          </cell>
        </row>
        <row r="345">
          <cell r="E345">
            <v>33290207</v>
          </cell>
          <cell r="FK345">
            <v>0</v>
          </cell>
        </row>
        <row r="346">
          <cell r="E346">
            <v>33290207</v>
          </cell>
          <cell r="FK346">
            <v>0</v>
          </cell>
        </row>
        <row r="347">
          <cell r="E347">
            <v>33290207</v>
          </cell>
          <cell r="FK347">
            <v>0</v>
          </cell>
        </row>
        <row r="348">
          <cell r="E348">
            <v>33290207</v>
          </cell>
          <cell r="FK348">
            <v>0</v>
          </cell>
        </row>
        <row r="349">
          <cell r="E349">
            <v>33290207</v>
          </cell>
          <cell r="FK349">
            <v>0</v>
          </cell>
        </row>
        <row r="350">
          <cell r="E350">
            <v>33290207</v>
          </cell>
          <cell r="FK350">
            <v>0</v>
          </cell>
        </row>
        <row r="351">
          <cell r="E351">
            <v>33290207</v>
          </cell>
          <cell r="FK351">
            <v>0</v>
          </cell>
        </row>
        <row r="352">
          <cell r="E352">
            <v>33290207</v>
          </cell>
          <cell r="FK352">
            <v>0</v>
          </cell>
        </row>
        <row r="353">
          <cell r="E353">
            <v>33290207</v>
          </cell>
          <cell r="FK353">
            <v>0</v>
          </cell>
        </row>
        <row r="354">
          <cell r="E354">
            <v>33290207</v>
          </cell>
          <cell r="FK354">
            <v>0</v>
          </cell>
        </row>
        <row r="355">
          <cell r="E355">
            <v>33290207</v>
          </cell>
          <cell r="FK355">
            <v>0</v>
          </cell>
        </row>
        <row r="356">
          <cell r="E356">
            <v>33290207</v>
          </cell>
          <cell r="FK356">
            <v>0</v>
          </cell>
        </row>
        <row r="357">
          <cell r="E357">
            <v>33290207</v>
          </cell>
          <cell r="FK357">
            <v>0</v>
          </cell>
        </row>
        <row r="358">
          <cell r="E358">
            <v>33290207</v>
          </cell>
          <cell r="FK358">
            <v>0</v>
          </cell>
        </row>
        <row r="359">
          <cell r="E359">
            <v>33290207</v>
          </cell>
          <cell r="FK359">
            <v>0</v>
          </cell>
        </row>
        <row r="360">
          <cell r="E360">
            <v>33290207</v>
          </cell>
          <cell r="FK360">
            <v>0</v>
          </cell>
        </row>
        <row r="361">
          <cell r="E361">
            <v>33290207</v>
          </cell>
          <cell r="FK361">
            <v>0</v>
          </cell>
        </row>
        <row r="362">
          <cell r="E362">
            <v>33290207</v>
          </cell>
          <cell r="FK362">
            <v>0</v>
          </cell>
        </row>
        <row r="363">
          <cell r="E363">
            <v>33290207</v>
          </cell>
          <cell r="FK363">
            <v>0</v>
          </cell>
        </row>
        <row r="364">
          <cell r="E364">
            <v>33290207</v>
          </cell>
          <cell r="FK364">
            <v>0</v>
          </cell>
        </row>
        <row r="365">
          <cell r="E365">
            <v>33290207</v>
          </cell>
          <cell r="FK365">
            <v>0</v>
          </cell>
        </row>
        <row r="366">
          <cell r="E366">
            <v>33290207</v>
          </cell>
          <cell r="FK366">
            <v>0</v>
          </cell>
        </row>
        <row r="367">
          <cell r="E367">
            <v>33290207</v>
          </cell>
          <cell r="FK367">
            <v>0</v>
          </cell>
        </row>
        <row r="368">
          <cell r="E368">
            <v>33290207</v>
          </cell>
          <cell r="FK368">
            <v>0</v>
          </cell>
        </row>
        <row r="369">
          <cell r="E369">
            <v>33290207</v>
          </cell>
          <cell r="FK369">
            <v>0</v>
          </cell>
        </row>
        <row r="370">
          <cell r="E370">
            <v>33290207</v>
          </cell>
          <cell r="FK370">
            <v>0</v>
          </cell>
        </row>
        <row r="371">
          <cell r="E371">
            <v>33290207</v>
          </cell>
          <cell r="FK371">
            <v>0</v>
          </cell>
        </row>
        <row r="372">
          <cell r="E372">
            <v>33290207</v>
          </cell>
          <cell r="FK372">
            <v>0</v>
          </cell>
        </row>
        <row r="373">
          <cell r="E373">
            <v>33290207</v>
          </cell>
          <cell r="FK373">
            <v>0</v>
          </cell>
        </row>
        <row r="374">
          <cell r="E374">
            <v>33290207</v>
          </cell>
          <cell r="FK374">
            <v>0</v>
          </cell>
        </row>
        <row r="375">
          <cell r="E375">
            <v>33290207</v>
          </cell>
          <cell r="FK375">
            <v>0</v>
          </cell>
        </row>
        <row r="376">
          <cell r="E376">
            <v>33290207</v>
          </cell>
          <cell r="FK376">
            <v>0</v>
          </cell>
        </row>
        <row r="377">
          <cell r="E377">
            <v>33290208</v>
          </cell>
          <cell r="FK377">
            <v>0</v>
          </cell>
        </row>
        <row r="378">
          <cell r="E378">
            <v>33290208</v>
          </cell>
          <cell r="FK378">
            <v>0</v>
          </cell>
        </row>
        <row r="379">
          <cell r="E379">
            <v>33290208</v>
          </cell>
          <cell r="FK379">
            <v>0</v>
          </cell>
        </row>
        <row r="380">
          <cell r="E380">
            <v>33290208</v>
          </cell>
          <cell r="FK380">
            <v>0</v>
          </cell>
        </row>
        <row r="381">
          <cell r="E381">
            <v>33290208</v>
          </cell>
          <cell r="FK381">
            <v>0</v>
          </cell>
        </row>
        <row r="382">
          <cell r="E382">
            <v>33290208</v>
          </cell>
          <cell r="FK382">
            <v>0</v>
          </cell>
        </row>
        <row r="383">
          <cell r="E383">
            <v>33290208</v>
          </cell>
          <cell r="FK383">
            <v>0</v>
          </cell>
        </row>
        <row r="384">
          <cell r="E384">
            <v>33290208</v>
          </cell>
          <cell r="FK384">
            <v>0</v>
          </cell>
        </row>
        <row r="385">
          <cell r="E385">
            <v>33290208</v>
          </cell>
          <cell r="FK385">
            <v>0</v>
          </cell>
        </row>
        <row r="386">
          <cell r="E386">
            <v>33290208</v>
          </cell>
          <cell r="FK386">
            <v>0</v>
          </cell>
        </row>
        <row r="387">
          <cell r="E387">
            <v>33290208</v>
          </cell>
          <cell r="FK387">
            <v>0</v>
          </cell>
        </row>
        <row r="388">
          <cell r="E388">
            <v>33290208</v>
          </cell>
          <cell r="FK388">
            <v>0</v>
          </cell>
        </row>
        <row r="389">
          <cell r="E389">
            <v>33290208</v>
          </cell>
          <cell r="FK389">
            <v>0</v>
          </cell>
        </row>
        <row r="390">
          <cell r="E390">
            <v>33290208</v>
          </cell>
          <cell r="FK390">
            <v>0</v>
          </cell>
        </row>
        <row r="391">
          <cell r="E391">
            <v>33290208</v>
          </cell>
          <cell r="FK391">
            <v>0</v>
          </cell>
        </row>
        <row r="392">
          <cell r="E392">
            <v>33290208</v>
          </cell>
          <cell r="FK392">
            <v>0</v>
          </cell>
        </row>
        <row r="393">
          <cell r="E393">
            <v>33290208</v>
          </cell>
          <cell r="FK393">
            <v>0</v>
          </cell>
        </row>
        <row r="394">
          <cell r="E394">
            <v>33290208</v>
          </cell>
          <cell r="FK394">
            <v>0</v>
          </cell>
        </row>
        <row r="395">
          <cell r="E395">
            <v>33290208</v>
          </cell>
          <cell r="FK395">
            <v>0</v>
          </cell>
        </row>
        <row r="396">
          <cell r="E396">
            <v>33290208</v>
          </cell>
          <cell r="FK396">
            <v>0</v>
          </cell>
        </row>
        <row r="397">
          <cell r="E397">
            <v>33290208</v>
          </cell>
          <cell r="FK397">
            <v>0</v>
          </cell>
        </row>
        <row r="398">
          <cell r="E398">
            <v>33290208</v>
          </cell>
          <cell r="FK398">
            <v>0</v>
          </cell>
        </row>
        <row r="399">
          <cell r="E399">
            <v>33290208</v>
          </cell>
          <cell r="FK399">
            <v>0</v>
          </cell>
        </row>
        <row r="400">
          <cell r="E400">
            <v>33290208</v>
          </cell>
          <cell r="FK400">
            <v>0</v>
          </cell>
        </row>
        <row r="401">
          <cell r="E401">
            <v>33290208</v>
          </cell>
          <cell r="FK401">
            <v>0</v>
          </cell>
        </row>
        <row r="402">
          <cell r="E402">
            <v>33290209</v>
          </cell>
          <cell r="FK402">
            <v>0</v>
          </cell>
        </row>
        <row r="403">
          <cell r="E403">
            <v>33290209</v>
          </cell>
          <cell r="FK403">
            <v>0</v>
          </cell>
        </row>
        <row r="404">
          <cell r="E404">
            <v>33290209</v>
          </cell>
          <cell r="FK404">
            <v>1</v>
          </cell>
        </row>
        <row r="405">
          <cell r="E405">
            <v>33290209</v>
          </cell>
          <cell r="FK405">
            <v>1</v>
          </cell>
        </row>
        <row r="406">
          <cell r="E406">
            <v>33290209</v>
          </cell>
          <cell r="FK406">
            <v>0</v>
          </cell>
        </row>
        <row r="407">
          <cell r="E407">
            <v>33290209</v>
          </cell>
          <cell r="FK407">
            <v>0</v>
          </cell>
        </row>
        <row r="408">
          <cell r="E408">
            <v>33290209</v>
          </cell>
          <cell r="FK408">
            <v>0</v>
          </cell>
        </row>
        <row r="409">
          <cell r="E409">
            <v>33290209</v>
          </cell>
          <cell r="FK409">
            <v>0</v>
          </cell>
        </row>
        <row r="410">
          <cell r="E410">
            <v>33290209</v>
          </cell>
          <cell r="FK410">
            <v>0</v>
          </cell>
        </row>
        <row r="411">
          <cell r="E411">
            <v>33290209</v>
          </cell>
          <cell r="FK411">
            <v>0</v>
          </cell>
        </row>
        <row r="412">
          <cell r="E412">
            <v>33290209</v>
          </cell>
          <cell r="FK412">
            <v>0</v>
          </cell>
        </row>
        <row r="413">
          <cell r="E413">
            <v>33290209</v>
          </cell>
          <cell r="FK413">
            <v>0</v>
          </cell>
        </row>
        <row r="414">
          <cell r="E414">
            <v>33290209</v>
          </cell>
          <cell r="FK414">
            <v>0</v>
          </cell>
        </row>
        <row r="415">
          <cell r="E415">
            <v>33290209</v>
          </cell>
          <cell r="FK415">
            <v>0</v>
          </cell>
        </row>
        <row r="416">
          <cell r="E416">
            <v>33290209</v>
          </cell>
          <cell r="FK416">
            <v>1</v>
          </cell>
        </row>
        <row r="417">
          <cell r="E417">
            <v>33290209</v>
          </cell>
          <cell r="FK417">
            <v>0</v>
          </cell>
        </row>
        <row r="418">
          <cell r="E418">
            <v>33290209</v>
          </cell>
          <cell r="FK418">
            <v>0</v>
          </cell>
        </row>
        <row r="419">
          <cell r="E419">
            <v>33290209</v>
          </cell>
          <cell r="FK419">
            <v>0</v>
          </cell>
        </row>
        <row r="420">
          <cell r="E420">
            <v>33290209</v>
          </cell>
          <cell r="FK420">
            <v>0</v>
          </cell>
        </row>
        <row r="421">
          <cell r="E421">
            <v>33290210</v>
          </cell>
          <cell r="FK421">
            <v>0</v>
          </cell>
        </row>
        <row r="422">
          <cell r="E422">
            <v>33290210</v>
          </cell>
          <cell r="FK422">
            <v>0</v>
          </cell>
        </row>
        <row r="423">
          <cell r="E423">
            <v>33290210</v>
          </cell>
          <cell r="FK423">
            <v>0</v>
          </cell>
        </row>
        <row r="424">
          <cell r="E424">
            <v>33290210</v>
          </cell>
          <cell r="FK424">
            <v>0</v>
          </cell>
        </row>
        <row r="425">
          <cell r="E425">
            <v>33290210</v>
          </cell>
          <cell r="FK425">
            <v>0</v>
          </cell>
        </row>
        <row r="426">
          <cell r="E426">
            <v>33290210</v>
          </cell>
          <cell r="FK426">
            <v>0</v>
          </cell>
        </row>
        <row r="427">
          <cell r="E427">
            <v>33290210</v>
          </cell>
          <cell r="FK427">
            <v>0</v>
          </cell>
        </row>
        <row r="428">
          <cell r="E428">
            <v>33290210</v>
          </cell>
          <cell r="FK428">
            <v>0</v>
          </cell>
        </row>
        <row r="429">
          <cell r="E429">
            <v>33290210</v>
          </cell>
          <cell r="FK429">
            <v>0</v>
          </cell>
        </row>
        <row r="430">
          <cell r="E430">
            <v>33290210</v>
          </cell>
          <cell r="FK430">
            <v>0</v>
          </cell>
        </row>
        <row r="431">
          <cell r="E431">
            <v>33290210</v>
          </cell>
          <cell r="FK431">
            <v>0</v>
          </cell>
        </row>
        <row r="432">
          <cell r="E432">
            <v>33290210</v>
          </cell>
          <cell r="FK432">
            <v>0</v>
          </cell>
        </row>
        <row r="433">
          <cell r="E433">
            <v>33290210</v>
          </cell>
          <cell r="FK433">
            <v>0</v>
          </cell>
        </row>
        <row r="434">
          <cell r="E434">
            <v>33290210</v>
          </cell>
          <cell r="FK434">
            <v>0</v>
          </cell>
        </row>
        <row r="435">
          <cell r="E435">
            <v>33290210</v>
          </cell>
          <cell r="FK435">
            <v>0</v>
          </cell>
        </row>
        <row r="436">
          <cell r="E436">
            <v>33290210</v>
          </cell>
          <cell r="FK436">
            <v>0</v>
          </cell>
        </row>
        <row r="437">
          <cell r="E437">
            <v>33290210</v>
          </cell>
          <cell r="FK437">
            <v>1</v>
          </cell>
        </row>
        <row r="438">
          <cell r="E438">
            <v>33290210</v>
          </cell>
          <cell r="FK438">
            <v>0</v>
          </cell>
        </row>
        <row r="439">
          <cell r="E439">
            <v>33290210</v>
          </cell>
          <cell r="FK439">
            <v>0</v>
          </cell>
        </row>
        <row r="440">
          <cell r="E440">
            <v>33290210</v>
          </cell>
          <cell r="FK440">
            <v>0</v>
          </cell>
        </row>
        <row r="441">
          <cell r="E441">
            <v>33290210</v>
          </cell>
          <cell r="FK441">
            <v>0</v>
          </cell>
        </row>
        <row r="442">
          <cell r="E442">
            <v>33290210</v>
          </cell>
          <cell r="FK442">
            <v>0</v>
          </cell>
        </row>
        <row r="443">
          <cell r="E443">
            <v>33290210</v>
          </cell>
          <cell r="FK443">
            <v>0</v>
          </cell>
        </row>
        <row r="444">
          <cell r="E444">
            <v>33290210</v>
          </cell>
          <cell r="FK444">
            <v>0</v>
          </cell>
        </row>
        <row r="445">
          <cell r="E445">
            <v>33290210</v>
          </cell>
          <cell r="FK445">
            <v>0</v>
          </cell>
        </row>
        <row r="446">
          <cell r="E446">
            <v>33290210</v>
          </cell>
          <cell r="FK446">
            <v>0</v>
          </cell>
        </row>
        <row r="447">
          <cell r="E447">
            <v>33290210</v>
          </cell>
          <cell r="FK447">
            <v>0</v>
          </cell>
        </row>
        <row r="448">
          <cell r="E448">
            <v>33290210</v>
          </cell>
          <cell r="FK448">
            <v>0</v>
          </cell>
        </row>
        <row r="449">
          <cell r="E449">
            <v>33290210</v>
          </cell>
          <cell r="FK449">
            <v>1</v>
          </cell>
        </row>
        <row r="450">
          <cell r="E450">
            <v>33290210</v>
          </cell>
          <cell r="FK450">
            <v>0</v>
          </cell>
        </row>
        <row r="451">
          <cell r="E451">
            <v>33290210</v>
          </cell>
          <cell r="FK451">
            <v>0</v>
          </cell>
        </row>
        <row r="452">
          <cell r="E452">
            <v>33290211</v>
          </cell>
          <cell r="FK452">
            <v>0</v>
          </cell>
        </row>
        <row r="453">
          <cell r="E453">
            <v>33290211</v>
          </cell>
          <cell r="FK453">
            <v>0</v>
          </cell>
        </row>
        <row r="454">
          <cell r="E454">
            <v>33290211</v>
          </cell>
          <cell r="FK454">
            <v>0</v>
          </cell>
        </row>
        <row r="455">
          <cell r="E455">
            <v>33290211</v>
          </cell>
          <cell r="FK455">
            <v>0</v>
          </cell>
        </row>
        <row r="456">
          <cell r="E456">
            <v>33290211</v>
          </cell>
          <cell r="FK456">
            <v>0</v>
          </cell>
        </row>
        <row r="457">
          <cell r="E457">
            <v>33290211</v>
          </cell>
          <cell r="FK457">
            <v>0</v>
          </cell>
        </row>
        <row r="458">
          <cell r="E458">
            <v>33290211</v>
          </cell>
          <cell r="FK458">
            <v>0</v>
          </cell>
        </row>
        <row r="459">
          <cell r="E459">
            <v>33290211</v>
          </cell>
          <cell r="FK459">
            <v>0</v>
          </cell>
        </row>
        <row r="460">
          <cell r="E460">
            <v>33290211</v>
          </cell>
          <cell r="FK460">
            <v>0</v>
          </cell>
        </row>
        <row r="461">
          <cell r="E461">
            <v>33290211</v>
          </cell>
          <cell r="FK461">
            <v>0</v>
          </cell>
        </row>
        <row r="462">
          <cell r="E462">
            <v>33290211</v>
          </cell>
          <cell r="FK462">
            <v>0</v>
          </cell>
        </row>
        <row r="463">
          <cell r="E463">
            <v>33290211</v>
          </cell>
          <cell r="FK463">
            <v>0</v>
          </cell>
        </row>
        <row r="464">
          <cell r="E464">
            <v>33290211</v>
          </cell>
          <cell r="FK464">
            <v>0</v>
          </cell>
        </row>
        <row r="465">
          <cell r="E465">
            <v>33290211</v>
          </cell>
          <cell r="FK465">
            <v>0</v>
          </cell>
        </row>
        <row r="466">
          <cell r="E466">
            <v>33290211</v>
          </cell>
          <cell r="FK466">
            <v>0</v>
          </cell>
        </row>
        <row r="467">
          <cell r="E467">
            <v>33290211</v>
          </cell>
          <cell r="FK467">
            <v>0</v>
          </cell>
        </row>
        <row r="468">
          <cell r="E468">
            <v>33290211</v>
          </cell>
          <cell r="FK468">
            <v>0</v>
          </cell>
        </row>
        <row r="469">
          <cell r="E469">
            <v>33290212</v>
          </cell>
          <cell r="FK469">
            <v>1</v>
          </cell>
        </row>
        <row r="470">
          <cell r="E470">
            <v>33290212</v>
          </cell>
          <cell r="FK470">
            <v>0</v>
          </cell>
        </row>
        <row r="471">
          <cell r="E471">
            <v>33290212</v>
          </cell>
          <cell r="FK471">
            <v>1</v>
          </cell>
        </row>
        <row r="472">
          <cell r="E472">
            <v>33290212</v>
          </cell>
          <cell r="FK472">
            <v>0</v>
          </cell>
        </row>
        <row r="473">
          <cell r="E473">
            <v>33290212</v>
          </cell>
          <cell r="FK473">
            <v>0</v>
          </cell>
        </row>
        <row r="474">
          <cell r="E474">
            <v>33290212</v>
          </cell>
          <cell r="FK474">
            <v>1</v>
          </cell>
        </row>
        <row r="475">
          <cell r="E475">
            <v>33290212</v>
          </cell>
          <cell r="FK475">
            <v>0</v>
          </cell>
        </row>
        <row r="476">
          <cell r="E476">
            <v>33290212</v>
          </cell>
          <cell r="FK476">
            <v>0</v>
          </cell>
        </row>
        <row r="477">
          <cell r="E477">
            <v>33290212</v>
          </cell>
          <cell r="FK477">
            <v>1</v>
          </cell>
        </row>
        <row r="478">
          <cell r="E478">
            <v>33290212</v>
          </cell>
          <cell r="FK478">
            <v>1</v>
          </cell>
        </row>
        <row r="479">
          <cell r="E479">
            <v>33290212</v>
          </cell>
          <cell r="FK479">
            <v>0</v>
          </cell>
        </row>
        <row r="480">
          <cell r="E480">
            <v>33290212</v>
          </cell>
          <cell r="FK480">
            <v>1</v>
          </cell>
        </row>
        <row r="481">
          <cell r="E481">
            <v>33290212</v>
          </cell>
          <cell r="FK481">
            <v>0</v>
          </cell>
        </row>
        <row r="482">
          <cell r="E482">
            <v>33290212</v>
          </cell>
          <cell r="FK482">
            <v>0</v>
          </cell>
        </row>
        <row r="483">
          <cell r="E483">
            <v>33290212</v>
          </cell>
          <cell r="FK483">
            <v>1</v>
          </cell>
        </row>
        <row r="484">
          <cell r="E484">
            <v>33290212</v>
          </cell>
          <cell r="FK484">
            <v>0</v>
          </cell>
        </row>
        <row r="485">
          <cell r="E485">
            <v>33290212</v>
          </cell>
          <cell r="FK485">
            <v>0</v>
          </cell>
        </row>
        <row r="486">
          <cell r="E486">
            <v>33290212</v>
          </cell>
          <cell r="FK486">
            <v>1</v>
          </cell>
        </row>
        <row r="487">
          <cell r="E487">
            <v>33290212</v>
          </cell>
          <cell r="FK487">
            <v>0</v>
          </cell>
        </row>
        <row r="488">
          <cell r="E488">
            <v>33290212</v>
          </cell>
          <cell r="FK488">
            <v>0</v>
          </cell>
        </row>
        <row r="489">
          <cell r="E489">
            <v>33290212</v>
          </cell>
          <cell r="FK489">
            <v>1</v>
          </cell>
        </row>
        <row r="490">
          <cell r="E490">
            <v>33290212</v>
          </cell>
          <cell r="FK490">
            <v>0</v>
          </cell>
        </row>
        <row r="491">
          <cell r="E491">
            <v>33290212</v>
          </cell>
          <cell r="FK491">
            <v>0</v>
          </cell>
        </row>
        <row r="492">
          <cell r="E492">
            <v>33290212</v>
          </cell>
          <cell r="FK492">
            <v>1</v>
          </cell>
        </row>
        <row r="493">
          <cell r="E493">
            <v>33290213</v>
          </cell>
          <cell r="FK493">
            <v>0</v>
          </cell>
        </row>
        <row r="494">
          <cell r="E494">
            <v>33290213</v>
          </cell>
          <cell r="FK494">
            <v>0</v>
          </cell>
        </row>
        <row r="495">
          <cell r="E495">
            <v>33290213</v>
          </cell>
          <cell r="FK495">
            <v>0</v>
          </cell>
        </row>
        <row r="496">
          <cell r="E496">
            <v>33290213</v>
          </cell>
          <cell r="FK496">
            <v>0</v>
          </cell>
        </row>
        <row r="497">
          <cell r="E497">
            <v>33290213</v>
          </cell>
          <cell r="FK497">
            <v>0</v>
          </cell>
        </row>
        <row r="498">
          <cell r="E498">
            <v>33290213</v>
          </cell>
          <cell r="FK498">
            <v>0</v>
          </cell>
        </row>
        <row r="499">
          <cell r="E499">
            <v>33290213</v>
          </cell>
          <cell r="FK499">
            <v>0</v>
          </cell>
        </row>
        <row r="500">
          <cell r="E500">
            <v>33290213</v>
          </cell>
          <cell r="FK500">
            <v>0</v>
          </cell>
        </row>
        <row r="501">
          <cell r="E501">
            <v>33290213</v>
          </cell>
          <cell r="FK501">
            <v>0</v>
          </cell>
        </row>
        <row r="502">
          <cell r="E502">
            <v>33290213</v>
          </cell>
          <cell r="FK502">
            <v>0</v>
          </cell>
        </row>
        <row r="503">
          <cell r="E503">
            <v>33290213</v>
          </cell>
          <cell r="FK503">
            <v>0</v>
          </cell>
        </row>
        <row r="504">
          <cell r="E504">
            <v>33290213</v>
          </cell>
          <cell r="FK504">
            <v>0</v>
          </cell>
        </row>
        <row r="505">
          <cell r="E505">
            <v>33290213</v>
          </cell>
          <cell r="FK505">
            <v>0</v>
          </cell>
        </row>
        <row r="506">
          <cell r="E506">
            <v>33290213</v>
          </cell>
          <cell r="FK506">
            <v>1</v>
          </cell>
        </row>
        <row r="507">
          <cell r="E507">
            <v>33290213</v>
          </cell>
          <cell r="FK507">
            <v>0</v>
          </cell>
        </row>
        <row r="508">
          <cell r="E508">
            <v>33290213</v>
          </cell>
          <cell r="FK508">
            <v>0</v>
          </cell>
        </row>
        <row r="509">
          <cell r="E509">
            <v>33290213</v>
          </cell>
          <cell r="FK509">
            <v>1</v>
          </cell>
        </row>
        <row r="510">
          <cell r="E510">
            <v>33290213</v>
          </cell>
          <cell r="FK510">
            <v>0</v>
          </cell>
        </row>
        <row r="511">
          <cell r="E511">
            <v>33290213</v>
          </cell>
          <cell r="FK511">
            <v>0</v>
          </cell>
        </row>
        <row r="512">
          <cell r="E512">
            <v>33290213</v>
          </cell>
          <cell r="FK512">
            <v>0</v>
          </cell>
        </row>
        <row r="513">
          <cell r="E513">
            <v>33290213</v>
          </cell>
          <cell r="FK513">
            <v>0</v>
          </cell>
        </row>
        <row r="514">
          <cell r="E514">
            <v>33290213</v>
          </cell>
          <cell r="FK514">
            <v>0</v>
          </cell>
        </row>
        <row r="515">
          <cell r="E515">
            <v>33290213</v>
          </cell>
          <cell r="FK515">
            <v>0</v>
          </cell>
        </row>
        <row r="516">
          <cell r="E516">
            <v>33290213</v>
          </cell>
          <cell r="FK516">
            <v>0</v>
          </cell>
        </row>
        <row r="517">
          <cell r="E517">
            <v>33290214</v>
          </cell>
          <cell r="FK517">
            <v>0</v>
          </cell>
        </row>
        <row r="518">
          <cell r="E518">
            <v>33290214</v>
          </cell>
          <cell r="FK518">
            <v>0</v>
          </cell>
        </row>
        <row r="519">
          <cell r="E519">
            <v>33290214</v>
          </cell>
          <cell r="FK519">
            <v>1</v>
          </cell>
        </row>
        <row r="520">
          <cell r="E520">
            <v>33290214</v>
          </cell>
          <cell r="FK520">
            <v>0</v>
          </cell>
        </row>
        <row r="521">
          <cell r="E521">
            <v>33290214</v>
          </cell>
          <cell r="FK521">
            <v>0</v>
          </cell>
        </row>
        <row r="522">
          <cell r="E522">
            <v>33290214</v>
          </cell>
          <cell r="FK522">
            <v>0</v>
          </cell>
        </row>
        <row r="523">
          <cell r="E523">
            <v>33290214</v>
          </cell>
          <cell r="FK523">
            <v>0</v>
          </cell>
        </row>
        <row r="524">
          <cell r="E524">
            <v>33290214</v>
          </cell>
          <cell r="FK524">
            <v>0</v>
          </cell>
        </row>
        <row r="525">
          <cell r="E525">
            <v>33290214</v>
          </cell>
          <cell r="FK525">
            <v>0</v>
          </cell>
        </row>
        <row r="526">
          <cell r="E526">
            <v>33290214</v>
          </cell>
          <cell r="FK526">
            <v>0</v>
          </cell>
        </row>
        <row r="527">
          <cell r="E527">
            <v>33290214</v>
          </cell>
          <cell r="FK527">
            <v>0</v>
          </cell>
        </row>
        <row r="528">
          <cell r="E528">
            <v>33290214</v>
          </cell>
          <cell r="FK528">
            <v>0</v>
          </cell>
        </row>
        <row r="529">
          <cell r="E529">
            <v>33290214</v>
          </cell>
          <cell r="FK529">
            <v>0</v>
          </cell>
        </row>
        <row r="530">
          <cell r="E530">
            <v>33290214</v>
          </cell>
          <cell r="FK530">
            <v>1</v>
          </cell>
        </row>
        <row r="531">
          <cell r="E531">
            <v>33290214</v>
          </cell>
          <cell r="FK531">
            <v>0</v>
          </cell>
        </row>
        <row r="532">
          <cell r="E532">
            <v>33290214</v>
          </cell>
          <cell r="FK532">
            <v>0</v>
          </cell>
        </row>
        <row r="533">
          <cell r="E533">
            <v>33290214</v>
          </cell>
          <cell r="FK533">
            <v>0</v>
          </cell>
        </row>
        <row r="534">
          <cell r="E534">
            <v>33290214</v>
          </cell>
          <cell r="FK534">
            <v>2</v>
          </cell>
        </row>
        <row r="535">
          <cell r="E535">
            <v>33290214</v>
          </cell>
          <cell r="FK535">
            <v>0</v>
          </cell>
        </row>
        <row r="536">
          <cell r="E536">
            <v>33290214</v>
          </cell>
          <cell r="FK536">
            <v>0</v>
          </cell>
        </row>
        <row r="537">
          <cell r="E537">
            <v>33290214</v>
          </cell>
          <cell r="FK537">
            <v>0</v>
          </cell>
        </row>
        <row r="538">
          <cell r="E538">
            <v>33290214</v>
          </cell>
          <cell r="FK538">
            <v>0</v>
          </cell>
        </row>
        <row r="539">
          <cell r="E539">
            <v>33290214</v>
          </cell>
          <cell r="FK539">
            <v>0</v>
          </cell>
        </row>
        <row r="540">
          <cell r="E540">
            <v>33290214</v>
          </cell>
          <cell r="FK540">
            <v>0</v>
          </cell>
        </row>
        <row r="541">
          <cell r="E541">
            <v>33290214</v>
          </cell>
          <cell r="FK541">
            <v>0</v>
          </cell>
        </row>
        <row r="542">
          <cell r="E542">
            <v>33290214</v>
          </cell>
          <cell r="FK542">
            <v>0</v>
          </cell>
        </row>
        <row r="543">
          <cell r="E543">
            <v>33290214</v>
          </cell>
          <cell r="FK543">
            <v>0</v>
          </cell>
        </row>
        <row r="544">
          <cell r="E544">
            <v>33290215</v>
          </cell>
          <cell r="FK544">
            <v>1</v>
          </cell>
        </row>
        <row r="545">
          <cell r="E545">
            <v>33290215</v>
          </cell>
          <cell r="FK545">
            <v>0</v>
          </cell>
        </row>
        <row r="546">
          <cell r="E546">
            <v>33290215</v>
          </cell>
          <cell r="FK546">
            <v>1</v>
          </cell>
        </row>
        <row r="547">
          <cell r="E547">
            <v>33290215</v>
          </cell>
          <cell r="FK547">
            <v>1</v>
          </cell>
        </row>
        <row r="548">
          <cell r="E548">
            <v>33290215</v>
          </cell>
          <cell r="FK548">
            <v>1</v>
          </cell>
        </row>
        <row r="549">
          <cell r="E549">
            <v>33290215</v>
          </cell>
          <cell r="FK549">
            <v>1</v>
          </cell>
        </row>
        <row r="550">
          <cell r="E550">
            <v>33290215</v>
          </cell>
          <cell r="FK550">
            <v>1</v>
          </cell>
        </row>
        <row r="551">
          <cell r="E551">
            <v>33290215</v>
          </cell>
          <cell r="FK551">
            <v>0</v>
          </cell>
        </row>
        <row r="552">
          <cell r="E552">
            <v>33290215</v>
          </cell>
          <cell r="FK552">
            <v>1</v>
          </cell>
        </row>
        <row r="553">
          <cell r="E553">
            <v>33290215</v>
          </cell>
          <cell r="FK553">
            <v>1</v>
          </cell>
        </row>
        <row r="554">
          <cell r="E554">
            <v>33290215</v>
          </cell>
          <cell r="FK554">
            <v>1</v>
          </cell>
        </row>
        <row r="555">
          <cell r="E555">
            <v>33290215</v>
          </cell>
          <cell r="FK555">
            <v>1</v>
          </cell>
        </row>
        <row r="556">
          <cell r="E556">
            <v>33290215</v>
          </cell>
          <cell r="FK556">
            <v>1</v>
          </cell>
        </row>
        <row r="557">
          <cell r="E557">
            <v>33290215</v>
          </cell>
          <cell r="FK557">
            <v>1</v>
          </cell>
        </row>
        <row r="558">
          <cell r="E558">
            <v>33290215</v>
          </cell>
          <cell r="FK558">
            <v>0</v>
          </cell>
        </row>
        <row r="559">
          <cell r="E559">
            <v>33290215</v>
          </cell>
          <cell r="FK559">
            <v>1</v>
          </cell>
        </row>
        <row r="560">
          <cell r="E560">
            <v>33290215</v>
          </cell>
          <cell r="FK560">
            <v>1</v>
          </cell>
        </row>
        <row r="561">
          <cell r="E561">
            <v>33290215</v>
          </cell>
          <cell r="FK561">
            <v>0</v>
          </cell>
        </row>
        <row r="562">
          <cell r="E562">
            <v>33290215</v>
          </cell>
          <cell r="FK562">
            <v>1</v>
          </cell>
        </row>
        <row r="563">
          <cell r="E563">
            <v>33290215</v>
          </cell>
          <cell r="FK563">
            <v>1</v>
          </cell>
        </row>
        <row r="564">
          <cell r="E564">
            <v>33290215</v>
          </cell>
          <cell r="FK564">
            <v>1</v>
          </cell>
        </row>
        <row r="565">
          <cell r="E565">
            <v>33290215</v>
          </cell>
          <cell r="FK565">
            <v>1</v>
          </cell>
        </row>
        <row r="566">
          <cell r="E566">
            <v>33290215</v>
          </cell>
          <cell r="FK566">
            <v>2</v>
          </cell>
        </row>
        <row r="567">
          <cell r="E567">
            <v>33290215</v>
          </cell>
          <cell r="FK567">
            <v>1</v>
          </cell>
        </row>
        <row r="568">
          <cell r="E568">
            <v>33290215</v>
          </cell>
          <cell r="FK568">
            <v>1</v>
          </cell>
        </row>
        <row r="569">
          <cell r="E569">
            <v>33290215</v>
          </cell>
          <cell r="FK569">
            <v>1</v>
          </cell>
        </row>
        <row r="570">
          <cell r="E570">
            <v>33290216</v>
          </cell>
          <cell r="FK570">
            <v>0</v>
          </cell>
        </row>
        <row r="571">
          <cell r="E571">
            <v>33290216</v>
          </cell>
          <cell r="FK571">
            <v>0</v>
          </cell>
        </row>
        <row r="572">
          <cell r="E572">
            <v>33290216</v>
          </cell>
          <cell r="FK572">
            <v>0</v>
          </cell>
        </row>
        <row r="573">
          <cell r="E573">
            <v>33290216</v>
          </cell>
          <cell r="FK573">
            <v>0</v>
          </cell>
        </row>
        <row r="574">
          <cell r="E574">
            <v>33290216</v>
          </cell>
          <cell r="FK574">
            <v>0</v>
          </cell>
        </row>
        <row r="575">
          <cell r="E575">
            <v>33290216</v>
          </cell>
          <cell r="FK575">
            <v>0</v>
          </cell>
        </row>
        <row r="576">
          <cell r="E576">
            <v>33290216</v>
          </cell>
          <cell r="FK576">
            <v>0</v>
          </cell>
        </row>
        <row r="577">
          <cell r="E577">
            <v>33290216</v>
          </cell>
          <cell r="FK577">
            <v>0</v>
          </cell>
        </row>
        <row r="578">
          <cell r="E578">
            <v>33290216</v>
          </cell>
          <cell r="FK578">
            <v>0</v>
          </cell>
        </row>
        <row r="579">
          <cell r="E579">
            <v>33290216</v>
          </cell>
          <cell r="FK579">
            <v>0</v>
          </cell>
        </row>
        <row r="580">
          <cell r="E580">
            <v>33290216</v>
          </cell>
          <cell r="FK580">
            <v>0</v>
          </cell>
        </row>
        <row r="581">
          <cell r="E581">
            <v>33290216</v>
          </cell>
          <cell r="FK581">
            <v>0</v>
          </cell>
        </row>
        <row r="582">
          <cell r="E582">
            <v>33290216</v>
          </cell>
          <cell r="FK582">
            <v>0</v>
          </cell>
        </row>
        <row r="583">
          <cell r="E583">
            <v>33290216</v>
          </cell>
          <cell r="FK583">
            <v>0</v>
          </cell>
        </row>
        <row r="584">
          <cell r="E584">
            <v>33290216</v>
          </cell>
          <cell r="FK584">
            <v>0</v>
          </cell>
        </row>
        <row r="585">
          <cell r="E585">
            <v>33290216</v>
          </cell>
          <cell r="FK585">
            <v>0</v>
          </cell>
        </row>
        <row r="586">
          <cell r="E586">
            <v>33290216</v>
          </cell>
          <cell r="FK586">
            <v>0</v>
          </cell>
        </row>
        <row r="587">
          <cell r="E587">
            <v>33290216</v>
          </cell>
          <cell r="FK587">
            <v>0</v>
          </cell>
        </row>
        <row r="588">
          <cell r="E588">
            <v>33290216</v>
          </cell>
          <cell r="FK588">
            <v>0</v>
          </cell>
        </row>
        <row r="589">
          <cell r="E589">
            <v>33290217</v>
          </cell>
          <cell r="FK589">
            <v>0</v>
          </cell>
        </row>
        <row r="590">
          <cell r="E590">
            <v>33290217</v>
          </cell>
          <cell r="FK590">
            <v>1</v>
          </cell>
        </row>
        <row r="591">
          <cell r="E591">
            <v>33290217</v>
          </cell>
          <cell r="FK591">
            <v>0</v>
          </cell>
        </row>
        <row r="592">
          <cell r="E592">
            <v>33290217</v>
          </cell>
          <cell r="FK592">
            <v>0</v>
          </cell>
        </row>
        <row r="593">
          <cell r="E593">
            <v>33290217</v>
          </cell>
          <cell r="FK593">
            <v>0</v>
          </cell>
        </row>
        <row r="594">
          <cell r="E594">
            <v>33290217</v>
          </cell>
          <cell r="FK594">
            <v>0</v>
          </cell>
        </row>
        <row r="595">
          <cell r="E595">
            <v>33290217</v>
          </cell>
          <cell r="FK595">
            <v>0</v>
          </cell>
        </row>
        <row r="596">
          <cell r="E596">
            <v>33290217</v>
          </cell>
          <cell r="FK596">
            <v>0</v>
          </cell>
        </row>
        <row r="597">
          <cell r="E597">
            <v>33290217</v>
          </cell>
          <cell r="FK597">
            <v>0</v>
          </cell>
        </row>
        <row r="598">
          <cell r="E598">
            <v>33290217</v>
          </cell>
          <cell r="FK598">
            <v>1</v>
          </cell>
        </row>
        <row r="599">
          <cell r="E599">
            <v>33290217</v>
          </cell>
          <cell r="FK599">
            <v>0</v>
          </cell>
        </row>
        <row r="600">
          <cell r="E600">
            <v>33290217</v>
          </cell>
          <cell r="FK600">
            <v>0</v>
          </cell>
        </row>
        <row r="601">
          <cell r="E601">
            <v>33290217</v>
          </cell>
          <cell r="FK601">
            <v>0</v>
          </cell>
        </row>
        <row r="602">
          <cell r="E602">
            <v>33290217</v>
          </cell>
          <cell r="FK602">
            <v>0</v>
          </cell>
        </row>
        <row r="603">
          <cell r="E603">
            <v>33290217</v>
          </cell>
          <cell r="FK603">
            <v>0</v>
          </cell>
        </row>
        <row r="604">
          <cell r="E604">
            <v>33290217</v>
          </cell>
          <cell r="FK604">
            <v>0</v>
          </cell>
        </row>
        <row r="605">
          <cell r="E605">
            <v>33290217</v>
          </cell>
          <cell r="FK605">
            <v>0</v>
          </cell>
        </row>
        <row r="606">
          <cell r="E606">
            <v>33290217</v>
          </cell>
          <cell r="FK606">
            <v>0</v>
          </cell>
        </row>
        <row r="607">
          <cell r="E607">
            <v>33290217</v>
          </cell>
          <cell r="FK607">
            <v>0</v>
          </cell>
        </row>
        <row r="608">
          <cell r="E608">
            <v>33290217</v>
          </cell>
          <cell r="FK608">
            <v>0</v>
          </cell>
        </row>
        <row r="609">
          <cell r="E609">
            <v>33290217</v>
          </cell>
          <cell r="FK609">
            <v>0</v>
          </cell>
        </row>
        <row r="610">
          <cell r="E610">
            <v>33290217</v>
          </cell>
          <cell r="FK610">
            <v>0</v>
          </cell>
        </row>
        <row r="611">
          <cell r="E611">
            <v>33290217</v>
          </cell>
          <cell r="FK611">
            <v>0</v>
          </cell>
        </row>
        <row r="612">
          <cell r="E612">
            <v>33290217</v>
          </cell>
          <cell r="FK612">
            <v>0</v>
          </cell>
        </row>
        <row r="613">
          <cell r="E613">
            <v>33290217</v>
          </cell>
          <cell r="FK613">
            <v>0</v>
          </cell>
        </row>
        <row r="614">
          <cell r="E614">
            <v>33290217</v>
          </cell>
          <cell r="FK614">
            <v>0</v>
          </cell>
        </row>
        <row r="615">
          <cell r="E615">
            <v>33290217</v>
          </cell>
          <cell r="FK615">
            <v>0</v>
          </cell>
        </row>
        <row r="616">
          <cell r="E616">
            <v>33290218</v>
          </cell>
          <cell r="FK616">
            <v>0</v>
          </cell>
        </row>
        <row r="617">
          <cell r="E617">
            <v>33290218</v>
          </cell>
          <cell r="FK617">
            <v>0</v>
          </cell>
        </row>
        <row r="618">
          <cell r="E618">
            <v>33290218</v>
          </cell>
          <cell r="FK618">
            <v>0</v>
          </cell>
        </row>
        <row r="619">
          <cell r="E619">
            <v>33290218</v>
          </cell>
          <cell r="FK619">
            <v>0</v>
          </cell>
        </row>
        <row r="620">
          <cell r="E620">
            <v>33290218</v>
          </cell>
          <cell r="FK620">
            <v>0</v>
          </cell>
        </row>
        <row r="621">
          <cell r="E621">
            <v>33290218</v>
          </cell>
          <cell r="FK621">
            <v>0</v>
          </cell>
        </row>
        <row r="622">
          <cell r="E622">
            <v>33290218</v>
          </cell>
          <cell r="FK622">
            <v>0</v>
          </cell>
        </row>
        <row r="623">
          <cell r="E623">
            <v>33290218</v>
          </cell>
          <cell r="FK623">
            <v>0</v>
          </cell>
        </row>
        <row r="624">
          <cell r="E624">
            <v>33290218</v>
          </cell>
          <cell r="FK624">
            <v>0</v>
          </cell>
        </row>
        <row r="625">
          <cell r="E625">
            <v>33290218</v>
          </cell>
          <cell r="FK625">
            <v>0</v>
          </cell>
        </row>
        <row r="626">
          <cell r="E626">
            <v>33290218</v>
          </cell>
          <cell r="FK626">
            <v>0</v>
          </cell>
        </row>
        <row r="627">
          <cell r="E627">
            <v>33290218</v>
          </cell>
          <cell r="FK627">
            <v>0</v>
          </cell>
        </row>
        <row r="628">
          <cell r="E628">
            <v>33290218</v>
          </cell>
          <cell r="FK628">
            <v>0</v>
          </cell>
        </row>
        <row r="629">
          <cell r="E629">
            <v>33290218</v>
          </cell>
          <cell r="FK629">
            <v>0</v>
          </cell>
        </row>
        <row r="630">
          <cell r="E630">
            <v>33290218</v>
          </cell>
          <cell r="FK630">
            <v>0</v>
          </cell>
        </row>
        <row r="631">
          <cell r="E631">
            <v>33290218</v>
          </cell>
          <cell r="FK631">
            <v>0</v>
          </cell>
        </row>
        <row r="632">
          <cell r="E632">
            <v>33290218</v>
          </cell>
          <cell r="FK632">
            <v>0</v>
          </cell>
        </row>
        <row r="633">
          <cell r="E633">
            <v>33290218</v>
          </cell>
          <cell r="FK633">
            <v>0</v>
          </cell>
        </row>
        <row r="634">
          <cell r="E634">
            <v>33290218</v>
          </cell>
          <cell r="FK634">
            <v>0</v>
          </cell>
        </row>
        <row r="635">
          <cell r="E635">
            <v>33290218</v>
          </cell>
          <cell r="FK635">
            <v>0</v>
          </cell>
        </row>
        <row r="636">
          <cell r="E636">
            <v>33290218</v>
          </cell>
          <cell r="FK636">
            <v>0</v>
          </cell>
        </row>
        <row r="637">
          <cell r="E637">
            <v>33290218</v>
          </cell>
          <cell r="FK637">
            <v>0</v>
          </cell>
        </row>
        <row r="638">
          <cell r="E638">
            <v>33290218</v>
          </cell>
          <cell r="FK638">
            <v>0</v>
          </cell>
        </row>
        <row r="639">
          <cell r="E639">
            <v>33290218</v>
          </cell>
          <cell r="FK639">
            <v>0</v>
          </cell>
        </row>
        <row r="640">
          <cell r="E640">
            <v>33290218</v>
          </cell>
          <cell r="FK640">
            <v>0</v>
          </cell>
        </row>
        <row r="641">
          <cell r="E641">
            <v>33290219</v>
          </cell>
          <cell r="FK641">
            <v>0</v>
          </cell>
        </row>
        <row r="642">
          <cell r="E642">
            <v>33290219</v>
          </cell>
          <cell r="FK642">
            <v>0</v>
          </cell>
        </row>
        <row r="643">
          <cell r="E643">
            <v>33290219</v>
          </cell>
          <cell r="FK643">
            <v>0</v>
          </cell>
        </row>
        <row r="644">
          <cell r="E644">
            <v>33290219</v>
          </cell>
          <cell r="FK644">
            <v>0</v>
          </cell>
        </row>
        <row r="645">
          <cell r="E645">
            <v>33290219</v>
          </cell>
          <cell r="FK645">
            <v>0</v>
          </cell>
        </row>
        <row r="646">
          <cell r="E646">
            <v>33290219</v>
          </cell>
          <cell r="FK646">
            <v>0</v>
          </cell>
        </row>
        <row r="647">
          <cell r="E647">
            <v>33290219</v>
          </cell>
          <cell r="FK647">
            <v>0</v>
          </cell>
        </row>
        <row r="648">
          <cell r="E648">
            <v>33290219</v>
          </cell>
          <cell r="FK648">
            <v>0</v>
          </cell>
        </row>
        <row r="649">
          <cell r="E649">
            <v>33290219</v>
          </cell>
          <cell r="FK649">
            <v>0</v>
          </cell>
        </row>
        <row r="650">
          <cell r="E650">
            <v>33290219</v>
          </cell>
          <cell r="FK650">
            <v>0</v>
          </cell>
        </row>
        <row r="651">
          <cell r="E651">
            <v>33290219</v>
          </cell>
          <cell r="FK651">
            <v>0</v>
          </cell>
        </row>
        <row r="652">
          <cell r="E652">
            <v>33290219</v>
          </cell>
          <cell r="FK652">
            <v>0</v>
          </cell>
        </row>
        <row r="653">
          <cell r="E653">
            <v>33290219</v>
          </cell>
          <cell r="FK653">
            <v>0</v>
          </cell>
        </row>
        <row r="654">
          <cell r="E654">
            <v>33290219</v>
          </cell>
          <cell r="FK654">
            <v>0</v>
          </cell>
        </row>
        <row r="655">
          <cell r="E655">
            <v>33290219</v>
          </cell>
          <cell r="FK655">
            <v>0</v>
          </cell>
        </row>
        <row r="656">
          <cell r="E656">
            <v>33290219</v>
          </cell>
          <cell r="FK656">
            <v>0</v>
          </cell>
        </row>
        <row r="657">
          <cell r="E657">
            <v>33290219</v>
          </cell>
          <cell r="FK657">
            <v>0</v>
          </cell>
        </row>
        <row r="658">
          <cell r="E658">
            <v>33290219</v>
          </cell>
          <cell r="FK658">
            <v>0</v>
          </cell>
        </row>
        <row r="659">
          <cell r="E659">
            <v>33290219</v>
          </cell>
          <cell r="FK659">
            <v>0</v>
          </cell>
        </row>
        <row r="660">
          <cell r="E660">
            <v>33290219</v>
          </cell>
          <cell r="FK660">
            <v>0</v>
          </cell>
        </row>
        <row r="661">
          <cell r="E661">
            <v>33290219</v>
          </cell>
          <cell r="FK661">
            <v>0</v>
          </cell>
        </row>
        <row r="662">
          <cell r="E662">
            <v>33290219</v>
          </cell>
          <cell r="FK662">
            <v>0</v>
          </cell>
        </row>
        <row r="663">
          <cell r="E663">
            <v>33290219</v>
          </cell>
          <cell r="FK663">
            <v>0</v>
          </cell>
        </row>
        <row r="664">
          <cell r="E664">
            <v>33290219</v>
          </cell>
          <cell r="FK664">
            <v>0</v>
          </cell>
        </row>
        <row r="665">
          <cell r="E665">
            <v>33290219</v>
          </cell>
          <cell r="FK665">
            <v>0</v>
          </cell>
        </row>
        <row r="666">
          <cell r="E666">
            <v>33290219</v>
          </cell>
          <cell r="FK666">
            <v>0</v>
          </cell>
        </row>
        <row r="667">
          <cell r="E667">
            <v>33290219</v>
          </cell>
          <cell r="FK667">
            <v>0</v>
          </cell>
        </row>
        <row r="668">
          <cell r="E668">
            <v>33290219</v>
          </cell>
          <cell r="FK668">
            <v>0</v>
          </cell>
        </row>
        <row r="669">
          <cell r="E669">
            <v>33290219</v>
          </cell>
          <cell r="FK669">
            <v>1</v>
          </cell>
        </row>
        <row r="670">
          <cell r="E670">
            <v>33290219</v>
          </cell>
          <cell r="FK670">
            <v>0</v>
          </cell>
        </row>
        <row r="671">
          <cell r="E671">
            <v>33290220</v>
          </cell>
          <cell r="FK671">
            <v>1</v>
          </cell>
        </row>
        <row r="672">
          <cell r="E672">
            <v>33290220</v>
          </cell>
          <cell r="FK672">
            <v>1</v>
          </cell>
        </row>
        <row r="673">
          <cell r="E673">
            <v>33290220</v>
          </cell>
          <cell r="FK673">
            <v>0</v>
          </cell>
        </row>
        <row r="674">
          <cell r="E674">
            <v>33290220</v>
          </cell>
          <cell r="FK674">
            <v>0</v>
          </cell>
        </row>
        <row r="675">
          <cell r="E675">
            <v>33290220</v>
          </cell>
          <cell r="FK675">
            <v>0</v>
          </cell>
        </row>
        <row r="676">
          <cell r="E676">
            <v>33290220</v>
          </cell>
          <cell r="FK676">
            <v>0</v>
          </cell>
        </row>
        <row r="677">
          <cell r="E677">
            <v>33290220</v>
          </cell>
          <cell r="FK677">
            <v>0</v>
          </cell>
        </row>
        <row r="678">
          <cell r="E678">
            <v>33290220</v>
          </cell>
          <cell r="FK678">
            <v>0</v>
          </cell>
        </row>
        <row r="679">
          <cell r="E679">
            <v>33290220</v>
          </cell>
          <cell r="FK679">
            <v>0</v>
          </cell>
        </row>
        <row r="680">
          <cell r="E680">
            <v>33290221</v>
          </cell>
          <cell r="FK680">
            <v>0</v>
          </cell>
        </row>
        <row r="681">
          <cell r="E681">
            <v>33290221</v>
          </cell>
          <cell r="FK681">
            <v>0</v>
          </cell>
        </row>
        <row r="682">
          <cell r="E682">
            <v>33290221</v>
          </cell>
          <cell r="FK682">
            <v>0</v>
          </cell>
        </row>
        <row r="683">
          <cell r="E683">
            <v>33290221</v>
          </cell>
          <cell r="FK683">
            <v>0</v>
          </cell>
        </row>
        <row r="684">
          <cell r="E684">
            <v>33290221</v>
          </cell>
          <cell r="FK684">
            <v>0</v>
          </cell>
        </row>
        <row r="685">
          <cell r="E685">
            <v>33290221</v>
          </cell>
          <cell r="FK685">
            <v>0</v>
          </cell>
        </row>
        <row r="686">
          <cell r="E686">
            <v>33290221</v>
          </cell>
          <cell r="FK686">
            <v>0</v>
          </cell>
        </row>
        <row r="687">
          <cell r="E687">
            <v>33290221</v>
          </cell>
          <cell r="FK687">
            <v>0</v>
          </cell>
        </row>
        <row r="688">
          <cell r="E688">
            <v>33290222</v>
          </cell>
          <cell r="FK688">
            <v>0</v>
          </cell>
        </row>
        <row r="689">
          <cell r="E689">
            <v>33290222</v>
          </cell>
          <cell r="FK689">
            <v>0</v>
          </cell>
        </row>
        <row r="690">
          <cell r="E690">
            <v>33290222</v>
          </cell>
          <cell r="FK690">
            <v>0</v>
          </cell>
        </row>
        <row r="691">
          <cell r="E691">
            <v>33290222</v>
          </cell>
          <cell r="FK691">
            <v>0</v>
          </cell>
        </row>
        <row r="692">
          <cell r="E692">
            <v>33290222</v>
          </cell>
          <cell r="FK692">
            <v>0</v>
          </cell>
        </row>
        <row r="693">
          <cell r="E693">
            <v>33290222</v>
          </cell>
          <cell r="FK693">
            <v>0</v>
          </cell>
        </row>
        <row r="694">
          <cell r="E694">
            <v>33290222</v>
          </cell>
          <cell r="FK694">
            <v>0</v>
          </cell>
        </row>
        <row r="695">
          <cell r="E695">
            <v>33290222</v>
          </cell>
          <cell r="FK695">
            <v>0</v>
          </cell>
        </row>
        <row r="696">
          <cell r="E696">
            <v>33290222</v>
          </cell>
          <cell r="FK696">
            <v>0</v>
          </cell>
        </row>
        <row r="697">
          <cell r="E697">
            <v>33290222</v>
          </cell>
          <cell r="FK697">
            <v>0</v>
          </cell>
        </row>
        <row r="698">
          <cell r="E698">
            <v>33290222</v>
          </cell>
          <cell r="FK698">
            <v>1</v>
          </cell>
        </row>
        <row r="699">
          <cell r="E699">
            <v>33290222</v>
          </cell>
          <cell r="FK699">
            <v>0</v>
          </cell>
        </row>
        <row r="700">
          <cell r="E700">
            <v>33290222</v>
          </cell>
          <cell r="FK700">
            <v>0</v>
          </cell>
        </row>
        <row r="701">
          <cell r="E701">
            <v>33290222</v>
          </cell>
          <cell r="FK701">
            <v>0</v>
          </cell>
        </row>
        <row r="702">
          <cell r="E702">
            <v>33290222</v>
          </cell>
          <cell r="FK702">
            <v>0</v>
          </cell>
        </row>
        <row r="703">
          <cell r="E703">
            <v>33290222</v>
          </cell>
          <cell r="FK703">
            <v>0</v>
          </cell>
        </row>
        <row r="704">
          <cell r="E704">
            <v>33290222</v>
          </cell>
          <cell r="FK704">
            <v>0</v>
          </cell>
        </row>
        <row r="705">
          <cell r="E705">
            <v>33290222</v>
          </cell>
          <cell r="FK705">
            <v>0</v>
          </cell>
        </row>
        <row r="706">
          <cell r="E706">
            <v>33290222</v>
          </cell>
          <cell r="FK706">
            <v>0</v>
          </cell>
        </row>
        <row r="707">
          <cell r="E707">
            <v>33290222</v>
          </cell>
          <cell r="FK707">
            <v>0</v>
          </cell>
        </row>
        <row r="708">
          <cell r="E708">
            <v>33290223</v>
          </cell>
          <cell r="FK708">
            <v>0</v>
          </cell>
        </row>
        <row r="709">
          <cell r="E709">
            <v>33290223</v>
          </cell>
          <cell r="FK709">
            <v>0</v>
          </cell>
        </row>
        <row r="710">
          <cell r="E710">
            <v>33290223</v>
          </cell>
          <cell r="FK710">
            <v>1</v>
          </cell>
        </row>
        <row r="711">
          <cell r="E711">
            <v>33290223</v>
          </cell>
          <cell r="FK711">
            <v>0</v>
          </cell>
        </row>
        <row r="712">
          <cell r="E712">
            <v>33290223</v>
          </cell>
          <cell r="FK712">
            <v>0</v>
          </cell>
        </row>
        <row r="713">
          <cell r="E713">
            <v>33290223</v>
          </cell>
          <cell r="FK713">
            <v>0</v>
          </cell>
        </row>
        <row r="714">
          <cell r="E714">
            <v>33290223</v>
          </cell>
          <cell r="FK714">
            <v>0</v>
          </cell>
        </row>
        <row r="715">
          <cell r="E715">
            <v>33290223</v>
          </cell>
          <cell r="FK715">
            <v>0</v>
          </cell>
        </row>
        <row r="716">
          <cell r="E716">
            <v>33290223</v>
          </cell>
          <cell r="FK716">
            <v>0</v>
          </cell>
        </row>
        <row r="717">
          <cell r="E717">
            <v>33290223</v>
          </cell>
          <cell r="FK717">
            <v>0</v>
          </cell>
        </row>
        <row r="718">
          <cell r="E718">
            <v>33290223</v>
          </cell>
          <cell r="FK718">
            <v>0</v>
          </cell>
        </row>
        <row r="719">
          <cell r="E719">
            <v>33290223</v>
          </cell>
          <cell r="FK719">
            <v>0</v>
          </cell>
        </row>
        <row r="720">
          <cell r="E720">
            <v>33290223</v>
          </cell>
          <cell r="FK720">
            <v>0</v>
          </cell>
        </row>
        <row r="721">
          <cell r="E721">
            <v>33290223</v>
          </cell>
          <cell r="FK721">
            <v>0</v>
          </cell>
        </row>
        <row r="722">
          <cell r="E722">
            <v>33290223</v>
          </cell>
          <cell r="FK722">
            <v>0</v>
          </cell>
        </row>
        <row r="723">
          <cell r="E723">
            <v>33290223</v>
          </cell>
          <cell r="FK723">
            <v>0</v>
          </cell>
        </row>
        <row r="724">
          <cell r="E724">
            <v>33290223</v>
          </cell>
          <cell r="FK724">
            <v>0</v>
          </cell>
        </row>
        <row r="725">
          <cell r="E725">
            <v>33290223</v>
          </cell>
          <cell r="FK725">
            <v>0</v>
          </cell>
        </row>
        <row r="726">
          <cell r="E726">
            <v>33290401</v>
          </cell>
          <cell r="FK726">
            <v>0</v>
          </cell>
        </row>
        <row r="727">
          <cell r="E727">
            <v>33290401</v>
          </cell>
          <cell r="FK727">
            <v>1</v>
          </cell>
        </row>
        <row r="728">
          <cell r="E728">
            <v>33290401</v>
          </cell>
          <cell r="FK728">
            <v>0</v>
          </cell>
        </row>
        <row r="729">
          <cell r="E729">
            <v>33290401</v>
          </cell>
          <cell r="FK729">
            <v>1</v>
          </cell>
        </row>
        <row r="730">
          <cell r="E730">
            <v>33290401</v>
          </cell>
          <cell r="FK730">
            <v>1</v>
          </cell>
        </row>
        <row r="731">
          <cell r="E731">
            <v>33290401</v>
          </cell>
          <cell r="FK731">
            <v>0</v>
          </cell>
        </row>
        <row r="732">
          <cell r="E732">
            <v>33290401</v>
          </cell>
          <cell r="FK732">
            <v>0</v>
          </cell>
        </row>
        <row r="733">
          <cell r="E733">
            <v>33290401</v>
          </cell>
          <cell r="FK733">
            <v>0</v>
          </cell>
        </row>
        <row r="734">
          <cell r="E734">
            <v>33290401</v>
          </cell>
          <cell r="FK734">
            <v>0</v>
          </cell>
        </row>
        <row r="735">
          <cell r="E735">
            <v>33290401</v>
          </cell>
          <cell r="FK735">
            <v>1</v>
          </cell>
        </row>
        <row r="736">
          <cell r="E736">
            <v>33290401</v>
          </cell>
          <cell r="FK736">
            <v>0</v>
          </cell>
        </row>
        <row r="737">
          <cell r="E737">
            <v>33290401</v>
          </cell>
          <cell r="FK737">
            <v>1</v>
          </cell>
        </row>
        <row r="738">
          <cell r="E738">
            <v>33290401</v>
          </cell>
          <cell r="FK738">
            <v>0</v>
          </cell>
        </row>
        <row r="739">
          <cell r="E739">
            <v>33290401</v>
          </cell>
          <cell r="FK739">
            <v>0</v>
          </cell>
        </row>
        <row r="740">
          <cell r="E740">
            <v>33290401</v>
          </cell>
          <cell r="FK740">
            <v>0</v>
          </cell>
        </row>
        <row r="741">
          <cell r="E741">
            <v>33290401</v>
          </cell>
          <cell r="FK741">
            <v>1</v>
          </cell>
        </row>
        <row r="742">
          <cell r="E742">
            <v>33290401</v>
          </cell>
          <cell r="FK742">
            <v>0</v>
          </cell>
        </row>
        <row r="743">
          <cell r="E743">
            <v>33290401</v>
          </cell>
          <cell r="FK743">
            <v>1</v>
          </cell>
        </row>
        <row r="744">
          <cell r="E744">
            <v>33290401</v>
          </cell>
          <cell r="FK744">
            <v>1</v>
          </cell>
        </row>
        <row r="745">
          <cell r="E745">
            <v>33290401</v>
          </cell>
          <cell r="FK745">
            <v>0</v>
          </cell>
        </row>
        <row r="746">
          <cell r="E746">
            <v>33290401</v>
          </cell>
          <cell r="FK746">
            <v>0</v>
          </cell>
        </row>
        <row r="747">
          <cell r="E747">
            <v>33290401</v>
          </cell>
          <cell r="FK747">
            <v>0</v>
          </cell>
        </row>
        <row r="748">
          <cell r="E748">
            <v>33290401</v>
          </cell>
          <cell r="FK748">
            <v>0</v>
          </cell>
        </row>
        <row r="749">
          <cell r="E749">
            <v>33290401</v>
          </cell>
          <cell r="FK749">
            <v>0</v>
          </cell>
        </row>
        <row r="750">
          <cell r="E750">
            <v>33290401</v>
          </cell>
          <cell r="FK750">
            <v>0</v>
          </cell>
        </row>
        <row r="751">
          <cell r="E751">
            <v>33290401</v>
          </cell>
          <cell r="FK751">
            <v>0</v>
          </cell>
        </row>
        <row r="752">
          <cell r="E752">
            <v>33290401</v>
          </cell>
          <cell r="FK752">
            <v>0</v>
          </cell>
        </row>
        <row r="753">
          <cell r="E753">
            <v>33290401</v>
          </cell>
          <cell r="FK753">
            <v>1</v>
          </cell>
        </row>
        <row r="754">
          <cell r="E754">
            <v>33290401</v>
          </cell>
          <cell r="FK754">
            <v>0</v>
          </cell>
        </row>
        <row r="755">
          <cell r="E755">
            <v>33290401</v>
          </cell>
          <cell r="FK755">
            <v>0</v>
          </cell>
        </row>
        <row r="756">
          <cell r="E756">
            <v>33290401</v>
          </cell>
          <cell r="FK756">
            <v>1</v>
          </cell>
        </row>
        <row r="757">
          <cell r="E757">
            <v>33290401</v>
          </cell>
          <cell r="FK757">
            <v>0</v>
          </cell>
        </row>
        <row r="758">
          <cell r="E758">
            <v>33290401</v>
          </cell>
          <cell r="FK758">
            <v>1</v>
          </cell>
        </row>
        <row r="759">
          <cell r="E759">
            <v>33290401</v>
          </cell>
          <cell r="FK759">
            <v>1</v>
          </cell>
        </row>
        <row r="760">
          <cell r="E760">
            <v>33290401</v>
          </cell>
          <cell r="FK760">
            <v>0</v>
          </cell>
        </row>
        <row r="761">
          <cell r="E761">
            <v>33290401</v>
          </cell>
          <cell r="FK761">
            <v>1</v>
          </cell>
        </row>
        <row r="762">
          <cell r="E762">
            <v>33290401</v>
          </cell>
          <cell r="FK762">
            <v>1</v>
          </cell>
        </row>
        <row r="763">
          <cell r="E763">
            <v>33290401</v>
          </cell>
          <cell r="FK763">
            <v>0</v>
          </cell>
        </row>
        <row r="764">
          <cell r="E764">
            <v>33290401</v>
          </cell>
          <cell r="FK764">
            <v>0</v>
          </cell>
        </row>
        <row r="765">
          <cell r="E765">
            <v>33290401</v>
          </cell>
          <cell r="FK765">
            <v>1</v>
          </cell>
        </row>
        <row r="766">
          <cell r="E766">
            <v>33290401</v>
          </cell>
          <cell r="FK766">
            <v>0</v>
          </cell>
        </row>
        <row r="767">
          <cell r="E767">
            <v>33290401</v>
          </cell>
          <cell r="FK767">
            <v>0</v>
          </cell>
        </row>
        <row r="768">
          <cell r="E768">
            <v>33290401</v>
          </cell>
          <cell r="FK768">
            <v>1</v>
          </cell>
        </row>
        <row r="769">
          <cell r="E769">
            <v>33290401</v>
          </cell>
          <cell r="FK769">
            <v>0</v>
          </cell>
        </row>
        <row r="770">
          <cell r="E770">
            <v>33290401</v>
          </cell>
          <cell r="FK770">
            <v>0</v>
          </cell>
        </row>
        <row r="771">
          <cell r="E771">
            <v>33290401</v>
          </cell>
          <cell r="FK771">
            <v>1</v>
          </cell>
        </row>
        <row r="772">
          <cell r="E772">
            <v>33290401</v>
          </cell>
          <cell r="FK772">
            <v>0</v>
          </cell>
        </row>
        <row r="773">
          <cell r="E773">
            <v>33290401</v>
          </cell>
          <cell r="FK773">
            <v>0</v>
          </cell>
        </row>
        <row r="774">
          <cell r="E774">
            <v>33290401</v>
          </cell>
          <cell r="FK774">
            <v>1</v>
          </cell>
        </row>
        <row r="775">
          <cell r="E775">
            <v>33290401</v>
          </cell>
          <cell r="FK775">
            <v>1</v>
          </cell>
        </row>
        <row r="776">
          <cell r="E776">
            <v>33290401</v>
          </cell>
          <cell r="FK776">
            <v>1</v>
          </cell>
        </row>
        <row r="777">
          <cell r="E777">
            <v>33290401</v>
          </cell>
          <cell r="FK777">
            <v>0</v>
          </cell>
        </row>
        <row r="778">
          <cell r="E778">
            <v>33290402</v>
          </cell>
          <cell r="FK778">
            <v>0</v>
          </cell>
        </row>
        <row r="779">
          <cell r="E779">
            <v>33290402</v>
          </cell>
          <cell r="FK779">
            <v>0</v>
          </cell>
        </row>
        <row r="780">
          <cell r="E780">
            <v>33290402</v>
          </cell>
          <cell r="FK780">
            <v>1</v>
          </cell>
        </row>
        <row r="781">
          <cell r="E781">
            <v>33290402</v>
          </cell>
          <cell r="FK781">
            <v>0</v>
          </cell>
        </row>
        <row r="782">
          <cell r="E782">
            <v>33290402</v>
          </cell>
          <cell r="FK782">
            <v>0</v>
          </cell>
        </row>
        <row r="783">
          <cell r="E783">
            <v>33290402</v>
          </cell>
          <cell r="FK783">
            <v>1</v>
          </cell>
        </row>
        <row r="784">
          <cell r="E784">
            <v>33290402</v>
          </cell>
          <cell r="FK784">
            <v>1</v>
          </cell>
        </row>
        <row r="785">
          <cell r="E785">
            <v>33290402</v>
          </cell>
          <cell r="FK785">
            <v>1</v>
          </cell>
        </row>
        <row r="786">
          <cell r="E786">
            <v>33290402</v>
          </cell>
          <cell r="FK786">
            <v>0</v>
          </cell>
        </row>
        <row r="787">
          <cell r="E787">
            <v>33290402</v>
          </cell>
          <cell r="FK787">
            <v>1</v>
          </cell>
        </row>
        <row r="788">
          <cell r="E788">
            <v>33290402</v>
          </cell>
          <cell r="FK788">
            <v>0</v>
          </cell>
        </row>
        <row r="789">
          <cell r="E789">
            <v>33290402</v>
          </cell>
          <cell r="FK789">
            <v>1</v>
          </cell>
        </row>
        <row r="790">
          <cell r="E790">
            <v>33290402</v>
          </cell>
          <cell r="FK790">
            <v>1</v>
          </cell>
        </row>
        <row r="791">
          <cell r="E791">
            <v>33290402</v>
          </cell>
          <cell r="FK791">
            <v>1</v>
          </cell>
        </row>
        <row r="792">
          <cell r="E792">
            <v>33290402</v>
          </cell>
          <cell r="FK792">
            <v>0</v>
          </cell>
        </row>
        <row r="793">
          <cell r="E793">
            <v>33290402</v>
          </cell>
          <cell r="FK793">
            <v>1</v>
          </cell>
        </row>
        <row r="794">
          <cell r="E794">
            <v>33290402</v>
          </cell>
          <cell r="FK794">
            <v>0</v>
          </cell>
        </row>
        <row r="795">
          <cell r="E795">
            <v>33290402</v>
          </cell>
          <cell r="FK795">
            <v>1</v>
          </cell>
        </row>
        <row r="796">
          <cell r="E796">
            <v>33290402</v>
          </cell>
          <cell r="FK796">
            <v>0</v>
          </cell>
        </row>
        <row r="797">
          <cell r="E797">
            <v>33290402</v>
          </cell>
          <cell r="FK797">
            <v>0</v>
          </cell>
        </row>
        <row r="798">
          <cell r="E798">
            <v>33290402</v>
          </cell>
          <cell r="FK798">
            <v>0</v>
          </cell>
        </row>
        <row r="799">
          <cell r="E799">
            <v>33290402</v>
          </cell>
          <cell r="FK799">
            <v>1</v>
          </cell>
        </row>
        <row r="800">
          <cell r="E800">
            <v>33290402</v>
          </cell>
          <cell r="FK800">
            <v>1</v>
          </cell>
        </row>
        <row r="801">
          <cell r="E801">
            <v>33290402</v>
          </cell>
          <cell r="FK801">
            <v>0</v>
          </cell>
        </row>
        <row r="802">
          <cell r="E802">
            <v>33290402</v>
          </cell>
          <cell r="FK802">
            <v>0</v>
          </cell>
        </row>
        <row r="803">
          <cell r="E803">
            <v>33290402</v>
          </cell>
          <cell r="FK803">
            <v>1</v>
          </cell>
        </row>
        <row r="804">
          <cell r="E804">
            <v>33290402</v>
          </cell>
          <cell r="FK804">
            <v>0</v>
          </cell>
        </row>
        <row r="805">
          <cell r="E805">
            <v>33290402</v>
          </cell>
          <cell r="FK805">
            <v>1</v>
          </cell>
        </row>
        <row r="806">
          <cell r="E806">
            <v>33290402</v>
          </cell>
          <cell r="FK806">
            <v>0</v>
          </cell>
        </row>
        <row r="807">
          <cell r="E807">
            <v>33290402</v>
          </cell>
          <cell r="FK807">
            <v>1</v>
          </cell>
        </row>
        <row r="808">
          <cell r="E808">
            <v>33290402</v>
          </cell>
          <cell r="FK808">
            <v>1</v>
          </cell>
        </row>
        <row r="809">
          <cell r="E809">
            <v>33290402</v>
          </cell>
          <cell r="FK809">
            <v>1</v>
          </cell>
        </row>
        <row r="810">
          <cell r="E810">
            <v>33290402</v>
          </cell>
          <cell r="FK810">
            <v>1</v>
          </cell>
        </row>
        <row r="811">
          <cell r="E811">
            <v>33290402</v>
          </cell>
          <cell r="FK811">
            <v>1</v>
          </cell>
        </row>
        <row r="812">
          <cell r="E812">
            <v>33290402</v>
          </cell>
          <cell r="FK812">
            <v>0</v>
          </cell>
        </row>
        <row r="813">
          <cell r="E813">
            <v>33290402</v>
          </cell>
          <cell r="FK813">
            <v>1</v>
          </cell>
        </row>
        <row r="814">
          <cell r="E814">
            <v>33290402</v>
          </cell>
          <cell r="FK814">
            <v>0</v>
          </cell>
        </row>
        <row r="815">
          <cell r="E815">
            <v>33290402</v>
          </cell>
          <cell r="FK815">
            <v>1</v>
          </cell>
        </row>
        <row r="816">
          <cell r="E816">
            <v>33290402</v>
          </cell>
          <cell r="FK816">
            <v>0</v>
          </cell>
        </row>
        <row r="817">
          <cell r="E817">
            <v>33290402</v>
          </cell>
          <cell r="FK817">
            <v>1</v>
          </cell>
        </row>
        <row r="818">
          <cell r="E818">
            <v>33290402</v>
          </cell>
          <cell r="FK818">
            <v>1</v>
          </cell>
        </row>
        <row r="819">
          <cell r="E819">
            <v>33290402</v>
          </cell>
          <cell r="FK819">
            <v>0</v>
          </cell>
        </row>
        <row r="820">
          <cell r="E820">
            <v>33290402</v>
          </cell>
          <cell r="FK820">
            <v>0</v>
          </cell>
        </row>
        <row r="821">
          <cell r="E821">
            <v>33290402</v>
          </cell>
          <cell r="FK821">
            <v>1</v>
          </cell>
        </row>
        <row r="822">
          <cell r="E822">
            <v>33290402</v>
          </cell>
          <cell r="FK822">
            <v>0</v>
          </cell>
        </row>
        <row r="823">
          <cell r="E823">
            <v>33290403</v>
          </cell>
          <cell r="FK823">
            <v>1</v>
          </cell>
        </row>
        <row r="824">
          <cell r="E824">
            <v>33290403</v>
          </cell>
          <cell r="FK824">
            <v>0</v>
          </cell>
        </row>
        <row r="825">
          <cell r="E825">
            <v>33290403</v>
          </cell>
          <cell r="FK825">
            <v>1</v>
          </cell>
        </row>
        <row r="826">
          <cell r="E826">
            <v>33290403</v>
          </cell>
          <cell r="FK826">
            <v>1</v>
          </cell>
        </row>
        <row r="827">
          <cell r="E827">
            <v>33290403</v>
          </cell>
          <cell r="FK827">
            <v>0</v>
          </cell>
        </row>
        <row r="828">
          <cell r="E828">
            <v>33290403</v>
          </cell>
          <cell r="FK828">
            <v>1</v>
          </cell>
        </row>
        <row r="829">
          <cell r="E829">
            <v>33290403</v>
          </cell>
          <cell r="FK829">
            <v>0</v>
          </cell>
        </row>
        <row r="830">
          <cell r="E830">
            <v>33290403</v>
          </cell>
          <cell r="FK830">
            <v>1</v>
          </cell>
        </row>
        <row r="831">
          <cell r="E831">
            <v>33290403</v>
          </cell>
          <cell r="FK831">
            <v>1</v>
          </cell>
        </row>
        <row r="832">
          <cell r="E832">
            <v>33290403</v>
          </cell>
          <cell r="FK832">
            <v>0</v>
          </cell>
        </row>
        <row r="833">
          <cell r="E833">
            <v>33290403</v>
          </cell>
          <cell r="FK833">
            <v>0</v>
          </cell>
        </row>
        <row r="834">
          <cell r="E834">
            <v>33290403</v>
          </cell>
          <cell r="FK834">
            <v>0</v>
          </cell>
        </row>
        <row r="835">
          <cell r="E835">
            <v>33290403</v>
          </cell>
          <cell r="FK835">
            <v>1</v>
          </cell>
        </row>
        <row r="836">
          <cell r="E836">
            <v>33290403</v>
          </cell>
          <cell r="FK836">
            <v>0</v>
          </cell>
        </row>
        <row r="837">
          <cell r="E837">
            <v>33290403</v>
          </cell>
          <cell r="FK837">
            <v>1</v>
          </cell>
        </row>
        <row r="838">
          <cell r="E838">
            <v>33290403</v>
          </cell>
          <cell r="FK838">
            <v>1</v>
          </cell>
        </row>
        <row r="839">
          <cell r="E839">
            <v>33290403</v>
          </cell>
          <cell r="FK839">
            <v>1</v>
          </cell>
        </row>
        <row r="840">
          <cell r="E840">
            <v>33290403</v>
          </cell>
          <cell r="FK840">
            <v>0</v>
          </cell>
        </row>
        <row r="841">
          <cell r="E841">
            <v>33290403</v>
          </cell>
          <cell r="FK841">
            <v>1</v>
          </cell>
        </row>
        <row r="842">
          <cell r="E842">
            <v>33290403</v>
          </cell>
          <cell r="FK842">
            <v>1</v>
          </cell>
        </row>
        <row r="843">
          <cell r="E843">
            <v>33290403</v>
          </cell>
          <cell r="FK843">
            <v>1</v>
          </cell>
        </row>
        <row r="844">
          <cell r="E844">
            <v>33290403</v>
          </cell>
          <cell r="FK844">
            <v>1</v>
          </cell>
        </row>
        <row r="845">
          <cell r="E845">
            <v>33290403</v>
          </cell>
          <cell r="FK845">
            <v>1</v>
          </cell>
        </row>
        <row r="846">
          <cell r="E846">
            <v>33290403</v>
          </cell>
          <cell r="FK846">
            <v>1</v>
          </cell>
        </row>
        <row r="847">
          <cell r="E847">
            <v>33290403</v>
          </cell>
          <cell r="FK847">
            <v>1</v>
          </cell>
        </row>
        <row r="848">
          <cell r="E848">
            <v>33290403</v>
          </cell>
          <cell r="FK848">
            <v>0</v>
          </cell>
        </row>
        <row r="849">
          <cell r="E849">
            <v>33290403</v>
          </cell>
          <cell r="FK849">
            <v>1</v>
          </cell>
        </row>
        <row r="850">
          <cell r="E850">
            <v>33290403</v>
          </cell>
          <cell r="FK850">
            <v>0</v>
          </cell>
        </row>
        <row r="851">
          <cell r="E851">
            <v>33290403</v>
          </cell>
          <cell r="FK851">
            <v>1</v>
          </cell>
        </row>
        <row r="852">
          <cell r="E852">
            <v>33290403</v>
          </cell>
          <cell r="FK852">
            <v>1</v>
          </cell>
        </row>
        <row r="853">
          <cell r="E853">
            <v>33290403</v>
          </cell>
          <cell r="FK853">
            <v>1</v>
          </cell>
        </row>
        <row r="854">
          <cell r="E854">
            <v>33290403</v>
          </cell>
          <cell r="FK854">
            <v>1</v>
          </cell>
        </row>
        <row r="855">
          <cell r="E855">
            <v>33290403</v>
          </cell>
          <cell r="FK855">
            <v>1</v>
          </cell>
        </row>
        <row r="856">
          <cell r="E856">
            <v>33290403</v>
          </cell>
          <cell r="FK856">
            <v>1</v>
          </cell>
        </row>
        <row r="857">
          <cell r="E857">
            <v>33290403</v>
          </cell>
          <cell r="FK857">
            <v>1</v>
          </cell>
        </row>
        <row r="858">
          <cell r="E858">
            <v>33290403</v>
          </cell>
          <cell r="FK858">
            <v>0</v>
          </cell>
        </row>
        <row r="859">
          <cell r="E859">
            <v>33290403</v>
          </cell>
          <cell r="FK859">
            <v>0</v>
          </cell>
        </row>
        <row r="860">
          <cell r="E860">
            <v>33290403</v>
          </cell>
          <cell r="FK860">
            <v>1</v>
          </cell>
        </row>
        <row r="861">
          <cell r="E861">
            <v>33290403</v>
          </cell>
          <cell r="FK861">
            <v>0</v>
          </cell>
        </row>
        <row r="862">
          <cell r="E862">
            <v>33290403</v>
          </cell>
          <cell r="FK862">
            <v>1</v>
          </cell>
        </row>
        <row r="863">
          <cell r="E863">
            <v>33290403</v>
          </cell>
          <cell r="FK863">
            <v>0</v>
          </cell>
        </row>
        <row r="864">
          <cell r="E864">
            <v>33290403</v>
          </cell>
          <cell r="FK864">
            <v>1</v>
          </cell>
        </row>
        <row r="865">
          <cell r="E865">
            <v>33290403</v>
          </cell>
          <cell r="FK865">
            <v>0</v>
          </cell>
        </row>
        <row r="866">
          <cell r="E866">
            <v>33290403</v>
          </cell>
          <cell r="FK866">
            <v>1</v>
          </cell>
        </row>
        <row r="867">
          <cell r="E867">
            <v>33290403</v>
          </cell>
          <cell r="FK867">
            <v>0</v>
          </cell>
        </row>
        <row r="868">
          <cell r="E868">
            <v>33290403</v>
          </cell>
          <cell r="FK868">
            <v>1</v>
          </cell>
        </row>
        <row r="869">
          <cell r="E869">
            <v>33290404</v>
          </cell>
          <cell r="FK869">
            <v>0</v>
          </cell>
        </row>
        <row r="870">
          <cell r="E870">
            <v>33290404</v>
          </cell>
          <cell r="FK870">
            <v>0</v>
          </cell>
        </row>
        <row r="871">
          <cell r="E871">
            <v>33290404</v>
          </cell>
          <cell r="FK871">
            <v>0</v>
          </cell>
        </row>
        <row r="872">
          <cell r="E872">
            <v>33290404</v>
          </cell>
          <cell r="FK872">
            <v>1</v>
          </cell>
        </row>
        <row r="873">
          <cell r="E873">
            <v>33290404</v>
          </cell>
          <cell r="FK873">
            <v>0</v>
          </cell>
        </row>
        <row r="874">
          <cell r="E874">
            <v>33290404</v>
          </cell>
          <cell r="FK874">
            <v>0</v>
          </cell>
        </row>
        <row r="875">
          <cell r="E875">
            <v>33290404</v>
          </cell>
          <cell r="FK875">
            <v>0</v>
          </cell>
        </row>
        <row r="876">
          <cell r="E876">
            <v>33290404</v>
          </cell>
          <cell r="FK876">
            <v>0</v>
          </cell>
        </row>
        <row r="877">
          <cell r="E877">
            <v>33290404</v>
          </cell>
          <cell r="FK877">
            <v>0</v>
          </cell>
        </row>
        <row r="878">
          <cell r="E878">
            <v>33290404</v>
          </cell>
          <cell r="FK878">
            <v>0</v>
          </cell>
        </row>
        <row r="879">
          <cell r="E879">
            <v>33290404</v>
          </cell>
          <cell r="FK879">
            <v>0</v>
          </cell>
        </row>
        <row r="880">
          <cell r="E880">
            <v>33290404</v>
          </cell>
          <cell r="FK880">
            <v>0</v>
          </cell>
        </row>
        <row r="881">
          <cell r="E881">
            <v>33290404</v>
          </cell>
          <cell r="FK881">
            <v>0</v>
          </cell>
        </row>
        <row r="882">
          <cell r="E882">
            <v>33290404</v>
          </cell>
          <cell r="FK882">
            <v>0</v>
          </cell>
        </row>
        <row r="883">
          <cell r="E883">
            <v>33290404</v>
          </cell>
          <cell r="FK883">
            <v>0</v>
          </cell>
        </row>
        <row r="884">
          <cell r="E884">
            <v>33290404</v>
          </cell>
          <cell r="FK884">
            <v>0</v>
          </cell>
        </row>
        <row r="885">
          <cell r="E885">
            <v>33290404</v>
          </cell>
          <cell r="FK885">
            <v>0</v>
          </cell>
        </row>
        <row r="886">
          <cell r="E886">
            <v>33290404</v>
          </cell>
          <cell r="FK886">
            <v>0</v>
          </cell>
        </row>
        <row r="887">
          <cell r="E887">
            <v>33290404</v>
          </cell>
          <cell r="FK887">
            <v>0</v>
          </cell>
        </row>
        <row r="888">
          <cell r="E888">
            <v>33290404</v>
          </cell>
          <cell r="FK888">
            <v>0</v>
          </cell>
        </row>
        <row r="889">
          <cell r="E889">
            <v>33290404</v>
          </cell>
          <cell r="FK889">
            <v>0</v>
          </cell>
        </row>
        <row r="890">
          <cell r="E890">
            <v>33290404</v>
          </cell>
          <cell r="FK890">
            <v>0</v>
          </cell>
        </row>
        <row r="891">
          <cell r="E891">
            <v>33290404</v>
          </cell>
          <cell r="FK891">
            <v>0</v>
          </cell>
        </row>
        <row r="892">
          <cell r="E892">
            <v>33290404</v>
          </cell>
          <cell r="FK892">
            <v>0</v>
          </cell>
        </row>
        <row r="893">
          <cell r="E893">
            <v>33290404</v>
          </cell>
          <cell r="FK893">
            <v>0</v>
          </cell>
        </row>
        <row r="894">
          <cell r="E894">
            <v>33290404</v>
          </cell>
          <cell r="FK894">
            <v>1</v>
          </cell>
        </row>
        <row r="895">
          <cell r="E895">
            <v>33290404</v>
          </cell>
          <cell r="FK895">
            <v>0</v>
          </cell>
        </row>
        <row r="896">
          <cell r="E896">
            <v>33290404</v>
          </cell>
          <cell r="FK896">
            <v>0</v>
          </cell>
        </row>
        <row r="897">
          <cell r="E897">
            <v>33290404</v>
          </cell>
          <cell r="FK897">
            <v>0</v>
          </cell>
        </row>
        <row r="898">
          <cell r="E898">
            <v>33290404</v>
          </cell>
          <cell r="FK898">
            <v>0</v>
          </cell>
        </row>
        <row r="899">
          <cell r="E899">
            <v>33290404</v>
          </cell>
          <cell r="FK899">
            <v>0</v>
          </cell>
        </row>
        <row r="900">
          <cell r="E900">
            <v>33290404</v>
          </cell>
          <cell r="FK900">
            <v>0</v>
          </cell>
        </row>
        <row r="901">
          <cell r="E901">
            <v>33290404</v>
          </cell>
          <cell r="FK901">
            <v>0</v>
          </cell>
        </row>
        <row r="902">
          <cell r="E902">
            <v>33290404</v>
          </cell>
          <cell r="FK902">
            <v>0</v>
          </cell>
        </row>
        <row r="903">
          <cell r="E903">
            <v>33290404</v>
          </cell>
          <cell r="FK903">
            <v>1</v>
          </cell>
        </row>
        <row r="904">
          <cell r="E904">
            <v>33290404</v>
          </cell>
          <cell r="FK904">
            <v>0</v>
          </cell>
        </row>
        <row r="905">
          <cell r="E905">
            <v>33290404</v>
          </cell>
          <cell r="FK905">
            <v>0</v>
          </cell>
        </row>
        <row r="906">
          <cell r="E906">
            <v>33290404</v>
          </cell>
          <cell r="FK906">
            <v>0</v>
          </cell>
        </row>
        <row r="907">
          <cell r="E907">
            <v>33290404</v>
          </cell>
          <cell r="FK907">
            <v>0</v>
          </cell>
        </row>
        <row r="908">
          <cell r="E908">
            <v>33290404</v>
          </cell>
          <cell r="FK908">
            <v>0</v>
          </cell>
        </row>
        <row r="909">
          <cell r="E909">
            <v>33290404</v>
          </cell>
          <cell r="FK909">
            <v>0</v>
          </cell>
        </row>
        <row r="910">
          <cell r="E910">
            <v>33290404</v>
          </cell>
          <cell r="FK910">
            <v>0</v>
          </cell>
        </row>
        <row r="911">
          <cell r="E911">
            <v>33290404</v>
          </cell>
          <cell r="FK911">
            <v>0</v>
          </cell>
        </row>
        <row r="912">
          <cell r="E912">
            <v>33290404</v>
          </cell>
          <cell r="FK912">
            <v>0</v>
          </cell>
        </row>
        <row r="913">
          <cell r="E913">
            <v>33290404</v>
          </cell>
          <cell r="FK913">
            <v>1</v>
          </cell>
        </row>
        <row r="914">
          <cell r="E914">
            <v>33290404</v>
          </cell>
          <cell r="FK914">
            <v>0</v>
          </cell>
        </row>
        <row r="915">
          <cell r="E915">
            <v>33290404</v>
          </cell>
          <cell r="FK915">
            <v>0</v>
          </cell>
        </row>
        <row r="916">
          <cell r="E916">
            <v>33290404</v>
          </cell>
          <cell r="FK916">
            <v>0</v>
          </cell>
        </row>
        <row r="917">
          <cell r="E917">
            <v>33290404</v>
          </cell>
          <cell r="FK917">
            <v>0</v>
          </cell>
        </row>
        <row r="918">
          <cell r="E918">
            <v>33290404</v>
          </cell>
          <cell r="FK918">
            <v>0</v>
          </cell>
        </row>
        <row r="919">
          <cell r="E919">
            <v>33290404</v>
          </cell>
          <cell r="FK919">
            <v>1</v>
          </cell>
        </row>
        <row r="920">
          <cell r="E920">
            <v>33290404</v>
          </cell>
          <cell r="FK920">
            <v>0</v>
          </cell>
        </row>
        <row r="921">
          <cell r="E921">
            <v>33290404</v>
          </cell>
          <cell r="FK921">
            <v>0</v>
          </cell>
        </row>
        <row r="922">
          <cell r="E922">
            <v>33290404</v>
          </cell>
          <cell r="FK922">
            <v>0</v>
          </cell>
        </row>
        <row r="923">
          <cell r="E923">
            <v>33290404</v>
          </cell>
          <cell r="FK923">
            <v>0</v>
          </cell>
        </row>
        <row r="924">
          <cell r="E924">
            <v>33290404</v>
          </cell>
          <cell r="FK924">
            <v>0</v>
          </cell>
        </row>
        <row r="925">
          <cell r="E925">
            <v>33290404</v>
          </cell>
          <cell r="FK925">
            <v>0</v>
          </cell>
        </row>
        <row r="926">
          <cell r="E926">
            <v>33290404</v>
          </cell>
          <cell r="FK926">
            <v>0</v>
          </cell>
        </row>
        <row r="927">
          <cell r="E927">
            <v>33290404</v>
          </cell>
          <cell r="FK927">
            <v>0</v>
          </cell>
        </row>
        <row r="928">
          <cell r="E928">
            <v>33290404</v>
          </cell>
          <cell r="FK928">
            <v>0</v>
          </cell>
        </row>
        <row r="929">
          <cell r="E929">
            <v>33290404</v>
          </cell>
          <cell r="FK929">
            <v>0</v>
          </cell>
        </row>
        <row r="930">
          <cell r="E930">
            <v>33290404</v>
          </cell>
          <cell r="FK930">
            <v>0</v>
          </cell>
        </row>
        <row r="931">
          <cell r="E931">
            <v>33290404</v>
          </cell>
          <cell r="FK931">
            <v>0</v>
          </cell>
        </row>
        <row r="932">
          <cell r="E932">
            <v>33290404</v>
          </cell>
          <cell r="FK932">
            <v>0</v>
          </cell>
        </row>
        <row r="933">
          <cell r="E933">
            <v>33290404</v>
          </cell>
          <cell r="FK933">
            <v>0</v>
          </cell>
        </row>
        <row r="934">
          <cell r="E934">
            <v>33290404</v>
          </cell>
          <cell r="FK934">
            <v>0</v>
          </cell>
        </row>
        <row r="935">
          <cell r="E935">
            <v>33290404</v>
          </cell>
          <cell r="FK935">
            <v>0</v>
          </cell>
        </row>
        <row r="936">
          <cell r="E936">
            <v>33290404</v>
          </cell>
          <cell r="FK936">
            <v>0</v>
          </cell>
        </row>
        <row r="937">
          <cell r="E937">
            <v>33290404</v>
          </cell>
          <cell r="FK937">
            <v>0</v>
          </cell>
        </row>
        <row r="938">
          <cell r="E938">
            <v>33290405</v>
          </cell>
          <cell r="FK938">
            <v>0</v>
          </cell>
        </row>
        <row r="939">
          <cell r="E939">
            <v>33290405</v>
          </cell>
          <cell r="FK939">
            <v>1</v>
          </cell>
        </row>
        <row r="940">
          <cell r="E940">
            <v>33290405</v>
          </cell>
          <cell r="FK940">
            <v>1</v>
          </cell>
        </row>
        <row r="941">
          <cell r="E941">
            <v>33290405</v>
          </cell>
          <cell r="FK941">
            <v>0</v>
          </cell>
        </row>
        <row r="942">
          <cell r="E942">
            <v>33290405</v>
          </cell>
          <cell r="FK942">
            <v>0</v>
          </cell>
        </row>
        <row r="943">
          <cell r="E943">
            <v>33290405</v>
          </cell>
          <cell r="FK943">
            <v>0</v>
          </cell>
        </row>
        <row r="944">
          <cell r="E944">
            <v>33290405</v>
          </cell>
          <cell r="FK944">
            <v>0</v>
          </cell>
        </row>
        <row r="945">
          <cell r="E945">
            <v>33290405</v>
          </cell>
          <cell r="FK945">
            <v>0</v>
          </cell>
        </row>
        <row r="946">
          <cell r="E946">
            <v>33290405</v>
          </cell>
          <cell r="FK946">
            <v>0</v>
          </cell>
        </row>
        <row r="947">
          <cell r="E947">
            <v>33290405</v>
          </cell>
          <cell r="FK947">
            <v>1</v>
          </cell>
        </row>
        <row r="948">
          <cell r="E948">
            <v>33290405</v>
          </cell>
          <cell r="FK948">
            <v>0</v>
          </cell>
        </row>
        <row r="949">
          <cell r="E949">
            <v>33290405</v>
          </cell>
          <cell r="FK949">
            <v>0</v>
          </cell>
        </row>
        <row r="950">
          <cell r="E950">
            <v>33290405</v>
          </cell>
          <cell r="FK950">
            <v>0</v>
          </cell>
        </row>
        <row r="951">
          <cell r="E951">
            <v>33290405</v>
          </cell>
          <cell r="FK951">
            <v>0</v>
          </cell>
        </row>
        <row r="952">
          <cell r="E952">
            <v>33290405</v>
          </cell>
          <cell r="FK952">
            <v>0</v>
          </cell>
        </row>
        <row r="953">
          <cell r="E953">
            <v>33290405</v>
          </cell>
          <cell r="FK953">
            <v>0</v>
          </cell>
        </row>
        <row r="954">
          <cell r="E954">
            <v>33290405</v>
          </cell>
          <cell r="FK954">
            <v>0</v>
          </cell>
        </row>
        <row r="955">
          <cell r="E955">
            <v>33290405</v>
          </cell>
          <cell r="FK955">
            <v>0</v>
          </cell>
        </row>
        <row r="956">
          <cell r="E956">
            <v>33290405</v>
          </cell>
          <cell r="FK956">
            <v>0</v>
          </cell>
        </row>
        <row r="957">
          <cell r="E957">
            <v>33290406</v>
          </cell>
          <cell r="FK957">
            <v>0</v>
          </cell>
        </row>
        <row r="958">
          <cell r="E958">
            <v>33290406</v>
          </cell>
          <cell r="FK958">
            <v>1</v>
          </cell>
        </row>
        <row r="959">
          <cell r="E959">
            <v>33290406</v>
          </cell>
          <cell r="FK959">
            <v>0</v>
          </cell>
        </row>
        <row r="960">
          <cell r="E960">
            <v>33290406</v>
          </cell>
          <cell r="FK960">
            <v>1</v>
          </cell>
        </row>
        <row r="961">
          <cell r="E961">
            <v>33290406</v>
          </cell>
          <cell r="FK961">
            <v>0</v>
          </cell>
        </row>
        <row r="962">
          <cell r="E962">
            <v>33290406</v>
          </cell>
          <cell r="FK962">
            <v>1</v>
          </cell>
        </row>
        <row r="963">
          <cell r="E963">
            <v>33290406</v>
          </cell>
          <cell r="FK963">
            <v>1</v>
          </cell>
        </row>
        <row r="964">
          <cell r="E964">
            <v>33290406</v>
          </cell>
          <cell r="FK964">
            <v>0</v>
          </cell>
        </row>
        <row r="965">
          <cell r="E965">
            <v>33290406</v>
          </cell>
          <cell r="FK965">
            <v>1</v>
          </cell>
        </row>
        <row r="966">
          <cell r="E966">
            <v>33290406</v>
          </cell>
          <cell r="FK966">
            <v>1</v>
          </cell>
        </row>
        <row r="967">
          <cell r="E967">
            <v>33290406</v>
          </cell>
          <cell r="FK967">
            <v>1</v>
          </cell>
        </row>
        <row r="968">
          <cell r="E968">
            <v>33290406</v>
          </cell>
          <cell r="FK968">
            <v>0</v>
          </cell>
        </row>
        <row r="969">
          <cell r="E969">
            <v>33290406</v>
          </cell>
          <cell r="FK969">
            <v>1</v>
          </cell>
        </row>
        <row r="970">
          <cell r="E970">
            <v>33290406</v>
          </cell>
          <cell r="FK970">
            <v>1</v>
          </cell>
        </row>
        <row r="971">
          <cell r="E971">
            <v>33290406</v>
          </cell>
          <cell r="FK971">
            <v>1</v>
          </cell>
        </row>
        <row r="972">
          <cell r="E972">
            <v>33290406</v>
          </cell>
          <cell r="FK972">
            <v>1</v>
          </cell>
        </row>
        <row r="973">
          <cell r="E973">
            <v>33290406</v>
          </cell>
          <cell r="FK973">
            <v>0</v>
          </cell>
        </row>
        <row r="974">
          <cell r="E974">
            <v>33290406</v>
          </cell>
          <cell r="FK974">
            <v>0</v>
          </cell>
        </row>
        <row r="975">
          <cell r="E975">
            <v>33290406</v>
          </cell>
          <cell r="FK975">
            <v>0</v>
          </cell>
        </row>
        <row r="976">
          <cell r="E976">
            <v>33290406</v>
          </cell>
          <cell r="FK976">
            <v>1</v>
          </cell>
        </row>
        <row r="977">
          <cell r="E977">
            <v>33290406</v>
          </cell>
          <cell r="FK977">
            <v>1</v>
          </cell>
        </row>
        <row r="978">
          <cell r="E978">
            <v>33290406</v>
          </cell>
          <cell r="FK978">
            <v>0</v>
          </cell>
        </row>
        <row r="979">
          <cell r="E979">
            <v>33290406</v>
          </cell>
          <cell r="FK979">
            <v>1</v>
          </cell>
        </row>
        <row r="980">
          <cell r="E980">
            <v>33290406</v>
          </cell>
          <cell r="FK980">
            <v>0</v>
          </cell>
        </row>
        <row r="981">
          <cell r="E981">
            <v>33290406</v>
          </cell>
          <cell r="FK981">
            <v>0</v>
          </cell>
        </row>
        <row r="982">
          <cell r="E982">
            <v>33290406</v>
          </cell>
          <cell r="FK982">
            <v>1</v>
          </cell>
        </row>
        <row r="983">
          <cell r="E983">
            <v>33290406</v>
          </cell>
          <cell r="FK983">
            <v>0</v>
          </cell>
        </row>
        <row r="984">
          <cell r="E984">
            <v>33290406</v>
          </cell>
          <cell r="FK984">
            <v>0</v>
          </cell>
        </row>
        <row r="985">
          <cell r="E985">
            <v>33290406</v>
          </cell>
          <cell r="FK985">
            <v>0</v>
          </cell>
        </row>
        <row r="986">
          <cell r="E986">
            <v>33290406</v>
          </cell>
          <cell r="FK986">
            <v>1</v>
          </cell>
        </row>
        <row r="987">
          <cell r="E987">
            <v>33290406</v>
          </cell>
          <cell r="FK987">
            <v>0</v>
          </cell>
        </row>
        <row r="988">
          <cell r="E988">
            <v>33290406</v>
          </cell>
          <cell r="FK988">
            <v>0</v>
          </cell>
        </row>
        <row r="989">
          <cell r="E989">
            <v>33290406</v>
          </cell>
          <cell r="FK989">
            <v>0</v>
          </cell>
        </row>
        <row r="990">
          <cell r="E990">
            <v>33290406</v>
          </cell>
          <cell r="FK990">
            <v>0</v>
          </cell>
        </row>
        <row r="991">
          <cell r="E991">
            <v>33290406</v>
          </cell>
          <cell r="FK991">
            <v>0</v>
          </cell>
        </row>
        <row r="992">
          <cell r="E992">
            <v>33290406</v>
          </cell>
          <cell r="FK992">
            <v>0</v>
          </cell>
        </row>
        <row r="993">
          <cell r="E993">
            <v>33290406</v>
          </cell>
          <cell r="FK993">
            <v>0</v>
          </cell>
        </row>
        <row r="994">
          <cell r="E994">
            <v>33290406</v>
          </cell>
          <cell r="FK994">
            <v>1</v>
          </cell>
        </row>
        <row r="995">
          <cell r="E995">
            <v>33290406</v>
          </cell>
          <cell r="FK995">
            <v>0</v>
          </cell>
        </row>
        <row r="996">
          <cell r="E996">
            <v>33290407</v>
          </cell>
          <cell r="FK996">
            <v>1</v>
          </cell>
        </row>
        <row r="997">
          <cell r="E997">
            <v>33290407</v>
          </cell>
          <cell r="FK997">
            <v>0</v>
          </cell>
        </row>
        <row r="998">
          <cell r="E998">
            <v>33290407</v>
          </cell>
          <cell r="FK998">
            <v>0</v>
          </cell>
        </row>
        <row r="999">
          <cell r="E999">
            <v>33290407</v>
          </cell>
          <cell r="FK999">
            <v>0</v>
          </cell>
        </row>
        <row r="1000">
          <cell r="E1000">
            <v>33290407</v>
          </cell>
          <cell r="FK1000">
            <v>0</v>
          </cell>
        </row>
        <row r="1001">
          <cell r="E1001">
            <v>33290407</v>
          </cell>
          <cell r="FK1001">
            <v>0</v>
          </cell>
        </row>
        <row r="1002">
          <cell r="E1002">
            <v>33290407</v>
          </cell>
          <cell r="FK1002">
            <v>1</v>
          </cell>
        </row>
        <row r="1003">
          <cell r="E1003">
            <v>33290407</v>
          </cell>
          <cell r="FK1003">
            <v>0</v>
          </cell>
        </row>
        <row r="1004">
          <cell r="E1004">
            <v>33290407</v>
          </cell>
          <cell r="FK1004">
            <v>0</v>
          </cell>
        </row>
        <row r="1005">
          <cell r="E1005">
            <v>33290407</v>
          </cell>
          <cell r="FK1005">
            <v>0</v>
          </cell>
        </row>
        <row r="1006">
          <cell r="E1006">
            <v>33290407</v>
          </cell>
          <cell r="FK1006">
            <v>1</v>
          </cell>
        </row>
        <row r="1007">
          <cell r="E1007">
            <v>33290407</v>
          </cell>
          <cell r="FK1007">
            <v>1</v>
          </cell>
        </row>
        <row r="1008">
          <cell r="E1008">
            <v>33290407</v>
          </cell>
          <cell r="FK1008">
            <v>0</v>
          </cell>
        </row>
        <row r="1009">
          <cell r="E1009">
            <v>33290407</v>
          </cell>
          <cell r="FK1009">
            <v>0</v>
          </cell>
        </row>
        <row r="1010">
          <cell r="E1010">
            <v>33290407</v>
          </cell>
          <cell r="FK1010">
            <v>0</v>
          </cell>
        </row>
        <row r="1011">
          <cell r="E1011">
            <v>33290407</v>
          </cell>
          <cell r="FK1011">
            <v>1</v>
          </cell>
        </row>
        <row r="1012">
          <cell r="E1012">
            <v>33290407</v>
          </cell>
          <cell r="FK1012">
            <v>1</v>
          </cell>
        </row>
        <row r="1013">
          <cell r="E1013">
            <v>33290407</v>
          </cell>
          <cell r="FK1013">
            <v>1</v>
          </cell>
        </row>
        <row r="1014">
          <cell r="E1014">
            <v>33290407</v>
          </cell>
          <cell r="FK1014">
            <v>0</v>
          </cell>
        </row>
        <row r="1015">
          <cell r="E1015">
            <v>33290407</v>
          </cell>
          <cell r="FK1015">
            <v>0</v>
          </cell>
        </row>
        <row r="1016">
          <cell r="E1016">
            <v>33290407</v>
          </cell>
          <cell r="FK1016">
            <v>1</v>
          </cell>
        </row>
        <row r="1017">
          <cell r="E1017">
            <v>33290407</v>
          </cell>
          <cell r="FK1017">
            <v>1</v>
          </cell>
        </row>
        <row r="1018">
          <cell r="E1018">
            <v>33290407</v>
          </cell>
          <cell r="FK1018">
            <v>1</v>
          </cell>
        </row>
        <row r="1019">
          <cell r="E1019">
            <v>33290407</v>
          </cell>
          <cell r="FK1019">
            <v>0</v>
          </cell>
        </row>
        <row r="1020">
          <cell r="E1020">
            <v>33290407</v>
          </cell>
          <cell r="FK1020">
            <v>0</v>
          </cell>
        </row>
        <row r="1021">
          <cell r="E1021">
            <v>33290407</v>
          </cell>
          <cell r="FK1021">
            <v>1</v>
          </cell>
        </row>
        <row r="1022">
          <cell r="E1022">
            <v>33290407</v>
          </cell>
          <cell r="FK1022">
            <v>0</v>
          </cell>
        </row>
        <row r="1023">
          <cell r="E1023">
            <v>33290407</v>
          </cell>
          <cell r="FK1023">
            <v>0</v>
          </cell>
        </row>
        <row r="1024">
          <cell r="E1024">
            <v>33290407</v>
          </cell>
          <cell r="FK1024">
            <v>0</v>
          </cell>
        </row>
        <row r="1025">
          <cell r="E1025">
            <v>33290407</v>
          </cell>
          <cell r="FK1025">
            <v>0</v>
          </cell>
        </row>
        <row r="1026">
          <cell r="E1026">
            <v>33290407</v>
          </cell>
          <cell r="FK1026">
            <v>1</v>
          </cell>
        </row>
        <row r="1027">
          <cell r="E1027">
            <v>33290407</v>
          </cell>
          <cell r="FK1027">
            <v>0</v>
          </cell>
        </row>
        <row r="1028">
          <cell r="E1028">
            <v>33290407</v>
          </cell>
          <cell r="FK1028">
            <v>0</v>
          </cell>
        </row>
        <row r="1029">
          <cell r="E1029">
            <v>33290407</v>
          </cell>
          <cell r="FK1029">
            <v>0</v>
          </cell>
        </row>
        <row r="1030">
          <cell r="E1030">
            <v>33290407</v>
          </cell>
          <cell r="FK1030">
            <v>1</v>
          </cell>
        </row>
        <row r="1031">
          <cell r="E1031">
            <v>33290407</v>
          </cell>
          <cell r="FK1031">
            <v>0</v>
          </cell>
        </row>
        <row r="1032">
          <cell r="E1032">
            <v>33290407</v>
          </cell>
          <cell r="FK1032">
            <v>0</v>
          </cell>
        </row>
        <row r="1033">
          <cell r="E1033">
            <v>33290407</v>
          </cell>
          <cell r="FK1033">
            <v>0</v>
          </cell>
        </row>
        <row r="1034">
          <cell r="E1034">
            <v>33290407</v>
          </cell>
          <cell r="FK1034">
            <v>0</v>
          </cell>
        </row>
        <row r="1035">
          <cell r="E1035">
            <v>33290407</v>
          </cell>
          <cell r="FK1035">
            <v>0</v>
          </cell>
        </row>
        <row r="1036">
          <cell r="E1036">
            <v>33290407</v>
          </cell>
          <cell r="FK1036">
            <v>0</v>
          </cell>
        </row>
        <row r="1037">
          <cell r="E1037">
            <v>33290407</v>
          </cell>
          <cell r="FK1037">
            <v>0</v>
          </cell>
        </row>
        <row r="1038">
          <cell r="E1038">
            <v>33290407</v>
          </cell>
          <cell r="FK1038">
            <v>0</v>
          </cell>
        </row>
        <row r="1039">
          <cell r="E1039">
            <v>33290407</v>
          </cell>
          <cell r="FK1039">
            <v>0</v>
          </cell>
        </row>
        <row r="1040">
          <cell r="E1040">
            <v>33290408</v>
          </cell>
          <cell r="FK1040">
            <v>0</v>
          </cell>
        </row>
        <row r="1041">
          <cell r="E1041">
            <v>33290408</v>
          </cell>
          <cell r="FK1041">
            <v>0</v>
          </cell>
        </row>
        <row r="1042">
          <cell r="E1042">
            <v>33290408</v>
          </cell>
          <cell r="FK1042">
            <v>0</v>
          </cell>
        </row>
        <row r="1043">
          <cell r="E1043">
            <v>33290408</v>
          </cell>
          <cell r="FK1043">
            <v>0</v>
          </cell>
        </row>
        <row r="1044">
          <cell r="E1044">
            <v>33290408</v>
          </cell>
          <cell r="FK1044">
            <v>0</v>
          </cell>
        </row>
        <row r="1045">
          <cell r="E1045">
            <v>33290408</v>
          </cell>
          <cell r="FK1045">
            <v>0</v>
          </cell>
        </row>
        <row r="1046">
          <cell r="E1046">
            <v>33290408</v>
          </cell>
          <cell r="FK1046">
            <v>0</v>
          </cell>
        </row>
        <row r="1047">
          <cell r="E1047">
            <v>33290408</v>
          </cell>
          <cell r="FK1047">
            <v>0</v>
          </cell>
        </row>
        <row r="1048">
          <cell r="E1048">
            <v>33290408</v>
          </cell>
          <cell r="FK1048">
            <v>0</v>
          </cell>
        </row>
        <row r="1049">
          <cell r="E1049">
            <v>33290408</v>
          </cell>
          <cell r="FK1049">
            <v>0</v>
          </cell>
        </row>
        <row r="1050">
          <cell r="E1050">
            <v>33290408</v>
          </cell>
          <cell r="FK1050">
            <v>0</v>
          </cell>
        </row>
        <row r="1051">
          <cell r="E1051">
            <v>33290408</v>
          </cell>
          <cell r="FK1051">
            <v>0</v>
          </cell>
        </row>
        <row r="1052">
          <cell r="E1052">
            <v>33290408</v>
          </cell>
          <cell r="FK1052">
            <v>1</v>
          </cell>
        </row>
        <row r="1053">
          <cell r="E1053">
            <v>33290408</v>
          </cell>
          <cell r="FK1053">
            <v>0</v>
          </cell>
        </row>
        <row r="1054">
          <cell r="E1054">
            <v>33290408</v>
          </cell>
          <cell r="FK1054">
            <v>0</v>
          </cell>
        </row>
        <row r="1055">
          <cell r="E1055">
            <v>33290408</v>
          </cell>
          <cell r="FK1055">
            <v>0</v>
          </cell>
        </row>
        <row r="1056">
          <cell r="E1056">
            <v>33290408</v>
          </cell>
          <cell r="FK1056">
            <v>0</v>
          </cell>
        </row>
        <row r="1057">
          <cell r="E1057">
            <v>33290408</v>
          </cell>
          <cell r="FK1057">
            <v>0</v>
          </cell>
        </row>
        <row r="1058">
          <cell r="E1058">
            <v>33290408</v>
          </cell>
          <cell r="FK1058">
            <v>1</v>
          </cell>
        </row>
        <row r="1059">
          <cell r="E1059">
            <v>33290408</v>
          </cell>
          <cell r="FK1059">
            <v>0</v>
          </cell>
        </row>
        <row r="1060">
          <cell r="E1060">
            <v>33290408</v>
          </cell>
          <cell r="FK1060">
            <v>0</v>
          </cell>
        </row>
        <row r="1061">
          <cell r="E1061">
            <v>33290408</v>
          </cell>
          <cell r="FK1061">
            <v>0</v>
          </cell>
        </row>
        <row r="1062">
          <cell r="E1062">
            <v>33290408</v>
          </cell>
          <cell r="FK1062">
            <v>0</v>
          </cell>
        </row>
        <row r="1063">
          <cell r="E1063">
            <v>33290408</v>
          </cell>
          <cell r="FK1063">
            <v>0</v>
          </cell>
        </row>
        <row r="1064">
          <cell r="E1064">
            <v>33290408</v>
          </cell>
          <cell r="FK1064">
            <v>0</v>
          </cell>
        </row>
        <row r="1065">
          <cell r="E1065">
            <v>33290408</v>
          </cell>
          <cell r="FK1065">
            <v>0</v>
          </cell>
        </row>
        <row r="1066">
          <cell r="E1066">
            <v>33290408</v>
          </cell>
          <cell r="FK1066">
            <v>0</v>
          </cell>
        </row>
        <row r="1067">
          <cell r="E1067">
            <v>33290408</v>
          </cell>
          <cell r="FK1067">
            <v>0</v>
          </cell>
        </row>
        <row r="1068">
          <cell r="E1068">
            <v>33290408</v>
          </cell>
          <cell r="FK1068">
            <v>0</v>
          </cell>
        </row>
        <row r="1069">
          <cell r="E1069">
            <v>33290408</v>
          </cell>
          <cell r="FK1069">
            <v>0</v>
          </cell>
        </row>
        <row r="1070">
          <cell r="E1070">
            <v>33290408</v>
          </cell>
          <cell r="FK1070">
            <v>0</v>
          </cell>
        </row>
        <row r="1071">
          <cell r="E1071">
            <v>33290408</v>
          </cell>
          <cell r="FK1071">
            <v>0</v>
          </cell>
        </row>
        <row r="1072">
          <cell r="E1072">
            <v>33290408</v>
          </cell>
          <cell r="FK1072">
            <v>0</v>
          </cell>
        </row>
        <row r="1073">
          <cell r="E1073">
            <v>33290408</v>
          </cell>
          <cell r="FK1073">
            <v>0</v>
          </cell>
        </row>
        <row r="1074">
          <cell r="E1074">
            <v>33290408</v>
          </cell>
          <cell r="FK1074">
            <v>1</v>
          </cell>
        </row>
        <row r="1075">
          <cell r="E1075">
            <v>33290408</v>
          </cell>
          <cell r="FK1075">
            <v>0</v>
          </cell>
        </row>
        <row r="1076">
          <cell r="E1076">
            <v>33290409</v>
          </cell>
          <cell r="FK1076">
            <v>0</v>
          </cell>
        </row>
        <row r="1077">
          <cell r="E1077">
            <v>33290409</v>
          </cell>
          <cell r="FK1077">
            <v>0</v>
          </cell>
        </row>
        <row r="1078">
          <cell r="E1078">
            <v>33290409</v>
          </cell>
          <cell r="FK1078">
            <v>0</v>
          </cell>
        </row>
        <row r="1079">
          <cell r="E1079">
            <v>33290409</v>
          </cell>
          <cell r="FK1079">
            <v>0</v>
          </cell>
        </row>
        <row r="1080">
          <cell r="E1080">
            <v>33290409</v>
          </cell>
          <cell r="FK1080">
            <v>0</v>
          </cell>
        </row>
        <row r="1081">
          <cell r="E1081">
            <v>33290409</v>
          </cell>
          <cell r="FK1081">
            <v>0</v>
          </cell>
        </row>
        <row r="1082">
          <cell r="E1082">
            <v>33290409</v>
          </cell>
          <cell r="FK1082">
            <v>0</v>
          </cell>
        </row>
        <row r="1083">
          <cell r="E1083">
            <v>33290409</v>
          </cell>
          <cell r="FK1083">
            <v>0</v>
          </cell>
        </row>
        <row r="1084">
          <cell r="E1084">
            <v>33290409</v>
          </cell>
          <cell r="FK1084">
            <v>0</v>
          </cell>
        </row>
        <row r="1085">
          <cell r="E1085">
            <v>33290410</v>
          </cell>
          <cell r="FK1085">
            <v>0</v>
          </cell>
        </row>
        <row r="1086">
          <cell r="E1086">
            <v>33290410</v>
          </cell>
          <cell r="FK1086">
            <v>0</v>
          </cell>
        </row>
        <row r="1087">
          <cell r="E1087">
            <v>33290410</v>
          </cell>
          <cell r="FK1087">
            <v>0</v>
          </cell>
        </row>
        <row r="1088">
          <cell r="E1088">
            <v>33290410</v>
          </cell>
          <cell r="FK1088">
            <v>0</v>
          </cell>
        </row>
        <row r="1089">
          <cell r="E1089">
            <v>33290410</v>
          </cell>
          <cell r="FK1089">
            <v>0</v>
          </cell>
        </row>
        <row r="1090">
          <cell r="E1090">
            <v>33290410</v>
          </cell>
          <cell r="FK1090">
            <v>0</v>
          </cell>
        </row>
        <row r="1091">
          <cell r="E1091">
            <v>33290410</v>
          </cell>
          <cell r="FK1091">
            <v>0</v>
          </cell>
        </row>
        <row r="1092">
          <cell r="E1092">
            <v>33290410</v>
          </cell>
          <cell r="FK1092">
            <v>0</v>
          </cell>
        </row>
        <row r="1093">
          <cell r="E1093">
            <v>33290410</v>
          </cell>
          <cell r="FK1093">
            <v>0</v>
          </cell>
        </row>
        <row r="1094">
          <cell r="E1094">
            <v>33290410</v>
          </cell>
          <cell r="FK1094">
            <v>0</v>
          </cell>
        </row>
        <row r="1095">
          <cell r="E1095">
            <v>33290410</v>
          </cell>
          <cell r="FK1095">
            <v>0</v>
          </cell>
        </row>
        <row r="1096">
          <cell r="E1096">
            <v>33290410</v>
          </cell>
          <cell r="FK1096">
            <v>0</v>
          </cell>
        </row>
        <row r="1097">
          <cell r="E1097">
            <v>33290410</v>
          </cell>
          <cell r="FK1097">
            <v>0</v>
          </cell>
        </row>
        <row r="1098">
          <cell r="E1098">
            <v>33290410</v>
          </cell>
          <cell r="FK1098">
            <v>0</v>
          </cell>
        </row>
        <row r="1099">
          <cell r="E1099">
            <v>33290410</v>
          </cell>
          <cell r="FK1099">
            <v>0</v>
          </cell>
        </row>
        <row r="1100">
          <cell r="E1100">
            <v>33290410</v>
          </cell>
          <cell r="FK1100">
            <v>0</v>
          </cell>
        </row>
        <row r="1101">
          <cell r="E1101">
            <v>33290410</v>
          </cell>
          <cell r="FK1101">
            <v>0</v>
          </cell>
        </row>
        <row r="1102">
          <cell r="E1102">
            <v>33290410</v>
          </cell>
          <cell r="FK1102">
            <v>0</v>
          </cell>
        </row>
        <row r="1103">
          <cell r="E1103">
            <v>33290410</v>
          </cell>
          <cell r="FK1103">
            <v>0</v>
          </cell>
        </row>
        <row r="1104">
          <cell r="E1104">
            <v>33290410</v>
          </cell>
          <cell r="FK1104">
            <v>0</v>
          </cell>
        </row>
        <row r="1105">
          <cell r="E1105">
            <v>33290410</v>
          </cell>
          <cell r="FK1105">
            <v>0</v>
          </cell>
        </row>
        <row r="1106">
          <cell r="E1106">
            <v>33290410</v>
          </cell>
          <cell r="FK1106">
            <v>0</v>
          </cell>
        </row>
        <row r="1107">
          <cell r="E1107">
            <v>33290410</v>
          </cell>
          <cell r="FK1107">
            <v>0</v>
          </cell>
        </row>
        <row r="1108">
          <cell r="E1108">
            <v>33290410</v>
          </cell>
          <cell r="FK1108">
            <v>0</v>
          </cell>
        </row>
        <row r="1109">
          <cell r="E1109">
            <v>33290410</v>
          </cell>
          <cell r="FK1109">
            <v>0</v>
          </cell>
        </row>
        <row r="1110">
          <cell r="E1110">
            <v>33290410</v>
          </cell>
          <cell r="FK1110">
            <v>1</v>
          </cell>
        </row>
        <row r="1111">
          <cell r="E1111">
            <v>33290410</v>
          </cell>
          <cell r="FK1111">
            <v>0</v>
          </cell>
        </row>
        <row r="1112">
          <cell r="E1112">
            <v>33290410</v>
          </cell>
          <cell r="FK1112">
            <v>0</v>
          </cell>
        </row>
        <row r="1113">
          <cell r="E1113">
            <v>33290410</v>
          </cell>
          <cell r="FK1113">
            <v>0</v>
          </cell>
        </row>
        <row r="1114">
          <cell r="E1114">
            <v>33290410</v>
          </cell>
          <cell r="FK1114">
            <v>0</v>
          </cell>
        </row>
        <row r="1115">
          <cell r="E1115">
            <v>33290410</v>
          </cell>
          <cell r="FK1115">
            <v>0</v>
          </cell>
        </row>
        <row r="1116">
          <cell r="E1116">
            <v>33290410</v>
          </cell>
          <cell r="FK1116">
            <v>0</v>
          </cell>
        </row>
        <row r="1117">
          <cell r="E1117">
            <v>33290410</v>
          </cell>
          <cell r="FK1117">
            <v>0</v>
          </cell>
        </row>
        <row r="1118">
          <cell r="E1118">
            <v>33290410</v>
          </cell>
          <cell r="FK1118">
            <v>0</v>
          </cell>
        </row>
        <row r="1119">
          <cell r="E1119">
            <v>33290410</v>
          </cell>
          <cell r="FK1119">
            <v>1</v>
          </cell>
        </row>
        <row r="1120">
          <cell r="E1120">
            <v>33290410</v>
          </cell>
          <cell r="FK1120">
            <v>1</v>
          </cell>
        </row>
        <row r="1121">
          <cell r="E1121">
            <v>33290410</v>
          </cell>
          <cell r="FK1121">
            <v>0</v>
          </cell>
        </row>
        <row r="1122">
          <cell r="E1122">
            <v>33290410</v>
          </cell>
          <cell r="FK1122">
            <v>0</v>
          </cell>
        </row>
        <row r="1123">
          <cell r="E1123">
            <v>33290410</v>
          </cell>
          <cell r="FK1123">
            <v>0</v>
          </cell>
        </row>
        <row r="1124">
          <cell r="E1124">
            <v>33290410</v>
          </cell>
          <cell r="FK1124">
            <v>0</v>
          </cell>
        </row>
        <row r="1125">
          <cell r="E1125">
            <v>33290411</v>
          </cell>
          <cell r="FK1125">
            <v>0</v>
          </cell>
        </row>
        <row r="1126">
          <cell r="E1126">
            <v>33290411</v>
          </cell>
          <cell r="FK1126">
            <v>0</v>
          </cell>
        </row>
        <row r="1127">
          <cell r="E1127">
            <v>33290411</v>
          </cell>
          <cell r="FK1127">
            <v>0</v>
          </cell>
        </row>
        <row r="1128">
          <cell r="E1128">
            <v>33290411</v>
          </cell>
          <cell r="FK1128">
            <v>0</v>
          </cell>
        </row>
        <row r="1129">
          <cell r="E1129">
            <v>33290411</v>
          </cell>
          <cell r="FK1129">
            <v>0</v>
          </cell>
        </row>
        <row r="1130">
          <cell r="E1130">
            <v>33290411</v>
          </cell>
          <cell r="FK1130">
            <v>0</v>
          </cell>
        </row>
        <row r="1131">
          <cell r="E1131">
            <v>33290411</v>
          </cell>
          <cell r="FK1131">
            <v>0</v>
          </cell>
        </row>
        <row r="1132">
          <cell r="E1132">
            <v>33290411</v>
          </cell>
          <cell r="FK1132">
            <v>0</v>
          </cell>
        </row>
        <row r="1133">
          <cell r="E1133">
            <v>33290411</v>
          </cell>
          <cell r="FK1133">
            <v>0</v>
          </cell>
        </row>
        <row r="1134">
          <cell r="E1134">
            <v>33290411</v>
          </cell>
          <cell r="FK1134">
            <v>0</v>
          </cell>
        </row>
        <row r="1135">
          <cell r="E1135">
            <v>33290411</v>
          </cell>
          <cell r="FK1135">
            <v>0</v>
          </cell>
        </row>
        <row r="1136">
          <cell r="E1136">
            <v>33290411</v>
          </cell>
          <cell r="FK1136">
            <v>0</v>
          </cell>
        </row>
        <row r="1137">
          <cell r="E1137">
            <v>33290411</v>
          </cell>
          <cell r="FK1137">
            <v>1</v>
          </cell>
        </row>
        <row r="1138">
          <cell r="E1138">
            <v>33290411</v>
          </cell>
          <cell r="FK1138">
            <v>0</v>
          </cell>
        </row>
        <row r="1139">
          <cell r="E1139">
            <v>33290411</v>
          </cell>
          <cell r="FK1139">
            <v>0</v>
          </cell>
        </row>
        <row r="1140">
          <cell r="E1140">
            <v>33290411</v>
          </cell>
          <cell r="FK1140">
            <v>0</v>
          </cell>
        </row>
        <row r="1141">
          <cell r="E1141">
            <v>33290411</v>
          </cell>
          <cell r="FK1141">
            <v>0</v>
          </cell>
        </row>
        <row r="1142">
          <cell r="E1142">
            <v>33290411</v>
          </cell>
          <cell r="FK1142">
            <v>0</v>
          </cell>
        </row>
        <row r="1143">
          <cell r="E1143">
            <v>33290411</v>
          </cell>
          <cell r="FK1143">
            <v>0</v>
          </cell>
        </row>
        <row r="1144">
          <cell r="E1144">
            <v>33290411</v>
          </cell>
          <cell r="FK1144">
            <v>0</v>
          </cell>
        </row>
        <row r="1145">
          <cell r="E1145">
            <v>33290411</v>
          </cell>
          <cell r="FK1145">
            <v>0</v>
          </cell>
        </row>
        <row r="1146">
          <cell r="E1146">
            <v>33290411</v>
          </cell>
          <cell r="FK1146">
            <v>0</v>
          </cell>
        </row>
        <row r="1147">
          <cell r="E1147">
            <v>33290411</v>
          </cell>
          <cell r="FK1147">
            <v>0</v>
          </cell>
        </row>
        <row r="1148">
          <cell r="E1148">
            <v>33290411</v>
          </cell>
          <cell r="FK1148">
            <v>0</v>
          </cell>
        </row>
        <row r="1149">
          <cell r="E1149">
            <v>33290411</v>
          </cell>
          <cell r="FK1149">
            <v>0</v>
          </cell>
        </row>
        <row r="1150">
          <cell r="E1150">
            <v>33290411</v>
          </cell>
          <cell r="FK1150">
            <v>0</v>
          </cell>
        </row>
        <row r="1151">
          <cell r="E1151">
            <v>33290411</v>
          </cell>
          <cell r="FK1151">
            <v>0</v>
          </cell>
        </row>
        <row r="1152">
          <cell r="E1152">
            <v>33290411</v>
          </cell>
          <cell r="FK1152">
            <v>0</v>
          </cell>
        </row>
        <row r="1153">
          <cell r="E1153">
            <v>33290411</v>
          </cell>
          <cell r="FK1153">
            <v>0</v>
          </cell>
        </row>
        <row r="1154">
          <cell r="E1154">
            <v>33290411</v>
          </cell>
          <cell r="FK1154">
            <v>0</v>
          </cell>
        </row>
        <row r="1155">
          <cell r="E1155">
            <v>33290411</v>
          </cell>
          <cell r="FK1155">
            <v>0</v>
          </cell>
        </row>
        <row r="1156">
          <cell r="E1156">
            <v>33290412</v>
          </cell>
          <cell r="FK1156">
            <v>0</v>
          </cell>
        </row>
        <row r="1157">
          <cell r="E1157">
            <v>33290412</v>
          </cell>
          <cell r="FK1157">
            <v>0</v>
          </cell>
        </row>
        <row r="1158">
          <cell r="E1158">
            <v>33290412</v>
          </cell>
          <cell r="FK1158">
            <v>0</v>
          </cell>
        </row>
        <row r="1159">
          <cell r="E1159">
            <v>33290412</v>
          </cell>
          <cell r="FK1159">
            <v>0</v>
          </cell>
        </row>
        <row r="1160">
          <cell r="E1160">
            <v>33290412</v>
          </cell>
          <cell r="FK1160">
            <v>0</v>
          </cell>
        </row>
        <row r="1161">
          <cell r="E1161">
            <v>33290412</v>
          </cell>
          <cell r="FK1161">
            <v>0</v>
          </cell>
        </row>
        <row r="1162">
          <cell r="E1162">
            <v>33290412</v>
          </cell>
          <cell r="FK1162">
            <v>0</v>
          </cell>
        </row>
        <row r="1163">
          <cell r="E1163">
            <v>33290412</v>
          </cell>
          <cell r="FK1163">
            <v>0</v>
          </cell>
        </row>
        <row r="1164">
          <cell r="E1164">
            <v>33290412</v>
          </cell>
          <cell r="FK1164">
            <v>0</v>
          </cell>
        </row>
        <row r="1165">
          <cell r="E1165">
            <v>33290412</v>
          </cell>
          <cell r="FK1165">
            <v>0</v>
          </cell>
        </row>
        <row r="1166">
          <cell r="E1166">
            <v>33290412</v>
          </cell>
          <cell r="FK1166">
            <v>0</v>
          </cell>
        </row>
        <row r="1167">
          <cell r="E1167">
            <v>33290412</v>
          </cell>
          <cell r="FK1167">
            <v>0</v>
          </cell>
        </row>
        <row r="1168">
          <cell r="E1168">
            <v>33290412</v>
          </cell>
          <cell r="FK1168">
            <v>0</v>
          </cell>
        </row>
        <row r="1169">
          <cell r="E1169">
            <v>33290412</v>
          </cell>
          <cell r="FK1169">
            <v>0</v>
          </cell>
        </row>
        <row r="1170">
          <cell r="E1170">
            <v>33290412</v>
          </cell>
          <cell r="FK1170">
            <v>0</v>
          </cell>
        </row>
        <row r="1171">
          <cell r="E1171">
            <v>33290412</v>
          </cell>
          <cell r="FK1171">
            <v>0</v>
          </cell>
        </row>
        <row r="1172">
          <cell r="E1172">
            <v>33290412</v>
          </cell>
          <cell r="FK1172">
            <v>0</v>
          </cell>
        </row>
        <row r="1173">
          <cell r="E1173">
            <v>33290412</v>
          </cell>
          <cell r="FK1173">
            <v>0</v>
          </cell>
        </row>
        <row r="1174">
          <cell r="E1174">
            <v>33290412</v>
          </cell>
          <cell r="FK1174">
            <v>0</v>
          </cell>
        </row>
        <row r="1175">
          <cell r="E1175">
            <v>33290412</v>
          </cell>
          <cell r="FK1175">
            <v>0</v>
          </cell>
        </row>
        <row r="1176">
          <cell r="E1176">
            <v>33290412</v>
          </cell>
          <cell r="FK1176">
            <v>0</v>
          </cell>
        </row>
        <row r="1177">
          <cell r="E1177">
            <v>33290412</v>
          </cell>
          <cell r="FK1177">
            <v>0</v>
          </cell>
        </row>
        <row r="1178">
          <cell r="E1178">
            <v>33290413</v>
          </cell>
          <cell r="FK1178">
            <v>0</v>
          </cell>
        </row>
        <row r="1179">
          <cell r="E1179">
            <v>33290413</v>
          </cell>
          <cell r="FK1179">
            <v>1</v>
          </cell>
        </row>
        <row r="1180">
          <cell r="E1180">
            <v>33290413</v>
          </cell>
          <cell r="FK1180">
            <v>0</v>
          </cell>
        </row>
        <row r="1181">
          <cell r="E1181">
            <v>33290413</v>
          </cell>
          <cell r="FK1181">
            <v>0</v>
          </cell>
        </row>
        <row r="1182">
          <cell r="E1182">
            <v>33290413</v>
          </cell>
          <cell r="FK1182">
            <v>0</v>
          </cell>
        </row>
        <row r="1183">
          <cell r="E1183">
            <v>33290413</v>
          </cell>
          <cell r="FK1183">
            <v>1</v>
          </cell>
        </row>
        <row r="1184">
          <cell r="E1184">
            <v>33290413</v>
          </cell>
          <cell r="FK1184">
            <v>0</v>
          </cell>
        </row>
        <row r="1185">
          <cell r="E1185">
            <v>33290413</v>
          </cell>
          <cell r="FK1185">
            <v>13</v>
          </cell>
        </row>
        <row r="1186">
          <cell r="E1186">
            <v>33290413</v>
          </cell>
          <cell r="FK1186">
            <v>0</v>
          </cell>
        </row>
        <row r="1187">
          <cell r="E1187">
            <v>33290413</v>
          </cell>
          <cell r="FK1187">
            <v>14</v>
          </cell>
        </row>
        <row r="1188">
          <cell r="E1188">
            <v>33290413</v>
          </cell>
          <cell r="FK1188">
            <v>0</v>
          </cell>
        </row>
        <row r="1189">
          <cell r="E1189">
            <v>33290413</v>
          </cell>
          <cell r="FK1189">
            <v>0</v>
          </cell>
        </row>
        <row r="1190">
          <cell r="E1190">
            <v>33290414</v>
          </cell>
          <cell r="FK1190">
            <v>0</v>
          </cell>
        </row>
        <row r="1191">
          <cell r="E1191">
            <v>33290414</v>
          </cell>
          <cell r="FK1191">
            <v>0</v>
          </cell>
        </row>
        <row r="1192">
          <cell r="E1192">
            <v>33290414</v>
          </cell>
          <cell r="FK1192">
            <v>0</v>
          </cell>
        </row>
        <row r="1193">
          <cell r="E1193">
            <v>33290414</v>
          </cell>
          <cell r="FK1193">
            <v>0</v>
          </cell>
        </row>
        <row r="1194">
          <cell r="E1194">
            <v>33290414</v>
          </cell>
          <cell r="FK1194">
            <v>0</v>
          </cell>
        </row>
        <row r="1195">
          <cell r="E1195">
            <v>33290414</v>
          </cell>
          <cell r="FK1195">
            <v>0</v>
          </cell>
        </row>
        <row r="1196">
          <cell r="E1196">
            <v>33290414</v>
          </cell>
          <cell r="FK1196">
            <v>0</v>
          </cell>
        </row>
        <row r="1197">
          <cell r="E1197">
            <v>33290414</v>
          </cell>
          <cell r="FK1197">
            <v>0</v>
          </cell>
        </row>
        <row r="1198">
          <cell r="E1198">
            <v>33290414</v>
          </cell>
          <cell r="FK1198">
            <v>0</v>
          </cell>
        </row>
        <row r="1199">
          <cell r="E1199">
            <v>33290414</v>
          </cell>
          <cell r="FK1199">
            <v>0</v>
          </cell>
        </row>
        <row r="1200">
          <cell r="E1200">
            <v>33290414</v>
          </cell>
          <cell r="FK1200">
            <v>0</v>
          </cell>
        </row>
        <row r="1201">
          <cell r="E1201">
            <v>33290414</v>
          </cell>
          <cell r="FK1201">
            <v>0</v>
          </cell>
        </row>
        <row r="1202">
          <cell r="E1202">
            <v>33290414</v>
          </cell>
          <cell r="FK1202">
            <v>0</v>
          </cell>
        </row>
        <row r="1203">
          <cell r="E1203">
            <v>33290414</v>
          </cell>
          <cell r="FK1203">
            <v>0</v>
          </cell>
        </row>
        <row r="1204">
          <cell r="E1204">
            <v>33290414</v>
          </cell>
          <cell r="FK1204">
            <v>0</v>
          </cell>
        </row>
        <row r="1205">
          <cell r="E1205">
            <v>33290414</v>
          </cell>
          <cell r="FK1205">
            <v>0</v>
          </cell>
        </row>
        <row r="1206">
          <cell r="E1206">
            <v>33290414</v>
          </cell>
          <cell r="FK1206">
            <v>0</v>
          </cell>
        </row>
        <row r="1207">
          <cell r="E1207">
            <v>33290415</v>
          </cell>
          <cell r="FK1207">
            <v>0</v>
          </cell>
        </row>
        <row r="1208">
          <cell r="E1208">
            <v>33290415</v>
          </cell>
          <cell r="FK1208">
            <v>0</v>
          </cell>
        </row>
        <row r="1209">
          <cell r="E1209">
            <v>33290415</v>
          </cell>
          <cell r="FK1209">
            <v>0</v>
          </cell>
        </row>
        <row r="1210">
          <cell r="E1210">
            <v>33290415</v>
          </cell>
          <cell r="FK1210">
            <v>0</v>
          </cell>
        </row>
        <row r="1211">
          <cell r="E1211">
            <v>33290415</v>
          </cell>
          <cell r="FK1211">
            <v>0</v>
          </cell>
        </row>
        <row r="1212">
          <cell r="E1212">
            <v>33290415</v>
          </cell>
          <cell r="FK1212">
            <v>0</v>
          </cell>
        </row>
        <row r="1213">
          <cell r="E1213">
            <v>33290415</v>
          </cell>
          <cell r="FK1213">
            <v>0</v>
          </cell>
        </row>
        <row r="1214">
          <cell r="E1214">
            <v>33290415</v>
          </cell>
          <cell r="FK1214">
            <v>0</v>
          </cell>
        </row>
        <row r="1215">
          <cell r="E1215">
            <v>33290415</v>
          </cell>
          <cell r="FK1215">
            <v>0</v>
          </cell>
        </row>
        <row r="1216">
          <cell r="E1216">
            <v>33290415</v>
          </cell>
          <cell r="FK1216">
            <v>0</v>
          </cell>
        </row>
        <row r="1217">
          <cell r="E1217">
            <v>33290415</v>
          </cell>
          <cell r="FK1217">
            <v>0</v>
          </cell>
        </row>
        <row r="1218">
          <cell r="E1218">
            <v>33290415</v>
          </cell>
          <cell r="FK1218">
            <v>0</v>
          </cell>
        </row>
        <row r="1219">
          <cell r="E1219">
            <v>33290415</v>
          </cell>
          <cell r="FK1219">
            <v>0</v>
          </cell>
        </row>
        <row r="1220">
          <cell r="E1220">
            <v>33290415</v>
          </cell>
          <cell r="FK1220">
            <v>0</v>
          </cell>
        </row>
        <row r="1221">
          <cell r="E1221">
            <v>33290415</v>
          </cell>
          <cell r="FK1221">
            <v>0</v>
          </cell>
        </row>
        <row r="1222">
          <cell r="E1222">
            <v>33290415</v>
          </cell>
          <cell r="FK1222">
            <v>0</v>
          </cell>
        </row>
        <row r="1223">
          <cell r="E1223">
            <v>33290415</v>
          </cell>
          <cell r="FK1223">
            <v>0</v>
          </cell>
        </row>
        <row r="1224">
          <cell r="E1224">
            <v>33290415</v>
          </cell>
          <cell r="FK1224">
            <v>0</v>
          </cell>
        </row>
        <row r="1225">
          <cell r="E1225">
            <v>33290415</v>
          </cell>
          <cell r="FK1225">
            <v>0</v>
          </cell>
        </row>
        <row r="1226">
          <cell r="E1226">
            <v>33290415</v>
          </cell>
          <cell r="FK1226">
            <v>0</v>
          </cell>
        </row>
        <row r="1227">
          <cell r="E1227">
            <v>33290415</v>
          </cell>
          <cell r="FK1227">
            <v>0</v>
          </cell>
        </row>
        <row r="1228">
          <cell r="E1228">
            <v>33290415</v>
          </cell>
          <cell r="FK1228">
            <v>0</v>
          </cell>
        </row>
        <row r="1229">
          <cell r="E1229">
            <v>33290415</v>
          </cell>
          <cell r="FK1229">
            <v>0</v>
          </cell>
        </row>
        <row r="1230">
          <cell r="E1230">
            <v>33290415</v>
          </cell>
          <cell r="FK1230">
            <v>0</v>
          </cell>
        </row>
        <row r="1231">
          <cell r="E1231">
            <v>33290415</v>
          </cell>
          <cell r="FK1231">
            <v>0</v>
          </cell>
        </row>
        <row r="1232">
          <cell r="E1232">
            <v>33290415</v>
          </cell>
          <cell r="FK1232">
            <v>0</v>
          </cell>
        </row>
        <row r="1233">
          <cell r="E1233">
            <v>33290415</v>
          </cell>
          <cell r="FK1233">
            <v>0</v>
          </cell>
        </row>
        <row r="1234">
          <cell r="E1234">
            <v>33290415</v>
          </cell>
          <cell r="FK1234">
            <v>0</v>
          </cell>
        </row>
        <row r="1235">
          <cell r="E1235">
            <v>33290415</v>
          </cell>
          <cell r="FK1235">
            <v>0</v>
          </cell>
        </row>
        <row r="1236">
          <cell r="E1236">
            <v>33290415</v>
          </cell>
          <cell r="FK1236">
            <v>0</v>
          </cell>
        </row>
        <row r="1237">
          <cell r="E1237">
            <v>33290415</v>
          </cell>
          <cell r="FK1237">
            <v>0</v>
          </cell>
        </row>
        <row r="1238">
          <cell r="E1238">
            <v>33290415</v>
          </cell>
          <cell r="FK1238">
            <v>0</v>
          </cell>
        </row>
        <row r="1239">
          <cell r="E1239">
            <v>33290415</v>
          </cell>
          <cell r="FK1239">
            <v>0</v>
          </cell>
        </row>
        <row r="1240">
          <cell r="E1240">
            <v>33290415</v>
          </cell>
          <cell r="FK1240">
            <v>0</v>
          </cell>
        </row>
        <row r="1241">
          <cell r="E1241">
            <v>33290415</v>
          </cell>
          <cell r="FK1241">
            <v>0</v>
          </cell>
        </row>
        <row r="1242">
          <cell r="E1242">
            <v>33290415</v>
          </cell>
          <cell r="FK1242">
            <v>0</v>
          </cell>
        </row>
        <row r="1243">
          <cell r="E1243">
            <v>33290415</v>
          </cell>
          <cell r="FK1243">
            <v>0</v>
          </cell>
        </row>
        <row r="1244">
          <cell r="E1244">
            <v>33290415</v>
          </cell>
          <cell r="FK1244">
            <v>0</v>
          </cell>
        </row>
        <row r="1245">
          <cell r="E1245">
            <v>33290415</v>
          </cell>
          <cell r="FK1245">
            <v>0</v>
          </cell>
        </row>
        <row r="1246">
          <cell r="E1246">
            <v>33290415</v>
          </cell>
          <cell r="FK1246">
            <v>0</v>
          </cell>
        </row>
        <row r="1247">
          <cell r="E1247">
            <v>33290415</v>
          </cell>
          <cell r="FK1247">
            <v>0</v>
          </cell>
        </row>
        <row r="1248">
          <cell r="E1248">
            <v>33290415</v>
          </cell>
          <cell r="FK1248">
            <v>0</v>
          </cell>
        </row>
        <row r="1249">
          <cell r="E1249">
            <v>33290415</v>
          </cell>
          <cell r="FK1249">
            <v>0</v>
          </cell>
        </row>
        <row r="1250">
          <cell r="E1250">
            <v>33290415</v>
          </cell>
          <cell r="FK1250">
            <v>0</v>
          </cell>
        </row>
        <row r="1251">
          <cell r="E1251">
            <v>33290415</v>
          </cell>
          <cell r="FK1251">
            <v>0</v>
          </cell>
        </row>
        <row r="1252">
          <cell r="E1252">
            <v>33290415</v>
          </cell>
          <cell r="FK1252">
            <v>0</v>
          </cell>
        </row>
        <row r="1253">
          <cell r="E1253">
            <v>33290415</v>
          </cell>
          <cell r="FK1253">
            <v>0</v>
          </cell>
        </row>
        <row r="1254">
          <cell r="E1254">
            <v>33290415</v>
          </cell>
          <cell r="FK1254">
            <v>0</v>
          </cell>
        </row>
        <row r="1255">
          <cell r="E1255">
            <v>33290415</v>
          </cell>
          <cell r="FK1255">
            <v>0</v>
          </cell>
        </row>
        <row r="1256">
          <cell r="E1256">
            <v>33290415</v>
          </cell>
          <cell r="FK1256">
            <v>1</v>
          </cell>
        </row>
        <row r="1257">
          <cell r="E1257">
            <v>33290415</v>
          </cell>
          <cell r="FK1257">
            <v>0</v>
          </cell>
        </row>
        <row r="1258">
          <cell r="E1258">
            <v>33290415</v>
          </cell>
          <cell r="FK1258">
            <v>0</v>
          </cell>
        </row>
        <row r="1259">
          <cell r="E1259">
            <v>33290415</v>
          </cell>
          <cell r="FK1259">
            <v>0</v>
          </cell>
        </row>
        <row r="1260">
          <cell r="E1260">
            <v>33290415</v>
          </cell>
          <cell r="FK1260">
            <v>0</v>
          </cell>
        </row>
        <row r="1261">
          <cell r="E1261">
            <v>33290415</v>
          </cell>
          <cell r="FK1261">
            <v>0</v>
          </cell>
        </row>
        <row r="1262">
          <cell r="E1262">
            <v>33290415</v>
          </cell>
          <cell r="FK1262">
            <v>0</v>
          </cell>
        </row>
        <row r="1263">
          <cell r="E1263">
            <v>33290415</v>
          </cell>
          <cell r="FK1263">
            <v>0</v>
          </cell>
        </row>
        <row r="1264">
          <cell r="E1264">
            <v>33290415</v>
          </cell>
          <cell r="FK1264">
            <v>0</v>
          </cell>
        </row>
        <row r="1265">
          <cell r="E1265">
            <v>33290415</v>
          </cell>
          <cell r="FK1265">
            <v>1</v>
          </cell>
        </row>
        <row r="1266">
          <cell r="E1266">
            <v>33290415</v>
          </cell>
          <cell r="FK1266">
            <v>0</v>
          </cell>
        </row>
        <row r="1267">
          <cell r="E1267">
            <v>33290415</v>
          </cell>
          <cell r="FK1267">
            <v>1</v>
          </cell>
        </row>
        <row r="1268">
          <cell r="E1268">
            <v>33290415</v>
          </cell>
          <cell r="FK1268">
            <v>0</v>
          </cell>
        </row>
        <row r="1269">
          <cell r="E1269">
            <v>33290415</v>
          </cell>
          <cell r="FK1269">
            <v>0</v>
          </cell>
        </row>
        <row r="1270">
          <cell r="E1270">
            <v>33290415</v>
          </cell>
          <cell r="FK1270">
            <v>0</v>
          </cell>
        </row>
        <row r="1271">
          <cell r="E1271">
            <v>33290415</v>
          </cell>
          <cell r="FK1271">
            <v>0</v>
          </cell>
        </row>
        <row r="1272">
          <cell r="E1272">
            <v>33290415</v>
          </cell>
          <cell r="FK1272">
            <v>0</v>
          </cell>
        </row>
        <row r="1273">
          <cell r="E1273">
            <v>33290415</v>
          </cell>
          <cell r="FK1273">
            <v>0</v>
          </cell>
        </row>
        <row r="1274">
          <cell r="E1274">
            <v>33290415</v>
          </cell>
          <cell r="FK1274">
            <v>1</v>
          </cell>
        </row>
        <row r="1275">
          <cell r="E1275">
            <v>33290415</v>
          </cell>
          <cell r="FK1275">
            <v>0</v>
          </cell>
        </row>
        <row r="1276">
          <cell r="E1276">
            <v>33290415</v>
          </cell>
          <cell r="FK1276">
            <v>0</v>
          </cell>
        </row>
        <row r="1277">
          <cell r="E1277">
            <v>33290415</v>
          </cell>
          <cell r="FK1277">
            <v>0</v>
          </cell>
        </row>
        <row r="1278">
          <cell r="E1278">
            <v>33290415</v>
          </cell>
          <cell r="FK1278">
            <v>1</v>
          </cell>
        </row>
        <row r="1279">
          <cell r="E1279">
            <v>33290415</v>
          </cell>
          <cell r="FK1279">
            <v>0</v>
          </cell>
        </row>
        <row r="1280">
          <cell r="E1280">
            <v>33290415</v>
          </cell>
          <cell r="FK1280">
            <v>0</v>
          </cell>
        </row>
        <row r="1281">
          <cell r="E1281">
            <v>33290415</v>
          </cell>
          <cell r="FK1281">
            <v>0</v>
          </cell>
        </row>
        <row r="1282">
          <cell r="E1282">
            <v>33290415</v>
          </cell>
          <cell r="FK1282">
            <v>0</v>
          </cell>
        </row>
        <row r="1283">
          <cell r="E1283">
            <v>33290415</v>
          </cell>
          <cell r="FK1283">
            <v>0</v>
          </cell>
        </row>
        <row r="1284">
          <cell r="E1284">
            <v>33290415</v>
          </cell>
          <cell r="FK1284">
            <v>0</v>
          </cell>
        </row>
        <row r="1285">
          <cell r="E1285">
            <v>33290415</v>
          </cell>
          <cell r="FK1285">
            <v>0</v>
          </cell>
        </row>
        <row r="1286">
          <cell r="E1286">
            <v>33290415</v>
          </cell>
          <cell r="FK1286">
            <v>0</v>
          </cell>
        </row>
        <row r="1287">
          <cell r="E1287">
            <v>33290415</v>
          </cell>
          <cell r="FK1287">
            <v>0</v>
          </cell>
        </row>
        <row r="1288">
          <cell r="E1288">
            <v>33290415</v>
          </cell>
          <cell r="FK1288">
            <v>0</v>
          </cell>
        </row>
        <row r="1289">
          <cell r="E1289">
            <v>33290415</v>
          </cell>
          <cell r="FK1289">
            <v>0</v>
          </cell>
        </row>
        <row r="1290">
          <cell r="E1290">
            <v>33290415</v>
          </cell>
          <cell r="FK1290">
            <v>0</v>
          </cell>
        </row>
        <row r="1291">
          <cell r="E1291">
            <v>33290415</v>
          </cell>
          <cell r="FK1291">
            <v>0</v>
          </cell>
        </row>
        <row r="1292">
          <cell r="E1292">
            <v>33290415</v>
          </cell>
          <cell r="FK1292">
            <v>0</v>
          </cell>
        </row>
        <row r="1293">
          <cell r="E1293">
            <v>33290415</v>
          </cell>
          <cell r="FK1293">
            <v>0</v>
          </cell>
        </row>
        <row r="1294">
          <cell r="E1294">
            <v>33290415</v>
          </cell>
          <cell r="FK1294">
            <v>0</v>
          </cell>
        </row>
        <row r="1295">
          <cell r="E1295">
            <v>33290415</v>
          </cell>
          <cell r="FK1295">
            <v>0</v>
          </cell>
        </row>
        <row r="1296">
          <cell r="E1296">
            <v>33290415</v>
          </cell>
          <cell r="FK1296">
            <v>1</v>
          </cell>
        </row>
        <row r="1297">
          <cell r="E1297">
            <v>33290415</v>
          </cell>
          <cell r="FK1297">
            <v>0</v>
          </cell>
        </row>
        <row r="1298">
          <cell r="E1298">
            <v>33290415</v>
          </cell>
          <cell r="FK1298">
            <v>0</v>
          </cell>
        </row>
        <row r="1299">
          <cell r="E1299">
            <v>33290415</v>
          </cell>
          <cell r="FK1299">
            <v>0</v>
          </cell>
        </row>
        <row r="1300">
          <cell r="E1300">
            <v>33290415</v>
          </cell>
          <cell r="FK1300">
            <v>0</v>
          </cell>
        </row>
        <row r="1301">
          <cell r="E1301">
            <v>33290415</v>
          </cell>
          <cell r="FK1301">
            <v>0</v>
          </cell>
        </row>
        <row r="1302">
          <cell r="E1302">
            <v>33290415</v>
          </cell>
          <cell r="FK1302">
            <v>1</v>
          </cell>
        </row>
        <row r="1303">
          <cell r="E1303">
            <v>33290415</v>
          </cell>
          <cell r="FK1303">
            <v>0</v>
          </cell>
        </row>
        <row r="1304">
          <cell r="E1304">
            <v>33290415</v>
          </cell>
          <cell r="FK1304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al"/>
      <sheetName val="KEL"/>
      <sheetName val="REKAP"/>
      <sheetName val="BASIS"/>
      <sheetName val="PVT"/>
      <sheetName val="Nilai Kumuh by RT"/>
      <sheetName val="BASIS_RKP"/>
      <sheetName val="logbookSIM"/>
      <sheetName val="INDIKATOR"/>
      <sheetName val="PRINT"/>
      <sheetName val="CATATAN MASALAH"/>
      <sheetName val="SK_KMH"/>
      <sheetName val="Nilai Kumuh Kel"/>
      <sheetName val="Sheet1"/>
    </sheetNames>
    <sheetDataSet>
      <sheetData sheetId="0"/>
      <sheetData sheetId="1">
        <row r="11">
          <cell r="B11" t="str">
            <v>KAB. BREBES</v>
          </cell>
          <cell r="G11" t="str">
            <v>MAJU SEJAHTERA</v>
          </cell>
          <cell r="H11" t="str">
            <v>MANDIRI</v>
          </cell>
          <cell r="I11">
            <v>189</v>
          </cell>
          <cell r="J11" t="str">
            <v>Jasa dan perdagangan</v>
          </cell>
          <cell r="M11" t="str">
            <v>KECIL</v>
          </cell>
          <cell r="N11">
            <v>30</v>
          </cell>
        </row>
        <row r="12">
          <cell r="B12" t="str">
            <v>KAB. BREBES</v>
          </cell>
          <cell r="G12" t="str">
            <v>SEJAHTERA MANDIRI</v>
          </cell>
          <cell r="H12" t="str">
            <v>MANDIRI</v>
          </cell>
          <cell r="I12">
            <v>306</v>
          </cell>
          <cell r="J12" t="str">
            <v>Jasa dan perdagangan</v>
          </cell>
          <cell r="M12" t="str">
            <v>KECIL</v>
          </cell>
          <cell r="N12">
            <v>127</v>
          </cell>
        </row>
        <row r="13">
          <cell r="B13" t="str">
            <v>KAB. BREBES</v>
          </cell>
          <cell r="G13" t="str">
            <v>GANDASARI</v>
          </cell>
          <cell r="H13" t="str">
            <v>MANDIRI</v>
          </cell>
          <cell r="I13">
            <v>119.1</v>
          </cell>
          <cell r="J13" t="str">
            <v>Persawahan</v>
          </cell>
          <cell r="M13" t="str">
            <v>KECIL</v>
          </cell>
          <cell r="N13">
            <v>37</v>
          </cell>
        </row>
        <row r="14">
          <cell r="B14" t="str">
            <v>KAB. BREBES</v>
          </cell>
          <cell r="G14" t="str">
            <v>BINA SEJAHTERA</v>
          </cell>
          <cell r="H14" t="str">
            <v>MANDIRI</v>
          </cell>
          <cell r="I14">
            <v>218</v>
          </cell>
          <cell r="J14" t="str">
            <v>Jasa dan perdagangan</v>
          </cell>
          <cell r="M14" t="str">
            <v>KECIL</v>
          </cell>
          <cell r="N14">
            <v>37</v>
          </cell>
        </row>
        <row r="15">
          <cell r="B15" t="str">
            <v>KAB. BREBES</v>
          </cell>
          <cell r="G15" t="str">
            <v>GOTONG ROYONG</v>
          </cell>
          <cell r="H15" t="str">
            <v>BERDAYA</v>
          </cell>
          <cell r="I15">
            <v>422.21</v>
          </cell>
          <cell r="J15" t="str">
            <v>Jasa dan perdagangan</v>
          </cell>
          <cell r="M15" t="str">
            <v>KECIL</v>
          </cell>
          <cell r="N15">
            <v>45</v>
          </cell>
        </row>
        <row r="16">
          <cell r="B16" t="str">
            <v>KAB. BREBES</v>
          </cell>
          <cell r="G16" t="str">
            <v>TATA MULIA</v>
          </cell>
          <cell r="H16" t="str">
            <v>MANDIRI</v>
          </cell>
          <cell r="I16">
            <v>185</v>
          </cell>
          <cell r="J16" t="str">
            <v>Persawahan</v>
          </cell>
          <cell r="M16" t="str">
            <v>KECIL</v>
          </cell>
          <cell r="N16">
            <v>21</v>
          </cell>
        </row>
        <row r="17">
          <cell r="B17" t="str">
            <v>KAB. BREBES</v>
          </cell>
          <cell r="G17" t="str">
            <v>AMANAH</v>
          </cell>
          <cell r="H17" t="str">
            <v>MANDIRI</v>
          </cell>
          <cell r="I17">
            <v>518</v>
          </cell>
          <cell r="J17" t="str">
            <v>Jasa dan perdagangan</v>
          </cell>
          <cell r="M17" t="str">
            <v>KECIL</v>
          </cell>
          <cell r="N17">
            <v>69</v>
          </cell>
        </row>
        <row r="18">
          <cell r="B18" t="str">
            <v>KAB. BREBES</v>
          </cell>
          <cell r="G18" t="str">
            <v>MANDIRI</v>
          </cell>
          <cell r="H18" t="str">
            <v>MANDIRI</v>
          </cell>
          <cell r="I18">
            <v>168</v>
          </cell>
          <cell r="J18" t="str">
            <v>Persawahan</v>
          </cell>
          <cell r="M18" t="str">
            <v>KECIL</v>
          </cell>
          <cell r="N18">
            <v>25</v>
          </cell>
        </row>
        <row r="19">
          <cell r="B19" t="str">
            <v>KAB. BREBES</v>
          </cell>
          <cell r="G19" t="str">
            <v>SUMBER MAKMUR</v>
          </cell>
          <cell r="H19" t="str">
            <v>MANDIRI</v>
          </cell>
          <cell r="I19">
            <v>136.08000000000001</v>
          </cell>
          <cell r="J19" t="str">
            <v>Persawahan</v>
          </cell>
          <cell r="M19" t="str">
            <v>KECIL</v>
          </cell>
          <cell r="N19">
            <v>19</v>
          </cell>
        </row>
        <row r="20">
          <cell r="B20" t="str">
            <v>KAB. BREBES</v>
          </cell>
          <cell r="G20" t="str">
            <v>LANGGENG MAKMUR</v>
          </cell>
          <cell r="H20" t="str">
            <v>MANDIRI</v>
          </cell>
          <cell r="I20">
            <v>218</v>
          </cell>
          <cell r="J20" t="str">
            <v>Jasa dan perdagangan</v>
          </cell>
          <cell r="M20" t="str">
            <v>KECIL</v>
          </cell>
          <cell r="N20">
            <v>31</v>
          </cell>
        </row>
        <row r="21">
          <cell r="B21" t="str">
            <v>KAB. BREBES</v>
          </cell>
          <cell r="G21" t="str">
            <v>RUKUN SEJAHTERA</v>
          </cell>
          <cell r="H21" t="str">
            <v>MANDIRI</v>
          </cell>
          <cell r="I21">
            <v>214.315</v>
          </cell>
          <cell r="J21" t="str">
            <v>Persawahan</v>
          </cell>
          <cell r="M21" t="str">
            <v>KECIL</v>
          </cell>
          <cell r="N21">
            <v>17</v>
          </cell>
        </row>
        <row r="22">
          <cell r="B22" t="str">
            <v>KAB. BREBES</v>
          </cell>
          <cell r="G22" t="str">
            <v>TUNAS BAHARI</v>
          </cell>
          <cell r="H22" t="str">
            <v>MANDIRI</v>
          </cell>
          <cell r="I22">
            <v>680</v>
          </cell>
          <cell r="J22" t="str">
            <v>Nelayan</v>
          </cell>
          <cell r="M22" t="str">
            <v>KECIL</v>
          </cell>
          <cell r="N22">
            <v>24</v>
          </cell>
        </row>
        <row r="23">
          <cell r="B23" t="str">
            <v>KAB. BREBES</v>
          </cell>
          <cell r="G23" t="str">
            <v>BUDI LUHUR</v>
          </cell>
          <cell r="H23" t="str">
            <v>MANDIRI</v>
          </cell>
          <cell r="I23">
            <v>331.87</v>
          </cell>
          <cell r="J23" t="str">
            <v>Persawahan</v>
          </cell>
          <cell r="M23" t="str">
            <v>KECIL</v>
          </cell>
          <cell r="N23">
            <v>24</v>
          </cell>
        </row>
        <row r="24">
          <cell r="B24" t="str">
            <v>KAB. BREBES</v>
          </cell>
          <cell r="G24" t="str">
            <v>SARANA MAJU</v>
          </cell>
          <cell r="H24" t="str">
            <v>MANDIRI</v>
          </cell>
          <cell r="I24">
            <v>165915</v>
          </cell>
          <cell r="J24" t="str">
            <v>Persawahan</v>
          </cell>
          <cell r="M24" t="str">
            <v>KECIL</v>
          </cell>
          <cell r="N24">
            <v>27</v>
          </cell>
        </row>
        <row r="25">
          <cell r="B25" t="str">
            <v>KAB. BREBES</v>
          </cell>
          <cell r="G25" t="str">
            <v>TUNAS JAYA</v>
          </cell>
          <cell r="H25" t="str">
            <v>MANDIRI</v>
          </cell>
          <cell r="I25">
            <v>240.3</v>
          </cell>
          <cell r="J25" t="str">
            <v>Persawahan</v>
          </cell>
          <cell r="M25" t="str">
            <v>KECIL</v>
          </cell>
          <cell r="N25">
            <v>26</v>
          </cell>
        </row>
        <row r="26">
          <cell r="B26" t="str">
            <v>KAB. BREBES</v>
          </cell>
          <cell r="G26" t="str">
            <v>CAHAYA ABADI</v>
          </cell>
          <cell r="H26" t="str">
            <v>MANDIRI</v>
          </cell>
          <cell r="I26">
            <v>184.155</v>
          </cell>
          <cell r="J26" t="str">
            <v>Peternakan</v>
          </cell>
          <cell r="M26" t="str">
            <v>KECIL</v>
          </cell>
          <cell r="N26">
            <v>19</v>
          </cell>
        </row>
        <row r="27">
          <cell r="B27" t="str">
            <v>KAB. BREBES</v>
          </cell>
          <cell r="G27" t="str">
            <v>BAROKATUL UMMAT</v>
          </cell>
          <cell r="H27" t="str">
            <v>MANDIRI</v>
          </cell>
          <cell r="I27">
            <v>289.72000000000003</v>
          </cell>
          <cell r="J27" t="str">
            <v>Persawahan</v>
          </cell>
          <cell r="M27" t="str">
            <v>KECIL</v>
          </cell>
          <cell r="N27">
            <v>27</v>
          </cell>
        </row>
        <row r="28">
          <cell r="B28" t="str">
            <v>KAB. BREBES</v>
          </cell>
          <cell r="G28" t="str">
            <v>SEJAHTERA</v>
          </cell>
          <cell r="H28" t="str">
            <v>BERDAYA</v>
          </cell>
          <cell r="I28">
            <v>428.39</v>
          </cell>
          <cell r="J28" t="str">
            <v>Persawahan</v>
          </cell>
          <cell r="M28" t="str">
            <v>KECIL</v>
          </cell>
          <cell r="N28">
            <v>25</v>
          </cell>
        </row>
        <row r="29">
          <cell r="B29" t="str">
            <v>KAB. BREBES</v>
          </cell>
          <cell r="G29" t="str">
            <v>MUTIARA ABADI</v>
          </cell>
          <cell r="H29" t="str">
            <v>MANDIRI</v>
          </cell>
          <cell r="I29">
            <v>1365</v>
          </cell>
          <cell r="J29" t="str">
            <v>Nelayan</v>
          </cell>
          <cell r="M29" t="str">
            <v>KECIL</v>
          </cell>
          <cell r="N29">
            <v>30</v>
          </cell>
        </row>
        <row r="30">
          <cell r="B30" t="str">
            <v>KAB. BREBES</v>
          </cell>
          <cell r="G30" t="str">
            <v>RUKUN SEJAHTERA</v>
          </cell>
          <cell r="H30" t="str">
            <v>MANDIRI</v>
          </cell>
          <cell r="I30">
            <v>520</v>
          </cell>
          <cell r="J30" t="str">
            <v>Nelayan</v>
          </cell>
          <cell r="M30" t="str">
            <v>KECIL</v>
          </cell>
          <cell r="N30">
            <v>9</v>
          </cell>
        </row>
        <row r="31">
          <cell r="B31" t="str">
            <v>KAB. BREBES</v>
          </cell>
          <cell r="G31" t="str">
            <v>BINA SEJAHTERA</v>
          </cell>
          <cell r="H31" t="str">
            <v>MANDIRI</v>
          </cell>
          <cell r="I31">
            <v>75</v>
          </cell>
          <cell r="J31" t="str">
            <v>Persawahan</v>
          </cell>
          <cell r="M31" t="str">
            <v>KECIL</v>
          </cell>
          <cell r="N31">
            <v>8</v>
          </cell>
        </row>
        <row r="32">
          <cell r="B32" t="str">
            <v>KAB. BREBES</v>
          </cell>
          <cell r="G32" t="str">
            <v>MITRA SEJAHTERA</v>
          </cell>
          <cell r="H32" t="str">
            <v>MANDIRI</v>
          </cell>
          <cell r="I32">
            <v>132.5</v>
          </cell>
          <cell r="J32" t="str">
            <v>Persawahan</v>
          </cell>
          <cell r="M32" t="str">
            <v>KECIL</v>
          </cell>
          <cell r="N32">
            <v>20</v>
          </cell>
        </row>
        <row r="33">
          <cell r="B33" t="str">
            <v>KAB. BREBES</v>
          </cell>
          <cell r="G33" t="str">
            <v>SIDA MAKMUR</v>
          </cell>
          <cell r="H33" t="str">
            <v>MANDIRI</v>
          </cell>
          <cell r="I33">
            <v>120</v>
          </cell>
          <cell r="J33" t="str">
            <v>Persawahan</v>
          </cell>
          <cell r="M33" t="str">
            <v>KECIL</v>
          </cell>
          <cell r="N33">
            <v>18</v>
          </cell>
        </row>
        <row r="34">
          <cell r="B34" t="str">
            <v>KAB. BREBES</v>
          </cell>
          <cell r="G34" t="str">
            <v>BUMIAYU</v>
          </cell>
          <cell r="H34" t="str">
            <v>MANDIRI</v>
          </cell>
          <cell r="I34">
            <v>5530.95</v>
          </cell>
          <cell r="J34" t="str">
            <v>Jasa dan perdagangan</v>
          </cell>
          <cell r="M34" t="str">
            <v>KECIL</v>
          </cell>
          <cell r="N34">
            <v>52</v>
          </cell>
        </row>
        <row r="35">
          <cell r="B35" t="str">
            <v>KAB. BREBES</v>
          </cell>
          <cell r="G35" t="str">
            <v>DUKUHTURI</v>
          </cell>
          <cell r="H35" t="str">
            <v>MANDIRI</v>
          </cell>
          <cell r="I35">
            <v>3007.3</v>
          </cell>
          <cell r="J35" t="str">
            <v>Persawahan</v>
          </cell>
          <cell r="M35" t="str">
            <v>KECIL</v>
          </cell>
          <cell r="N35">
            <v>45</v>
          </cell>
        </row>
        <row r="36">
          <cell r="B36" t="str">
            <v>KAB. BREBES</v>
          </cell>
          <cell r="G36" t="str">
            <v>JATISAWIT</v>
          </cell>
          <cell r="H36" t="str">
            <v>MANDIRI</v>
          </cell>
          <cell r="I36">
            <v>219</v>
          </cell>
          <cell r="J36" t="str">
            <v>Persawahan</v>
          </cell>
          <cell r="M36" t="str">
            <v>KECIL</v>
          </cell>
          <cell r="N36">
            <v>46</v>
          </cell>
        </row>
        <row r="37">
          <cell r="B37" t="str">
            <v>KAB. BREBES</v>
          </cell>
          <cell r="G37" t="str">
            <v>KALIERANG</v>
          </cell>
          <cell r="H37" t="str">
            <v>MANDIRI</v>
          </cell>
          <cell r="I37">
            <v>272</v>
          </cell>
          <cell r="J37" t="str">
            <v>Persawahan</v>
          </cell>
          <cell r="M37" t="str">
            <v>KECIL</v>
          </cell>
          <cell r="N37">
            <v>69</v>
          </cell>
        </row>
        <row r="38">
          <cell r="B38" t="str">
            <v>KAB. BREBES</v>
          </cell>
          <cell r="G38" t="str">
            <v>AMANAH</v>
          </cell>
          <cell r="H38" t="str">
            <v>MANDIRI</v>
          </cell>
          <cell r="I38">
            <v>155.38499999999999</v>
          </cell>
          <cell r="J38" t="str">
            <v>Persawahan</v>
          </cell>
          <cell r="M38" t="str">
            <v>KECIL</v>
          </cell>
          <cell r="N38">
            <v>19</v>
          </cell>
        </row>
        <row r="39">
          <cell r="B39" t="str">
            <v>KAB. BREBES</v>
          </cell>
          <cell r="G39" t="str">
            <v>KALIWADAS</v>
          </cell>
          <cell r="H39" t="str">
            <v>MANDIRI</v>
          </cell>
          <cell r="I39">
            <v>240.535</v>
          </cell>
          <cell r="J39" t="str">
            <v>Persawahan</v>
          </cell>
          <cell r="M39" t="str">
            <v>KECIL</v>
          </cell>
          <cell r="N39">
            <v>39</v>
          </cell>
        </row>
        <row r="40">
          <cell r="B40" t="str">
            <v>KAB. BREBES</v>
          </cell>
          <cell r="G40" t="str">
            <v>MAKMUR MANDIRI SEJAHTERA</v>
          </cell>
          <cell r="H40" t="str">
            <v>MANDIRI</v>
          </cell>
          <cell r="I40">
            <v>596.60500000000002</v>
          </cell>
          <cell r="J40" t="str">
            <v>Persawahan</v>
          </cell>
          <cell r="M40" t="str">
            <v>KECIL</v>
          </cell>
          <cell r="N40">
            <v>44</v>
          </cell>
        </row>
        <row r="41">
          <cell r="B41" t="str">
            <v>KAB. BREBES</v>
          </cell>
          <cell r="G41" t="str">
            <v>HARAPAN MAJU</v>
          </cell>
          <cell r="H41" t="str">
            <v>MANDIRI</v>
          </cell>
          <cell r="I41">
            <v>3267</v>
          </cell>
          <cell r="J41" t="str">
            <v>Persawahan</v>
          </cell>
          <cell r="M41" t="str">
            <v>KECIL</v>
          </cell>
          <cell r="N41">
            <v>36</v>
          </cell>
        </row>
        <row r="42">
          <cell r="B42" t="str">
            <v>KAB. BREBES</v>
          </cell>
          <cell r="G42" t="str">
            <v>MAJU SEJAHTERA</v>
          </cell>
          <cell r="H42" t="str">
            <v>MANDIRI</v>
          </cell>
          <cell r="I42">
            <v>88</v>
          </cell>
          <cell r="J42" t="str">
            <v>Persawahan</v>
          </cell>
          <cell r="M42" t="str">
            <v>KECIL</v>
          </cell>
          <cell r="N42">
            <v>9</v>
          </cell>
        </row>
        <row r="43">
          <cell r="B43" t="str">
            <v>KAB. BREBES</v>
          </cell>
          <cell r="G43" t="str">
            <v>AKUR</v>
          </cell>
          <cell r="H43" t="str">
            <v>MANDIRI</v>
          </cell>
          <cell r="I43">
            <v>273</v>
          </cell>
          <cell r="J43" t="str">
            <v>Persawahan</v>
          </cell>
          <cell r="M43" t="str">
            <v>KECIL</v>
          </cell>
          <cell r="N43">
            <v>40</v>
          </cell>
        </row>
        <row r="44">
          <cell r="B44" t="str">
            <v>KAB. BREBES</v>
          </cell>
          <cell r="G44" t="str">
            <v>BUMI MANDIRI</v>
          </cell>
          <cell r="H44" t="str">
            <v>MANDIRI</v>
          </cell>
          <cell r="I44">
            <v>237</v>
          </cell>
          <cell r="J44" t="str">
            <v>Persawahan</v>
          </cell>
          <cell r="M44" t="str">
            <v>KECIL</v>
          </cell>
          <cell r="N44">
            <v>31</v>
          </cell>
        </row>
        <row r="45">
          <cell r="B45" t="str">
            <v>KAB. BREBES</v>
          </cell>
          <cell r="G45" t="str">
            <v>DAHA MANDIRI</v>
          </cell>
          <cell r="H45" t="str">
            <v>MANDIRI</v>
          </cell>
          <cell r="I45">
            <v>198</v>
          </cell>
          <cell r="J45" t="str">
            <v>Persawahan</v>
          </cell>
          <cell r="M45" t="str">
            <v>KECIL</v>
          </cell>
          <cell r="N45">
            <v>22</v>
          </cell>
        </row>
        <row r="46">
          <cell r="B46" t="str">
            <v>KAB. BREBES</v>
          </cell>
          <cell r="G46" t="str">
            <v>MUGI SUGIH</v>
          </cell>
          <cell r="H46" t="str">
            <v>MANDIRI</v>
          </cell>
          <cell r="I46">
            <v>85.11</v>
          </cell>
          <cell r="J46" t="str">
            <v>Persawahan</v>
          </cell>
          <cell r="M46" t="str">
            <v>KECIL</v>
          </cell>
          <cell r="N46">
            <v>12</v>
          </cell>
        </row>
        <row r="47">
          <cell r="B47" t="str">
            <v>KAB. BREBES</v>
          </cell>
          <cell r="G47" t="str">
            <v>MANDIRI SEJAHTERA</v>
          </cell>
          <cell r="H47" t="str">
            <v>MANDIRI</v>
          </cell>
          <cell r="I47">
            <v>495</v>
          </cell>
          <cell r="J47" t="str">
            <v>Persawahan</v>
          </cell>
          <cell r="M47" t="str">
            <v>KECIL</v>
          </cell>
          <cell r="N47">
            <v>17</v>
          </cell>
        </row>
        <row r="48">
          <cell r="B48" t="str">
            <v>KAB. BREBES</v>
          </cell>
          <cell r="G48" t="str">
            <v>SEHATI</v>
          </cell>
          <cell r="H48" t="str">
            <v>MANDIRI</v>
          </cell>
          <cell r="I48">
            <v>1297</v>
          </cell>
          <cell r="J48" t="str">
            <v>Persawahan</v>
          </cell>
          <cell r="M48" t="str">
            <v>KECIL</v>
          </cell>
          <cell r="N48">
            <v>98</v>
          </cell>
        </row>
      </sheetData>
      <sheetData sheetId="2"/>
      <sheetData sheetId="3">
        <row r="10">
          <cell r="E10" t="str">
            <v>5</v>
          </cell>
          <cell r="FK10" t="str">
            <v>167</v>
          </cell>
        </row>
        <row r="11">
          <cell r="E11">
            <v>33290201</v>
          </cell>
          <cell r="FK11">
            <v>0</v>
          </cell>
        </row>
        <row r="12">
          <cell r="E12">
            <v>33290201</v>
          </cell>
          <cell r="FK12">
            <v>0</v>
          </cell>
        </row>
        <row r="13">
          <cell r="E13">
            <v>33290201</v>
          </cell>
          <cell r="FK13">
            <v>0</v>
          </cell>
        </row>
        <row r="14">
          <cell r="E14">
            <v>33290201</v>
          </cell>
          <cell r="FK14">
            <v>0</v>
          </cell>
        </row>
        <row r="15">
          <cell r="E15">
            <v>33290201</v>
          </cell>
          <cell r="FK15">
            <v>0</v>
          </cell>
        </row>
        <row r="16">
          <cell r="E16">
            <v>33290201</v>
          </cell>
          <cell r="FK16">
            <v>0</v>
          </cell>
        </row>
        <row r="17">
          <cell r="E17">
            <v>33290201</v>
          </cell>
          <cell r="FK17">
            <v>0</v>
          </cell>
        </row>
        <row r="18">
          <cell r="E18">
            <v>33290201</v>
          </cell>
          <cell r="FK18">
            <v>0</v>
          </cell>
        </row>
        <row r="19">
          <cell r="E19">
            <v>33290201</v>
          </cell>
          <cell r="FK19">
            <v>1</v>
          </cell>
        </row>
        <row r="20">
          <cell r="E20">
            <v>33290201</v>
          </cell>
          <cell r="FK20">
            <v>1</v>
          </cell>
        </row>
        <row r="21">
          <cell r="E21">
            <v>33290201</v>
          </cell>
          <cell r="FK21">
            <v>0</v>
          </cell>
        </row>
        <row r="22">
          <cell r="E22">
            <v>33290201</v>
          </cell>
          <cell r="FK22">
            <v>0</v>
          </cell>
        </row>
        <row r="23">
          <cell r="E23">
            <v>33290201</v>
          </cell>
          <cell r="FK23">
            <v>0</v>
          </cell>
        </row>
        <row r="24">
          <cell r="E24">
            <v>33290201</v>
          </cell>
          <cell r="FK24">
            <v>0</v>
          </cell>
        </row>
        <row r="25">
          <cell r="E25">
            <v>33290201</v>
          </cell>
          <cell r="FK25">
            <v>0</v>
          </cell>
        </row>
        <row r="26">
          <cell r="E26">
            <v>33290201</v>
          </cell>
          <cell r="FK26">
            <v>1</v>
          </cell>
        </row>
        <row r="27">
          <cell r="E27">
            <v>33290201</v>
          </cell>
          <cell r="FK27">
            <v>0</v>
          </cell>
        </row>
        <row r="28">
          <cell r="E28">
            <v>33290201</v>
          </cell>
          <cell r="FK28">
            <v>0</v>
          </cell>
        </row>
        <row r="29">
          <cell r="E29">
            <v>33290201</v>
          </cell>
          <cell r="FK29">
            <v>0</v>
          </cell>
        </row>
        <row r="30">
          <cell r="E30">
            <v>33290201</v>
          </cell>
          <cell r="FK30">
            <v>0</v>
          </cell>
        </row>
        <row r="31">
          <cell r="E31">
            <v>33290201</v>
          </cell>
          <cell r="FK31">
            <v>0</v>
          </cell>
        </row>
        <row r="32">
          <cell r="E32">
            <v>33290201</v>
          </cell>
          <cell r="FK32">
            <v>0</v>
          </cell>
        </row>
        <row r="33">
          <cell r="E33">
            <v>33290201</v>
          </cell>
          <cell r="FK33">
            <v>1</v>
          </cell>
        </row>
        <row r="34">
          <cell r="E34">
            <v>33290201</v>
          </cell>
          <cell r="FK34">
            <v>0</v>
          </cell>
        </row>
        <row r="35">
          <cell r="E35">
            <v>33290201</v>
          </cell>
          <cell r="FK35">
            <v>0</v>
          </cell>
        </row>
        <row r="36">
          <cell r="E36">
            <v>33290201</v>
          </cell>
          <cell r="FK36">
            <v>0</v>
          </cell>
        </row>
        <row r="37">
          <cell r="E37">
            <v>33290201</v>
          </cell>
          <cell r="FK37">
            <v>0</v>
          </cell>
        </row>
        <row r="38">
          <cell r="E38">
            <v>33290201</v>
          </cell>
          <cell r="FK38">
            <v>0</v>
          </cell>
        </row>
        <row r="39">
          <cell r="E39">
            <v>33290201</v>
          </cell>
          <cell r="FK39">
            <v>0</v>
          </cell>
        </row>
        <row r="40">
          <cell r="E40">
            <v>33290201</v>
          </cell>
          <cell r="FK40">
            <v>0</v>
          </cell>
        </row>
        <row r="41">
          <cell r="E41">
            <v>33290202</v>
          </cell>
          <cell r="FK41">
            <v>0</v>
          </cell>
        </row>
        <row r="42">
          <cell r="E42">
            <v>33290202</v>
          </cell>
          <cell r="FK42">
            <v>0</v>
          </cell>
        </row>
        <row r="43">
          <cell r="E43">
            <v>33290202</v>
          </cell>
          <cell r="FK43">
            <v>0</v>
          </cell>
        </row>
        <row r="44">
          <cell r="E44">
            <v>33290202</v>
          </cell>
          <cell r="FK44">
            <v>0</v>
          </cell>
        </row>
        <row r="45">
          <cell r="E45">
            <v>33290202</v>
          </cell>
          <cell r="FK45">
            <v>0</v>
          </cell>
        </row>
        <row r="46">
          <cell r="E46">
            <v>33290202</v>
          </cell>
          <cell r="FK46">
            <v>0</v>
          </cell>
        </row>
        <row r="47">
          <cell r="E47">
            <v>33290202</v>
          </cell>
          <cell r="FK47">
            <v>0</v>
          </cell>
        </row>
        <row r="48">
          <cell r="E48">
            <v>33290202</v>
          </cell>
          <cell r="FK48">
            <v>0</v>
          </cell>
        </row>
        <row r="49">
          <cell r="E49">
            <v>33290202</v>
          </cell>
          <cell r="FK49">
            <v>0</v>
          </cell>
        </row>
        <row r="50">
          <cell r="E50">
            <v>33290202</v>
          </cell>
          <cell r="FK50">
            <v>0</v>
          </cell>
        </row>
        <row r="51">
          <cell r="E51">
            <v>33290202</v>
          </cell>
          <cell r="FK51">
            <v>0</v>
          </cell>
        </row>
        <row r="52">
          <cell r="E52">
            <v>33290202</v>
          </cell>
          <cell r="FK52">
            <v>0</v>
          </cell>
        </row>
        <row r="53">
          <cell r="E53">
            <v>33290202</v>
          </cell>
          <cell r="FK53">
            <v>0</v>
          </cell>
        </row>
        <row r="54">
          <cell r="E54">
            <v>33290202</v>
          </cell>
          <cell r="FK54">
            <v>0</v>
          </cell>
        </row>
        <row r="55">
          <cell r="E55">
            <v>33290202</v>
          </cell>
          <cell r="FK55">
            <v>0</v>
          </cell>
        </row>
        <row r="56">
          <cell r="E56">
            <v>33290202</v>
          </cell>
          <cell r="FK56">
            <v>0</v>
          </cell>
        </row>
        <row r="57">
          <cell r="E57">
            <v>33290202</v>
          </cell>
          <cell r="FK57">
            <v>0</v>
          </cell>
        </row>
        <row r="58">
          <cell r="E58">
            <v>33290202</v>
          </cell>
          <cell r="FK58">
            <v>0</v>
          </cell>
        </row>
        <row r="59">
          <cell r="E59">
            <v>33290202</v>
          </cell>
          <cell r="FK59">
            <v>0</v>
          </cell>
        </row>
        <row r="60">
          <cell r="E60">
            <v>33290202</v>
          </cell>
          <cell r="FK60">
            <v>0</v>
          </cell>
        </row>
        <row r="61">
          <cell r="E61">
            <v>33290202</v>
          </cell>
          <cell r="FK61">
            <v>0</v>
          </cell>
        </row>
        <row r="62">
          <cell r="E62">
            <v>33290202</v>
          </cell>
          <cell r="FK62">
            <v>0</v>
          </cell>
        </row>
        <row r="63">
          <cell r="E63">
            <v>33290202</v>
          </cell>
          <cell r="FK63">
            <v>0</v>
          </cell>
        </row>
        <row r="64">
          <cell r="E64">
            <v>33290202</v>
          </cell>
          <cell r="FK64">
            <v>0</v>
          </cell>
        </row>
        <row r="65">
          <cell r="E65">
            <v>33290202</v>
          </cell>
          <cell r="FK65">
            <v>0</v>
          </cell>
        </row>
        <row r="66">
          <cell r="E66">
            <v>33290202</v>
          </cell>
          <cell r="FK66">
            <v>0</v>
          </cell>
        </row>
        <row r="67">
          <cell r="E67">
            <v>33290202</v>
          </cell>
          <cell r="FK67">
            <v>0</v>
          </cell>
        </row>
        <row r="68">
          <cell r="E68">
            <v>33290202</v>
          </cell>
          <cell r="FK68">
            <v>0</v>
          </cell>
        </row>
        <row r="69">
          <cell r="E69">
            <v>33290202</v>
          </cell>
          <cell r="FK69">
            <v>1</v>
          </cell>
        </row>
        <row r="70">
          <cell r="E70">
            <v>33290202</v>
          </cell>
          <cell r="FK70">
            <v>0</v>
          </cell>
        </row>
        <row r="71">
          <cell r="E71">
            <v>33290202</v>
          </cell>
          <cell r="FK71">
            <v>0</v>
          </cell>
        </row>
        <row r="72">
          <cell r="E72">
            <v>33290202</v>
          </cell>
          <cell r="FK72">
            <v>0</v>
          </cell>
        </row>
        <row r="73">
          <cell r="E73">
            <v>33290202</v>
          </cell>
          <cell r="FK73">
            <v>0</v>
          </cell>
        </row>
        <row r="74">
          <cell r="E74">
            <v>33290202</v>
          </cell>
          <cell r="FK74">
            <v>0</v>
          </cell>
        </row>
        <row r="75">
          <cell r="E75">
            <v>33290202</v>
          </cell>
          <cell r="FK75">
            <v>0</v>
          </cell>
        </row>
        <row r="76">
          <cell r="E76">
            <v>33290202</v>
          </cell>
          <cell r="FK76">
            <v>0</v>
          </cell>
        </row>
        <row r="77">
          <cell r="E77">
            <v>33290202</v>
          </cell>
          <cell r="FK77">
            <v>0</v>
          </cell>
        </row>
        <row r="78">
          <cell r="E78">
            <v>33290202</v>
          </cell>
          <cell r="FK78">
            <v>0</v>
          </cell>
        </row>
        <row r="79">
          <cell r="E79">
            <v>33290202</v>
          </cell>
          <cell r="FK79">
            <v>0</v>
          </cell>
        </row>
        <row r="80">
          <cell r="E80">
            <v>33290202</v>
          </cell>
          <cell r="FK80">
            <v>0</v>
          </cell>
        </row>
        <row r="81">
          <cell r="E81">
            <v>33290202</v>
          </cell>
          <cell r="FK81">
            <v>0</v>
          </cell>
        </row>
        <row r="82">
          <cell r="E82">
            <v>33290202</v>
          </cell>
          <cell r="FK82">
            <v>0</v>
          </cell>
        </row>
        <row r="83">
          <cell r="E83">
            <v>33290202</v>
          </cell>
          <cell r="FK83">
            <v>0</v>
          </cell>
        </row>
        <row r="84">
          <cell r="E84">
            <v>33290202</v>
          </cell>
          <cell r="FK84">
            <v>0</v>
          </cell>
        </row>
        <row r="85">
          <cell r="E85">
            <v>33290202</v>
          </cell>
          <cell r="FK85">
            <v>0</v>
          </cell>
        </row>
        <row r="86">
          <cell r="E86">
            <v>33290202</v>
          </cell>
          <cell r="FK86">
            <v>0</v>
          </cell>
        </row>
        <row r="87">
          <cell r="E87">
            <v>33290202</v>
          </cell>
          <cell r="FK87">
            <v>0</v>
          </cell>
        </row>
        <row r="88">
          <cell r="E88">
            <v>33290202</v>
          </cell>
          <cell r="FK88">
            <v>0</v>
          </cell>
        </row>
        <row r="89">
          <cell r="E89">
            <v>33290202</v>
          </cell>
          <cell r="FK89">
            <v>0</v>
          </cell>
        </row>
        <row r="90">
          <cell r="E90">
            <v>33290202</v>
          </cell>
          <cell r="FK90">
            <v>0</v>
          </cell>
        </row>
        <row r="91">
          <cell r="E91">
            <v>33290202</v>
          </cell>
          <cell r="FK91">
            <v>0</v>
          </cell>
        </row>
        <row r="92">
          <cell r="E92">
            <v>33290202</v>
          </cell>
          <cell r="FK92">
            <v>0</v>
          </cell>
        </row>
        <row r="93">
          <cell r="E93">
            <v>33290202</v>
          </cell>
          <cell r="FK93">
            <v>0</v>
          </cell>
        </row>
        <row r="94">
          <cell r="E94">
            <v>33290202</v>
          </cell>
          <cell r="FK94">
            <v>0</v>
          </cell>
        </row>
        <row r="95">
          <cell r="E95">
            <v>33290202</v>
          </cell>
          <cell r="FK95">
            <v>0</v>
          </cell>
        </row>
        <row r="96">
          <cell r="E96">
            <v>33290202</v>
          </cell>
          <cell r="FK96">
            <v>0</v>
          </cell>
        </row>
        <row r="97">
          <cell r="E97">
            <v>33290202</v>
          </cell>
          <cell r="FK97">
            <v>0</v>
          </cell>
        </row>
        <row r="98">
          <cell r="E98">
            <v>33290202</v>
          </cell>
          <cell r="FK98">
            <v>0</v>
          </cell>
        </row>
        <row r="99">
          <cell r="E99">
            <v>33290202</v>
          </cell>
          <cell r="FK99">
            <v>0</v>
          </cell>
        </row>
        <row r="100">
          <cell r="E100">
            <v>33290202</v>
          </cell>
          <cell r="FK100">
            <v>0</v>
          </cell>
        </row>
        <row r="101">
          <cell r="E101">
            <v>33290202</v>
          </cell>
          <cell r="FK101">
            <v>0</v>
          </cell>
        </row>
        <row r="102">
          <cell r="E102">
            <v>33290202</v>
          </cell>
          <cell r="FK102">
            <v>0</v>
          </cell>
        </row>
        <row r="103">
          <cell r="E103">
            <v>33290202</v>
          </cell>
          <cell r="FK103">
            <v>0</v>
          </cell>
        </row>
        <row r="104">
          <cell r="E104">
            <v>33290202</v>
          </cell>
          <cell r="FK104">
            <v>0</v>
          </cell>
        </row>
        <row r="105">
          <cell r="E105">
            <v>33290202</v>
          </cell>
          <cell r="FK105">
            <v>0</v>
          </cell>
        </row>
        <row r="106">
          <cell r="E106">
            <v>33290202</v>
          </cell>
          <cell r="FK106">
            <v>0</v>
          </cell>
        </row>
        <row r="107">
          <cell r="E107">
            <v>33290202</v>
          </cell>
          <cell r="FK107">
            <v>0</v>
          </cell>
        </row>
        <row r="108">
          <cell r="E108">
            <v>33290202</v>
          </cell>
          <cell r="FK108">
            <v>1</v>
          </cell>
        </row>
        <row r="109">
          <cell r="E109">
            <v>33290202</v>
          </cell>
          <cell r="FK109">
            <v>0</v>
          </cell>
        </row>
        <row r="110">
          <cell r="E110">
            <v>33290202</v>
          </cell>
          <cell r="FK110">
            <v>0</v>
          </cell>
        </row>
        <row r="111">
          <cell r="E111">
            <v>33290202</v>
          </cell>
          <cell r="FK111">
            <v>0</v>
          </cell>
        </row>
        <row r="112">
          <cell r="E112">
            <v>33290202</v>
          </cell>
          <cell r="FK112">
            <v>0</v>
          </cell>
        </row>
        <row r="113">
          <cell r="E113">
            <v>33290202</v>
          </cell>
          <cell r="FK113">
            <v>0</v>
          </cell>
        </row>
        <row r="114">
          <cell r="E114">
            <v>33290202</v>
          </cell>
          <cell r="FK114">
            <v>0</v>
          </cell>
        </row>
        <row r="115">
          <cell r="E115">
            <v>33290202</v>
          </cell>
          <cell r="FK115">
            <v>0</v>
          </cell>
        </row>
        <row r="116">
          <cell r="E116">
            <v>33290202</v>
          </cell>
          <cell r="FK116">
            <v>0</v>
          </cell>
        </row>
        <row r="117">
          <cell r="E117">
            <v>33290202</v>
          </cell>
          <cell r="FK117">
            <v>0</v>
          </cell>
        </row>
        <row r="118">
          <cell r="E118">
            <v>33290202</v>
          </cell>
          <cell r="FK118">
            <v>0</v>
          </cell>
        </row>
        <row r="119">
          <cell r="E119">
            <v>33290202</v>
          </cell>
          <cell r="FK119">
            <v>0</v>
          </cell>
        </row>
        <row r="120">
          <cell r="E120">
            <v>33290202</v>
          </cell>
          <cell r="FK120">
            <v>0</v>
          </cell>
        </row>
        <row r="121">
          <cell r="E121">
            <v>33290202</v>
          </cell>
          <cell r="FK121">
            <v>0</v>
          </cell>
        </row>
        <row r="122">
          <cell r="E122">
            <v>33290202</v>
          </cell>
          <cell r="FK122">
            <v>0</v>
          </cell>
        </row>
        <row r="123">
          <cell r="E123">
            <v>33290202</v>
          </cell>
          <cell r="FK123">
            <v>0</v>
          </cell>
        </row>
        <row r="124">
          <cell r="E124">
            <v>33290202</v>
          </cell>
          <cell r="FK124">
            <v>0</v>
          </cell>
        </row>
        <row r="125">
          <cell r="E125">
            <v>33290202</v>
          </cell>
          <cell r="FK125">
            <v>0</v>
          </cell>
        </row>
        <row r="126">
          <cell r="E126">
            <v>33290202</v>
          </cell>
          <cell r="FK126">
            <v>0</v>
          </cell>
        </row>
        <row r="127">
          <cell r="E127">
            <v>33290202</v>
          </cell>
          <cell r="FK127">
            <v>0</v>
          </cell>
        </row>
        <row r="128">
          <cell r="E128">
            <v>33290202</v>
          </cell>
          <cell r="FK128">
            <v>0</v>
          </cell>
        </row>
        <row r="129">
          <cell r="E129">
            <v>33290202</v>
          </cell>
          <cell r="FK129">
            <v>0</v>
          </cell>
        </row>
        <row r="130">
          <cell r="E130">
            <v>33290202</v>
          </cell>
          <cell r="FK130">
            <v>0</v>
          </cell>
        </row>
        <row r="131">
          <cell r="E131">
            <v>33290202</v>
          </cell>
          <cell r="FK131">
            <v>0</v>
          </cell>
        </row>
        <row r="132">
          <cell r="E132">
            <v>33290202</v>
          </cell>
          <cell r="FK132">
            <v>0</v>
          </cell>
        </row>
        <row r="133">
          <cell r="E133">
            <v>33290202</v>
          </cell>
          <cell r="FK133">
            <v>0</v>
          </cell>
        </row>
        <row r="134">
          <cell r="E134">
            <v>33290202</v>
          </cell>
          <cell r="FK134">
            <v>0</v>
          </cell>
        </row>
        <row r="135">
          <cell r="E135">
            <v>33290202</v>
          </cell>
          <cell r="FK135">
            <v>0</v>
          </cell>
        </row>
        <row r="136">
          <cell r="E136">
            <v>33290202</v>
          </cell>
          <cell r="FK136">
            <v>0</v>
          </cell>
        </row>
        <row r="137">
          <cell r="E137">
            <v>33290202</v>
          </cell>
          <cell r="FK137">
            <v>0</v>
          </cell>
        </row>
        <row r="138">
          <cell r="E138">
            <v>33290202</v>
          </cell>
          <cell r="FK138">
            <v>0</v>
          </cell>
        </row>
        <row r="139">
          <cell r="E139">
            <v>33290202</v>
          </cell>
          <cell r="FK139">
            <v>0</v>
          </cell>
        </row>
        <row r="140">
          <cell r="E140">
            <v>33290202</v>
          </cell>
          <cell r="FK140">
            <v>0</v>
          </cell>
        </row>
        <row r="141">
          <cell r="E141">
            <v>33290202</v>
          </cell>
          <cell r="FK141">
            <v>0</v>
          </cell>
        </row>
        <row r="142">
          <cell r="E142">
            <v>33290202</v>
          </cell>
          <cell r="FK142">
            <v>0</v>
          </cell>
        </row>
        <row r="143">
          <cell r="E143">
            <v>33290202</v>
          </cell>
          <cell r="FK143">
            <v>0</v>
          </cell>
        </row>
        <row r="144">
          <cell r="E144">
            <v>33290202</v>
          </cell>
          <cell r="FK144">
            <v>1</v>
          </cell>
        </row>
        <row r="145">
          <cell r="E145">
            <v>33290202</v>
          </cell>
          <cell r="FK145">
            <v>0</v>
          </cell>
        </row>
        <row r="146">
          <cell r="E146">
            <v>33290202</v>
          </cell>
          <cell r="FK146">
            <v>0</v>
          </cell>
        </row>
        <row r="147">
          <cell r="E147">
            <v>33290202</v>
          </cell>
          <cell r="FK147">
            <v>0</v>
          </cell>
        </row>
        <row r="148">
          <cell r="E148">
            <v>33290202</v>
          </cell>
          <cell r="FK148">
            <v>0</v>
          </cell>
        </row>
        <row r="149">
          <cell r="E149">
            <v>33290202</v>
          </cell>
          <cell r="FK149">
            <v>0</v>
          </cell>
        </row>
        <row r="150">
          <cell r="E150">
            <v>33290202</v>
          </cell>
          <cell r="FK150">
            <v>0</v>
          </cell>
        </row>
        <row r="151">
          <cell r="E151">
            <v>33290202</v>
          </cell>
          <cell r="FK151">
            <v>0</v>
          </cell>
        </row>
        <row r="152">
          <cell r="E152">
            <v>33290202</v>
          </cell>
          <cell r="FK152">
            <v>0</v>
          </cell>
        </row>
        <row r="153">
          <cell r="E153">
            <v>33290202</v>
          </cell>
          <cell r="FK153">
            <v>0</v>
          </cell>
        </row>
        <row r="154">
          <cell r="E154">
            <v>33290202</v>
          </cell>
          <cell r="FK154">
            <v>0</v>
          </cell>
        </row>
        <row r="155">
          <cell r="E155">
            <v>33290202</v>
          </cell>
          <cell r="FK155">
            <v>0</v>
          </cell>
        </row>
        <row r="156">
          <cell r="E156">
            <v>33290202</v>
          </cell>
          <cell r="FK156">
            <v>0</v>
          </cell>
        </row>
        <row r="157">
          <cell r="E157">
            <v>33290202</v>
          </cell>
          <cell r="FK157">
            <v>0</v>
          </cell>
        </row>
        <row r="158">
          <cell r="E158">
            <v>33290202</v>
          </cell>
          <cell r="FK158">
            <v>0</v>
          </cell>
        </row>
        <row r="159">
          <cell r="E159">
            <v>33290202</v>
          </cell>
          <cell r="FK159">
            <v>0</v>
          </cell>
        </row>
        <row r="160">
          <cell r="E160">
            <v>33290202</v>
          </cell>
          <cell r="FK160">
            <v>0</v>
          </cell>
        </row>
        <row r="161">
          <cell r="E161">
            <v>33290202</v>
          </cell>
          <cell r="FK161">
            <v>0</v>
          </cell>
        </row>
        <row r="162">
          <cell r="E162">
            <v>33290202</v>
          </cell>
          <cell r="FK162">
            <v>0</v>
          </cell>
        </row>
        <row r="163">
          <cell r="E163">
            <v>33290202</v>
          </cell>
          <cell r="FK163">
            <v>1</v>
          </cell>
        </row>
        <row r="164">
          <cell r="E164">
            <v>33290202</v>
          </cell>
          <cell r="FK164">
            <v>0</v>
          </cell>
        </row>
        <row r="165">
          <cell r="E165">
            <v>33290202</v>
          </cell>
          <cell r="FK165">
            <v>0</v>
          </cell>
        </row>
        <row r="166">
          <cell r="E166">
            <v>33290202</v>
          </cell>
          <cell r="FK166">
            <v>0</v>
          </cell>
        </row>
        <row r="167">
          <cell r="E167">
            <v>33290202</v>
          </cell>
          <cell r="FK167">
            <v>0</v>
          </cell>
        </row>
        <row r="168">
          <cell r="E168">
            <v>33290203</v>
          </cell>
          <cell r="FK168">
            <v>0</v>
          </cell>
        </row>
        <row r="169">
          <cell r="E169">
            <v>33290203</v>
          </cell>
          <cell r="FK169">
            <v>0</v>
          </cell>
        </row>
        <row r="170">
          <cell r="E170">
            <v>33290203</v>
          </cell>
          <cell r="FK170">
            <v>0</v>
          </cell>
        </row>
        <row r="171">
          <cell r="E171">
            <v>33290203</v>
          </cell>
          <cell r="FK171">
            <v>0</v>
          </cell>
        </row>
        <row r="172">
          <cell r="E172">
            <v>33290203</v>
          </cell>
          <cell r="FK172">
            <v>0</v>
          </cell>
        </row>
        <row r="173">
          <cell r="E173">
            <v>33290203</v>
          </cell>
          <cell r="FK173">
            <v>0</v>
          </cell>
        </row>
        <row r="174">
          <cell r="E174">
            <v>33290203</v>
          </cell>
          <cell r="FK174">
            <v>0</v>
          </cell>
        </row>
        <row r="175">
          <cell r="E175">
            <v>33290203</v>
          </cell>
          <cell r="FK175">
            <v>0</v>
          </cell>
        </row>
        <row r="176">
          <cell r="E176">
            <v>33290203</v>
          </cell>
          <cell r="FK176">
            <v>0</v>
          </cell>
        </row>
        <row r="177">
          <cell r="E177">
            <v>33290203</v>
          </cell>
          <cell r="FK177">
            <v>0</v>
          </cell>
        </row>
        <row r="178">
          <cell r="E178">
            <v>33290203</v>
          </cell>
          <cell r="FK178">
            <v>0</v>
          </cell>
        </row>
        <row r="179">
          <cell r="E179">
            <v>33290203</v>
          </cell>
          <cell r="FK179">
            <v>0</v>
          </cell>
        </row>
        <row r="180">
          <cell r="E180">
            <v>33290203</v>
          </cell>
          <cell r="FK180">
            <v>0</v>
          </cell>
        </row>
        <row r="181">
          <cell r="E181">
            <v>33290203</v>
          </cell>
          <cell r="FK181">
            <v>0</v>
          </cell>
        </row>
        <row r="182">
          <cell r="E182">
            <v>33290203</v>
          </cell>
          <cell r="FK182">
            <v>0</v>
          </cell>
        </row>
        <row r="183">
          <cell r="E183">
            <v>33290203</v>
          </cell>
          <cell r="FK183">
            <v>0</v>
          </cell>
        </row>
        <row r="184">
          <cell r="E184">
            <v>33290203</v>
          </cell>
          <cell r="FK184">
            <v>0</v>
          </cell>
        </row>
        <row r="185">
          <cell r="E185">
            <v>33290203</v>
          </cell>
          <cell r="FK185">
            <v>0</v>
          </cell>
        </row>
        <row r="186">
          <cell r="E186">
            <v>33290203</v>
          </cell>
          <cell r="FK186">
            <v>0</v>
          </cell>
        </row>
        <row r="187">
          <cell r="E187">
            <v>33290203</v>
          </cell>
          <cell r="FK187">
            <v>0</v>
          </cell>
        </row>
        <row r="188">
          <cell r="E188">
            <v>33290203</v>
          </cell>
          <cell r="FK188">
            <v>0</v>
          </cell>
        </row>
        <row r="189">
          <cell r="E189">
            <v>33290203</v>
          </cell>
          <cell r="FK189">
            <v>0</v>
          </cell>
        </row>
        <row r="190">
          <cell r="E190">
            <v>33290203</v>
          </cell>
          <cell r="FK190">
            <v>1</v>
          </cell>
        </row>
        <row r="191">
          <cell r="E191">
            <v>33290203</v>
          </cell>
          <cell r="FK191">
            <v>0</v>
          </cell>
        </row>
        <row r="192">
          <cell r="E192">
            <v>33290203</v>
          </cell>
          <cell r="FK192">
            <v>0</v>
          </cell>
        </row>
        <row r="193">
          <cell r="E193">
            <v>33290203</v>
          </cell>
          <cell r="FK193">
            <v>0</v>
          </cell>
        </row>
        <row r="194">
          <cell r="E194">
            <v>33290203</v>
          </cell>
          <cell r="FK194">
            <v>0</v>
          </cell>
        </row>
        <row r="195">
          <cell r="E195">
            <v>33290203</v>
          </cell>
          <cell r="FK195">
            <v>0</v>
          </cell>
        </row>
        <row r="196">
          <cell r="E196">
            <v>33290203</v>
          </cell>
          <cell r="FK196">
            <v>0</v>
          </cell>
        </row>
        <row r="197">
          <cell r="E197">
            <v>33290203</v>
          </cell>
          <cell r="FK197">
            <v>1</v>
          </cell>
        </row>
        <row r="198">
          <cell r="E198">
            <v>33290203</v>
          </cell>
          <cell r="FK198">
            <v>0</v>
          </cell>
        </row>
        <row r="199">
          <cell r="E199">
            <v>33290203</v>
          </cell>
          <cell r="FK199">
            <v>0</v>
          </cell>
        </row>
        <row r="200">
          <cell r="E200">
            <v>33290203</v>
          </cell>
          <cell r="FK200">
            <v>0</v>
          </cell>
        </row>
        <row r="201">
          <cell r="E201">
            <v>33290203</v>
          </cell>
          <cell r="FK201">
            <v>0</v>
          </cell>
        </row>
        <row r="202">
          <cell r="E202">
            <v>33290203</v>
          </cell>
          <cell r="FK202">
            <v>0</v>
          </cell>
        </row>
        <row r="203">
          <cell r="E203">
            <v>33290203</v>
          </cell>
          <cell r="FK203">
            <v>0</v>
          </cell>
        </row>
        <row r="204">
          <cell r="E204">
            <v>33290203</v>
          </cell>
          <cell r="FK204">
            <v>0</v>
          </cell>
        </row>
        <row r="205">
          <cell r="E205">
            <v>33290204</v>
          </cell>
          <cell r="FK205">
            <v>1</v>
          </cell>
        </row>
        <row r="206">
          <cell r="E206">
            <v>33290204</v>
          </cell>
          <cell r="FK206">
            <v>0</v>
          </cell>
        </row>
        <row r="207">
          <cell r="E207">
            <v>33290204</v>
          </cell>
          <cell r="FK207">
            <v>0</v>
          </cell>
        </row>
        <row r="208">
          <cell r="E208">
            <v>33290204</v>
          </cell>
          <cell r="FK208">
            <v>0</v>
          </cell>
        </row>
        <row r="209">
          <cell r="E209">
            <v>33290204</v>
          </cell>
          <cell r="FK209">
            <v>1</v>
          </cell>
        </row>
        <row r="210">
          <cell r="E210">
            <v>33290204</v>
          </cell>
          <cell r="FK210">
            <v>1</v>
          </cell>
        </row>
        <row r="211">
          <cell r="E211">
            <v>33290204</v>
          </cell>
          <cell r="FK211">
            <v>1</v>
          </cell>
        </row>
        <row r="212">
          <cell r="E212">
            <v>33290204</v>
          </cell>
          <cell r="FK212">
            <v>1</v>
          </cell>
        </row>
        <row r="213">
          <cell r="E213">
            <v>33290204</v>
          </cell>
          <cell r="FK213">
            <v>2</v>
          </cell>
        </row>
        <row r="214">
          <cell r="E214">
            <v>33290204</v>
          </cell>
          <cell r="FK214">
            <v>0</v>
          </cell>
        </row>
        <row r="215">
          <cell r="E215">
            <v>33290204</v>
          </cell>
          <cell r="FK215">
            <v>1</v>
          </cell>
        </row>
        <row r="216">
          <cell r="E216">
            <v>33290204</v>
          </cell>
          <cell r="FK216">
            <v>1</v>
          </cell>
        </row>
        <row r="217">
          <cell r="E217">
            <v>33290204</v>
          </cell>
          <cell r="FK217">
            <v>1</v>
          </cell>
        </row>
        <row r="218">
          <cell r="E218">
            <v>33290204</v>
          </cell>
          <cell r="FK218">
            <v>0</v>
          </cell>
        </row>
        <row r="219">
          <cell r="E219">
            <v>33290204</v>
          </cell>
          <cell r="FK219">
            <v>0</v>
          </cell>
        </row>
        <row r="220">
          <cell r="E220">
            <v>33290204</v>
          </cell>
          <cell r="FK220">
            <v>0</v>
          </cell>
        </row>
        <row r="221">
          <cell r="E221">
            <v>33290204</v>
          </cell>
          <cell r="FK221">
            <v>1</v>
          </cell>
        </row>
        <row r="222">
          <cell r="E222">
            <v>33290204</v>
          </cell>
          <cell r="FK222">
            <v>0</v>
          </cell>
        </row>
        <row r="223">
          <cell r="E223">
            <v>33290204</v>
          </cell>
          <cell r="FK223">
            <v>0</v>
          </cell>
        </row>
        <row r="224">
          <cell r="E224">
            <v>33290204</v>
          </cell>
          <cell r="FK224">
            <v>0</v>
          </cell>
        </row>
        <row r="225">
          <cell r="E225">
            <v>33290204</v>
          </cell>
          <cell r="FK225">
            <v>0</v>
          </cell>
        </row>
        <row r="226">
          <cell r="E226">
            <v>33290204</v>
          </cell>
          <cell r="FK226">
            <v>0</v>
          </cell>
        </row>
        <row r="227">
          <cell r="E227">
            <v>33290204</v>
          </cell>
          <cell r="FK227">
            <v>0</v>
          </cell>
        </row>
        <row r="228">
          <cell r="E228">
            <v>33290204</v>
          </cell>
          <cell r="FK228">
            <v>0</v>
          </cell>
        </row>
        <row r="229">
          <cell r="E229">
            <v>33290204</v>
          </cell>
          <cell r="FK229">
            <v>0</v>
          </cell>
        </row>
        <row r="230">
          <cell r="E230">
            <v>33290204</v>
          </cell>
          <cell r="FK230">
            <v>0</v>
          </cell>
        </row>
        <row r="231">
          <cell r="E231">
            <v>33290204</v>
          </cell>
          <cell r="FK231">
            <v>0</v>
          </cell>
        </row>
        <row r="232">
          <cell r="E232">
            <v>33290204</v>
          </cell>
          <cell r="FK232">
            <v>0</v>
          </cell>
        </row>
        <row r="233">
          <cell r="E233">
            <v>33290204</v>
          </cell>
          <cell r="FK233">
            <v>1</v>
          </cell>
        </row>
        <row r="234">
          <cell r="E234">
            <v>33290204</v>
          </cell>
          <cell r="FK234">
            <v>0</v>
          </cell>
        </row>
        <row r="235">
          <cell r="E235">
            <v>33290204</v>
          </cell>
          <cell r="FK235">
            <v>1</v>
          </cell>
        </row>
        <row r="236">
          <cell r="E236">
            <v>33290204</v>
          </cell>
          <cell r="FK236">
            <v>0</v>
          </cell>
        </row>
        <row r="237">
          <cell r="E237">
            <v>33290204</v>
          </cell>
          <cell r="FK237">
            <v>0</v>
          </cell>
        </row>
        <row r="238">
          <cell r="E238">
            <v>33290204</v>
          </cell>
          <cell r="FK238">
            <v>0</v>
          </cell>
        </row>
        <row r="239">
          <cell r="E239">
            <v>33290204</v>
          </cell>
          <cell r="FK239">
            <v>0</v>
          </cell>
        </row>
        <row r="240">
          <cell r="E240">
            <v>33290204</v>
          </cell>
          <cell r="FK240">
            <v>0</v>
          </cell>
        </row>
        <row r="241">
          <cell r="E241">
            <v>33290204</v>
          </cell>
          <cell r="FK241">
            <v>1</v>
          </cell>
        </row>
        <row r="242">
          <cell r="E242">
            <v>33290205</v>
          </cell>
          <cell r="FK242">
            <v>1</v>
          </cell>
        </row>
        <row r="243">
          <cell r="E243">
            <v>33290205</v>
          </cell>
          <cell r="FK243">
            <v>3</v>
          </cell>
        </row>
        <row r="244">
          <cell r="E244">
            <v>33290205</v>
          </cell>
          <cell r="FK244">
            <v>0</v>
          </cell>
        </row>
        <row r="245">
          <cell r="E245">
            <v>33290205</v>
          </cell>
          <cell r="FK245">
            <v>0</v>
          </cell>
        </row>
        <row r="246">
          <cell r="E246">
            <v>33290205</v>
          </cell>
          <cell r="FK246">
            <v>0</v>
          </cell>
        </row>
        <row r="247">
          <cell r="E247">
            <v>33290205</v>
          </cell>
          <cell r="FK247">
            <v>0</v>
          </cell>
        </row>
        <row r="248">
          <cell r="E248">
            <v>33290205</v>
          </cell>
          <cell r="FK248">
            <v>0</v>
          </cell>
        </row>
        <row r="249">
          <cell r="E249">
            <v>33290205</v>
          </cell>
          <cell r="FK249">
            <v>0</v>
          </cell>
        </row>
        <row r="250">
          <cell r="E250">
            <v>33290205</v>
          </cell>
          <cell r="FK250">
            <v>1</v>
          </cell>
        </row>
        <row r="251">
          <cell r="E251">
            <v>33290205</v>
          </cell>
          <cell r="FK251">
            <v>1</v>
          </cell>
        </row>
        <row r="252">
          <cell r="E252">
            <v>33290205</v>
          </cell>
          <cell r="FK252">
            <v>0</v>
          </cell>
        </row>
        <row r="253">
          <cell r="E253">
            <v>33290205</v>
          </cell>
          <cell r="FK253">
            <v>0</v>
          </cell>
        </row>
        <row r="254">
          <cell r="E254">
            <v>33290205</v>
          </cell>
          <cell r="FK254">
            <v>0</v>
          </cell>
        </row>
        <row r="255">
          <cell r="E255">
            <v>33290205</v>
          </cell>
          <cell r="FK255">
            <v>0</v>
          </cell>
        </row>
        <row r="256">
          <cell r="E256">
            <v>33290205</v>
          </cell>
          <cell r="FK256">
            <v>0</v>
          </cell>
        </row>
        <row r="257">
          <cell r="E257">
            <v>33290205</v>
          </cell>
          <cell r="FK257">
            <v>0</v>
          </cell>
        </row>
        <row r="258">
          <cell r="E258">
            <v>33290205</v>
          </cell>
          <cell r="FK258">
            <v>1</v>
          </cell>
        </row>
        <row r="259">
          <cell r="E259">
            <v>33290205</v>
          </cell>
          <cell r="FK259">
            <v>1</v>
          </cell>
        </row>
        <row r="260">
          <cell r="E260">
            <v>33290205</v>
          </cell>
          <cell r="FK260">
            <v>0</v>
          </cell>
        </row>
        <row r="261">
          <cell r="E261">
            <v>33290205</v>
          </cell>
          <cell r="FK261">
            <v>0</v>
          </cell>
        </row>
        <row r="262">
          <cell r="E262">
            <v>33290205</v>
          </cell>
          <cell r="FK262">
            <v>0</v>
          </cell>
        </row>
        <row r="263">
          <cell r="E263">
            <v>33290205</v>
          </cell>
          <cell r="FK263">
            <v>0</v>
          </cell>
        </row>
        <row r="264">
          <cell r="E264">
            <v>33290205</v>
          </cell>
          <cell r="FK264">
            <v>0</v>
          </cell>
        </row>
        <row r="265">
          <cell r="E265">
            <v>33290205</v>
          </cell>
          <cell r="FK265">
            <v>0</v>
          </cell>
        </row>
        <row r="266">
          <cell r="E266">
            <v>33290205</v>
          </cell>
          <cell r="FK266">
            <v>0</v>
          </cell>
        </row>
        <row r="267">
          <cell r="E267">
            <v>33290205</v>
          </cell>
          <cell r="FK267">
            <v>0</v>
          </cell>
        </row>
        <row r="268">
          <cell r="E268">
            <v>33290205</v>
          </cell>
          <cell r="FK268">
            <v>0</v>
          </cell>
        </row>
        <row r="269">
          <cell r="E269">
            <v>33290205</v>
          </cell>
          <cell r="FK269">
            <v>0</v>
          </cell>
        </row>
        <row r="270">
          <cell r="E270">
            <v>33290205</v>
          </cell>
          <cell r="FK270">
            <v>0</v>
          </cell>
        </row>
        <row r="271">
          <cell r="E271">
            <v>33290205</v>
          </cell>
          <cell r="FK271">
            <v>0</v>
          </cell>
        </row>
        <row r="272">
          <cell r="E272">
            <v>33290205</v>
          </cell>
          <cell r="FK272">
            <v>0</v>
          </cell>
        </row>
        <row r="273">
          <cell r="E273">
            <v>33290205</v>
          </cell>
          <cell r="FK273">
            <v>0</v>
          </cell>
        </row>
        <row r="274">
          <cell r="E274">
            <v>33290205</v>
          </cell>
          <cell r="FK274">
            <v>0</v>
          </cell>
        </row>
        <row r="275">
          <cell r="E275">
            <v>33290205</v>
          </cell>
          <cell r="FK275">
            <v>0</v>
          </cell>
        </row>
        <row r="276">
          <cell r="E276">
            <v>33290205</v>
          </cell>
          <cell r="FK276">
            <v>0</v>
          </cell>
        </row>
        <row r="277">
          <cell r="E277">
            <v>33290205</v>
          </cell>
          <cell r="FK277">
            <v>0</v>
          </cell>
        </row>
        <row r="278">
          <cell r="E278">
            <v>33290205</v>
          </cell>
          <cell r="FK278">
            <v>0</v>
          </cell>
        </row>
        <row r="279">
          <cell r="E279">
            <v>33290205</v>
          </cell>
          <cell r="FK279">
            <v>0</v>
          </cell>
        </row>
        <row r="280">
          <cell r="E280">
            <v>33290205</v>
          </cell>
          <cell r="FK280">
            <v>0</v>
          </cell>
        </row>
        <row r="281">
          <cell r="E281">
            <v>33290205</v>
          </cell>
          <cell r="FK281">
            <v>0</v>
          </cell>
        </row>
        <row r="282">
          <cell r="E282">
            <v>33290205</v>
          </cell>
          <cell r="FK282">
            <v>0</v>
          </cell>
        </row>
        <row r="283">
          <cell r="E283">
            <v>33290205</v>
          </cell>
          <cell r="FK283">
            <v>0</v>
          </cell>
        </row>
        <row r="284">
          <cell r="E284">
            <v>33290205</v>
          </cell>
          <cell r="FK284">
            <v>0</v>
          </cell>
        </row>
        <row r="285">
          <cell r="E285">
            <v>33290205</v>
          </cell>
          <cell r="FK285">
            <v>0</v>
          </cell>
        </row>
        <row r="286">
          <cell r="E286">
            <v>33290205</v>
          </cell>
          <cell r="FK286">
            <v>0</v>
          </cell>
        </row>
        <row r="287">
          <cell r="E287">
            <v>33290206</v>
          </cell>
          <cell r="FK287">
            <v>1</v>
          </cell>
        </row>
        <row r="288">
          <cell r="E288">
            <v>33290206</v>
          </cell>
          <cell r="FK288">
            <v>0</v>
          </cell>
        </row>
        <row r="289">
          <cell r="E289">
            <v>33290206</v>
          </cell>
          <cell r="FK289">
            <v>0</v>
          </cell>
        </row>
        <row r="290">
          <cell r="E290">
            <v>33290206</v>
          </cell>
          <cell r="FK290">
            <v>0</v>
          </cell>
        </row>
        <row r="291">
          <cell r="E291">
            <v>33290206</v>
          </cell>
          <cell r="FK291">
            <v>1</v>
          </cell>
        </row>
        <row r="292">
          <cell r="E292">
            <v>33290206</v>
          </cell>
          <cell r="FK292">
            <v>1</v>
          </cell>
        </row>
        <row r="293">
          <cell r="E293">
            <v>33290206</v>
          </cell>
          <cell r="FK293">
            <v>0</v>
          </cell>
        </row>
        <row r="294">
          <cell r="E294">
            <v>33290206</v>
          </cell>
          <cell r="FK294">
            <v>1</v>
          </cell>
        </row>
        <row r="295">
          <cell r="E295">
            <v>33290206</v>
          </cell>
          <cell r="FK295">
            <v>1</v>
          </cell>
        </row>
        <row r="296">
          <cell r="E296">
            <v>33290206</v>
          </cell>
          <cell r="FK296">
            <v>0</v>
          </cell>
        </row>
        <row r="297">
          <cell r="E297">
            <v>33290206</v>
          </cell>
          <cell r="FK297">
            <v>0</v>
          </cell>
        </row>
        <row r="298">
          <cell r="E298">
            <v>33290206</v>
          </cell>
          <cell r="FK298">
            <v>0</v>
          </cell>
        </row>
        <row r="299">
          <cell r="E299">
            <v>33290206</v>
          </cell>
          <cell r="FK299">
            <v>1</v>
          </cell>
        </row>
        <row r="300">
          <cell r="E300">
            <v>33290206</v>
          </cell>
          <cell r="FK300">
            <v>0</v>
          </cell>
        </row>
        <row r="301">
          <cell r="E301">
            <v>33290206</v>
          </cell>
          <cell r="FK301">
            <v>0</v>
          </cell>
        </row>
        <row r="302">
          <cell r="E302">
            <v>33290206</v>
          </cell>
          <cell r="FK302">
            <v>0</v>
          </cell>
        </row>
        <row r="303">
          <cell r="E303">
            <v>33290206</v>
          </cell>
          <cell r="FK303">
            <v>1</v>
          </cell>
        </row>
        <row r="304">
          <cell r="E304">
            <v>33290206</v>
          </cell>
          <cell r="FK304">
            <v>0</v>
          </cell>
        </row>
        <row r="305">
          <cell r="E305">
            <v>33290206</v>
          </cell>
          <cell r="FK305">
            <v>0</v>
          </cell>
        </row>
        <row r="306">
          <cell r="E306">
            <v>33290206</v>
          </cell>
          <cell r="FK306">
            <v>1</v>
          </cell>
        </row>
        <row r="307">
          <cell r="E307">
            <v>33290206</v>
          </cell>
          <cell r="FK307">
            <v>0</v>
          </cell>
        </row>
        <row r="308">
          <cell r="E308">
            <v>33290207</v>
          </cell>
          <cell r="FK308">
            <v>0</v>
          </cell>
        </row>
        <row r="309">
          <cell r="E309">
            <v>33290207</v>
          </cell>
          <cell r="FK309">
            <v>0</v>
          </cell>
        </row>
        <row r="310">
          <cell r="E310">
            <v>33290207</v>
          </cell>
          <cell r="FK310">
            <v>0</v>
          </cell>
        </row>
        <row r="311">
          <cell r="E311">
            <v>33290207</v>
          </cell>
          <cell r="FK311">
            <v>0</v>
          </cell>
        </row>
        <row r="312">
          <cell r="E312">
            <v>33290207</v>
          </cell>
          <cell r="FK312">
            <v>0</v>
          </cell>
        </row>
        <row r="313">
          <cell r="E313">
            <v>33290207</v>
          </cell>
          <cell r="FK313">
            <v>0</v>
          </cell>
        </row>
        <row r="314">
          <cell r="E314">
            <v>33290207</v>
          </cell>
          <cell r="FK314">
            <v>0</v>
          </cell>
        </row>
        <row r="315">
          <cell r="E315">
            <v>33290207</v>
          </cell>
          <cell r="FK315">
            <v>0</v>
          </cell>
        </row>
        <row r="316">
          <cell r="E316">
            <v>33290207</v>
          </cell>
          <cell r="FK316">
            <v>0</v>
          </cell>
        </row>
        <row r="317">
          <cell r="E317">
            <v>33290207</v>
          </cell>
          <cell r="FK317">
            <v>0</v>
          </cell>
        </row>
        <row r="318">
          <cell r="E318">
            <v>33290207</v>
          </cell>
          <cell r="FK318">
            <v>0</v>
          </cell>
        </row>
        <row r="319">
          <cell r="E319">
            <v>33290207</v>
          </cell>
          <cell r="FK319">
            <v>0</v>
          </cell>
        </row>
        <row r="320">
          <cell r="E320">
            <v>33290207</v>
          </cell>
          <cell r="FK320">
            <v>0</v>
          </cell>
        </row>
        <row r="321">
          <cell r="E321">
            <v>33290207</v>
          </cell>
          <cell r="FK321">
            <v>0</v>
          </cell>
        </row>
        <row r="322">
          <cell r="E322">
            <v>33290207</v>
          </cell>
          <cell r="FK322">
            <v>0</v>
          </cell>
        </row>
        <row r="323">
          <cell r="E323">
            <v>33290207</v>
          </cell>
          <cell r="FK323">
            <v>0</v>
          </cell>
        </row>
        <row r="324">
          <cell r="E324">
            <v>33290207</v>
          </cell>
          <cell r="FK324">
            <v>0</v>
          </cell>
        </row>
        <row r="325">
          <cell r="E325">
            <v>33290207</v>
          </cell>
          <cell r="FK325">
            <v>0</v>
          </cell>
        </row>
        <row r="326">
          <cell r="E326">
            <v>33290207</v>
          </cell>
          <cell r="FK326">
            <v>0</v>
          </cell>
        </row>
        <row r="327">
          <cell r="E327">
            <v>33290207</v>
          </cell>
          <cell r="FK327">
            <v>0</v>
          </cell>
        </row>
        <row r="328">
          <cell r="E328">
            <v>33290207</v>
          </cell>
          <cell r="FK328">
            <v>0</v>
          </cell>
        </row>
        <row r="329">
          <cell r="E329">
            <v>33290207</v>
          </cell>
          <cell r="FK329">
            <v>0</v>
          </cell>
        </row>
        <row r="330">
          <cell r="E330">
            <v>33290207</v>
          </cell>
          <cell r="FK330">
            <v>0</v>
          </cell>
        </row>
        <row r="331">
          <cell r="E331">
            <v>33290207</v>
          </cell>
          <cell r="FK331">
            <v>0</v>
          </cell>
        </row>
        <row r="332">
          <cell r="E332">
            <v>33290207</v>
          </cell>
          <cell r="FK332">
            <v>1</v>
          </cell>
        </row>
        <row r="333">
          <cell r="E333">
            <v>33290207</v>
          </cell>
          <cell r="FK333">
            <v>1</v>
          </cell>
        </row>
        <row r="334">
          <cell r="E334">
            <v>33290207</v>
          </cell>
          <cell r="FK334">
            <v>0</v>
          </cell>
        </row>
        <row r="335">
          <cell r="E335">
            <v>33290207</v>
          </cell>
          <cell r="FK335">
            <v>0</v>
          </cell>
        </row>
        <row r="336">
          <cell r="E336">
            <v>33290207</v>
          </cell>
          <cell r="FK336">
            <v>0</v>
          </cell>
        </row>
        <row r="337">
          <cell r="E337">
            <v>33290207</v>
          </cell>
          <cell r="FK337">
            <v>0</v>
          </cell>
        </row>
        <row r="338">
          <cell r="E338">
            <v>33290207</v>
          </cell>
          <cell r="FK338">
            <v>0</v>
          </cell>
        </row>
        <row r="339">
          <cell r="E339">
            <v>33290207</v>
          </cell>
          <cell r="FK339">
            <v>0</v>
          </cell>
        </row>
        <row r="340">
          <cell r="E340">
            <v>33290207</v>
          </cell>
          <cell r="FK340">
            <v>0</v>
          </cell>
        </row>
        <row r="341">
          <cell r="E341">
            <v>33290207</v>
          </cell>
          <cell r="FK341">
            <v>0</v>
          </cell>
        </row>
        <row r="342">
          <cell r="E342">
            <v>33290207</v>
          </cell>
          <cell r="FK342">
            <v>0</v>
          </cell>
        </row>
        <row r="343">
          <cell r="E343">
            <v>33290207</v>
          </cell>
          <cell r="FK343">
            <v>0</v>
          </cell>
        </row>
        <row r="344">
          <cell r="E344">
            <v>33290207</v>
          </cell>
          <cell r="FK344">
            <v>0</v>
          </cell>
        </row>
        <row r="345">
          <cell r="E345">
            <v>33290207</v>
          </cell>
          <cell r="FK345">
            <v>0</v>
          </cell>
        </row>
        <row r="346">
          <cell r="E346">
            <v>33290207</v>
          </cell>
          <cell r="FK346">
            <v>0</v>
          </cell>
        </row>
        <row r="347">
          <cell r="E347">
            <v>33290207</v>
          </cell>
          <cell r="FK347">
            <v>0</v>
          </cell>
        </row>
        <row r="348">
          <cell r="E348">
            <v>33290207</v>
          </cell>
          <cell r="FK348">
            <v>0</v>
          </cell>
        </row>
        <row r="349">
          <cell r="E349">
            <v>33290207</v>
          </cell>
          <cell r="FK349">
            <v>0</v>
          </cell>
        </row>
        <row r="350">
          <cell r="E350">
            <v>33290207</v>
          </cell>
          <cell r="FK350">
            <v>0</v>
          </cell>
        </row>
        <row r="351">
          <cell r="E351">
            <v>33290207</v>
          </cell>
          <cell r="FK351">
            <v>0</v>
          </cell>
        </row>
        <row r="352">
          <cell r="E352">
            <v>33290207</v>
          </cell>
          <cell r="FK352">
            <v>0</v>
          </cell>
        </row>
        <row r="353">
          <cell r="E353">
            <v>33290207</v>
          </cell>
          <cell r="FK353">
            <v>0</v>
          </cell>
        </row>
        <row r="354">
          <cell r="E354">
            <v>33290207</v>
          </cell>
          <cell r="FK354">
            <v>0</v>
          </cell>
        </row>
        <row r="355">
          <cell r="E355">
            <v>33290207</v>
          </cell>
          <cell r="FK355">
            <v>0</v>
          </cell>
        </row>
        <row r="356">
          <cell r="E356">
            <v>33290207</v>
          </cell>
          <cell r="FK356">
            <v>0</v>
          </cell>
        </row>
        <row r="357">
          <cell r="E357">
            <v>33290207</v>
          </cell>
          <cell r="FK357">
            <v>0</v>
          </cell>
        </row>
        <row r="358">
          <cell r="E358">
            <v>33290207</v>
          </cell>
          <cell r="FK358">
            <v>0</v>
          </cell>
        </row>
        <row r="359">
          <cell r="E359">
            <v>33290207</v>
          </cell>
          <cell r="FK359">
            <v>0</v>
          </cell>
        </row>
        <row r="360">
          <cell r="E360">
            <v>33290207</v>
          </cell>
          <cell r="FK360">
            <v>0</v>
          </cell>
        </row>
        <row r="361">
          <cell r="E361">
            <v>33290207</v>
          </cell>
          <cell r="FK361">
            <v>0</v>
          </cell>
        </row>
        <row r="362">
          <cell r="E362">
            <v>33290207</v>
          </cell>
          <cell r="FK362">
            <v>0</v>
          </cell>
        </row>
        <row r="363">
          <cell r="E363">
            <v>33290207</v>
          </cell>
          <cell r="FK363">
            <v>0</v>
          </cell>
        </row>
        <row r="364">
          <cell r="E364">
            <v>33290207</v>
          </cell>
          <cell r="FK364">
            <v>0</v>
          </cell>
        </row>
        <row r="365">
          <cell r="E365">
            <v>33290207</v>
          </cell>
          <cell r="FK365">
            <v>0</v>
          </cell>
        </row>
        <row r="366">
          <cell r="E366">
            <v>33290207</v>
          </cell>
          <cell r="FK366">
            <v>0</v>
          </cell>
        </row>
        <row r="367">
          <cell r="E367">
            <v>33290207</v>
          </cell>
          <cell r="FK367">
            <v>0</v>
          </cell>
        </row>
        <row r="368">
          <cell r="E368">
            <v>33290207</v>
          </cell>
          <cell r="FK368">
            <v>0</v>
          </cell>
        </row>
        <row r="369">
          <cell r="E369">
            <v>33290207</v>
          </cell>
          <cell r="FK369">
            <v>0</v>
          </cell>
        </row>
        <row r="370">
          <cell r="E370">
            <v>33290207</v>
          </cell>
          <cell r="FK370">
            <v>0</v>
          </cell>
        </row>
        <row r="371">
          <cell r="E371">
            <v>33290207</v>
          </cell>
          <cell r="FK371">
            <v>0</v>
          </cell>
        </row>
        <row r="372">
          <cell r="E372">
            <v>33290207</v>
          </cell>
          <cell r="FK372">
            <v>0</v>
          </cell>
        </row>
        <row r="373">
          <cell r="E373">
            <v>33290207</v>
          </cell>
          <cell r="FK373">
            <v>0</v>
          </cell>
        </row>
        <row r="374">
          <cell r="E374">
            <v>33290207</v>
          </cell>
          <cell r="FK374">
            <v>0</v>
          </cell>
        </row>
        <row r="375">
          <cell r="E375">
            <v>33290207</v>
          </cell>
          <cell r="FK375">
            <v>0</v>
          </cell>
        </row>
        <row r="376">
          <cell r="E376">
            <v>33290207</v>
          </cell>
          <cell r="FK376">
            <v>0</v>
          </cell>
        </row>
        <row r="377">
          <cell r="E377">
            <v>33290208</v>
          </cell>
          <cell r="FK377">
            <v>0</v>
          </cell>
        </row>
        <row r="378">
          <cell r="E378">
            <v>33290208</v>
          </cell>
          <cell r="FK378">
            <v>0</v>
          </cell>
        </row>
        <row r="379">
          <cell r="E379">
            <v>33290208</v>
          </cell>
          <cell r="FK379">
            <v>0</v>
          </cell>
        </row>
        <row r="380">
          <cell r="E380">
            <v>33290208</v>
          </cell>
          <cell r="FK380">
            <v>0</v>
          </cell>
        </row>
        <row r="381">
          <cell r="E381">
            <v>33290208</v>
          </cell>
          <cell r="FK381">
            <v>0</v>
          </cell>
        </row>
        <row r="382">
          <cell r="E382">
            <v>33290208</v>
          </cell>
          <cell r="FK382">
            <v>0</v>
          </cell>
        </row>
        <row r="383">
          <cell r="E383">
            <v>33290208</v>
          </cell>
          <cell r="FK383">
            <v>0</v>
          </cell>
        </row>
        <row r="384">
          <cell r="E384">
            <v>33290208</v>
          </cell>
          <cell r="FK384">
            <v>0</v>
          </cell>
        </row>
        <row r="385">
          <cell r="E385">
            <v>33290208</v>
          </cell>
          <cell r="FK385">
            <v>0</v>
          </cell>
        </row>
        <row r="386">
          <cell r="E386">
            <v>33290208</v>
          </cell>
          <cell r="FK386">
            <v>0</v>
          </cell>
        </row>
        <row r="387">
          <cell r="E387">
            <v>33290208</v>
          </cell>
          <cell r="FK387">
            <v>0</v>
          </cell>
        </row>
        <row r="388">
          <cell r="E388">
            <v>33290208</v>
          </cell>
          <cell r="FK388">
            <v>0</v>
          </cell>
        </row>
        <row r="389">
          <cell r="E389">
            <v>33290208</v>
          </cell>
          <cell r="FK389">
            <v>0</v>
          </cell>
        </row>
        <row r="390">
          <cell r="E390">
            <v>33290208</v>
          </cell>
          <cell r="FK390">
            <v>0</v>
          </cell>
        </row>
        <row r="391">
          <cell r="E391">
            <v>33290208</v>
          </cell>
          <cell r="FK391">
            <v>0</v>
          </cell>
        </row>
        <row r="392">
          <cell r="E392">
            <v>33290208</v>
          </cell>
          <cell r="FK392">
            <v>0</v>
          </cell>
        </row>
        <row r="393">
          <cell r="E393">
            <v>33290208</v>
          </cell>
          <cell r="FK393">
            <v>0</v>
          </cell>
        </row>
        <row r="394">
          <cell r="E394">
            <v>33290208</v>
          </cell>
          <cell r="FK394">
            <v>0</v>
          </cell>
        </row>
        <row r="395">
          <cell r="E395">
            <v>33290208</v>
          </cell>
          <cell r="FK395">
            <v>0</v>
          </cell>
        </row>
        <row r="396">
          <cell r="E396">
            <v>33290208</v>
          </cell>
          <cell r="FK396">
            <v>0</v>
          </cell>
        </row>
        <row r="397">
          <cell r="E397">
            <v>33290208</v>
          </cell>
          <cell r="FK397">
            <v>0</v>
          </cell>
        </row>
        <row r="398">
          <cell r="E398">
            <v>33290208</v>
          </cell>
          <cell r="FK398">
            <v>0</v>
          </cell>
        </row>
        <row r="399">
          <cell r="E399">
            <v>33290208</v>
          </cell>
          <cell r="FK399">
            <v>0</v>
          </cell>
        </row>
        <row r="400">
          <cell r="E400">
            <v>33290208</v>
          </cell>
          <cell r="FK400">
            <v>0</v>
          </cell>
        </row>
        <row r="401">
          <cell r="E401">
            <v>33290208</v>
          </cell>
          <cell r="FK401">
            <v>0</v>
          </cell>
        </row>
        <row r="402">
          <cell r="E402">
            <v>33290209</v>
          </cell>
          <cell r="FK402">
            <v>0</v>
          </cell>
        </row>
        <row r="403">
          <cell r="E403">
            <v>33290209</v>
          </cell>
          <cell r="FK403">
            <v>0</v>
          </cell>
        </row>
        <row r="404">
          <cell r="E404">
            <v>33290209</v>
          </cell>
          <cell r="FK404">
            <v>1</v>
          </cell>
        </row>
        <row r="405">
          <cell r="E405">
            <v>33290209</v>
          </cell>
          <cell r="FK405">
            <v>1</v>
          </cell>
        </row>
        <row r="406">
          <cell r="E406">
            <v>33290209</v>
          </cell>
          <cell r="FK406">
            <v>0</v>
          </cell>
        </row>
        <row r="407">
          <cell r="E407">
            <v>33290209</v>
          </cell>
          <cell r="FK407">
            <v>0</v>
          </cell>
        </row>
        <row r="408">
          <cell r="E408">
            <v>33290209</v>
          </cell>
          <cell r="FK408">
            <v>0</v>
          </cell>
        </row>
        <row r="409">
          <cell r="E409">
            <v>33290209</v>
          </cell>
          <cell r="FK409">
            <v>0</v>
          </cell>
        </row>
        <row r="410">
          <cell r="E410">
            <v>33290209</v>
          </cell>
          <cell r="FK410">
            <v>0</v>
          </cell>
        </row>
        <row r="411">
          <cell r="E411">
            <v>33290209</v>
          </cell>
          <cell r="FK411">
            <v>0</v>
          </cell>
        </row>
        <row r="412">
          <cell r="E412">
            <v>33290209</v>
          </cell>
          <cell r="FK412">
            <v>0</v>
          </cell>
        </row>
        <row r="413">
          <cell r="E413">
            <v>33290209</v>
          </cell>
          <cell r="FK413">
            <v>0</v>
          </cell>
        </row>
        <row r="414">
          <cell r="E414">
            <v>33290209</v>
          </cell>
          <cell r="FK414">
            <v>0</v>
          </cell>
        </row>
        <row r="415">
          <cell r="E415">
            <v>33290209</v>
          </cell>
          <cell r="FK415">
            <v>0</v>
          </cell>
        </row>
        <row r="416">
          <cell r="E416">
            <v>33290209</v>
          </cell>
          <cell r="FK416">
            <v>1</v>
          </cell>
        </row>
        <row r="417">
          <cell r="E417">
            <v>33290209</v>
          </cell>
          <cell r="FK417">
            <v>0</v>
          </cell>
        </row>
        <row r="418">
          <cell r="E418">
            <v>33290209</v>
          </cell>
          <cell r="FK418">
            <v>0</v>
          </cell>
        </row>
        <row r="419">
          <cell r="E419">
            <v>33290209</v>
          </cell>
          <cell r="FK419">
            <v>0</v>
          </cell>
        </row>
        <row r="420">
          <cell r="E420">
            <v>33290209</v>
          </cell>
          <cell r="FK420">
            <v>0</v>
          </cell>
        </row>
        <row r="421">
          <cell r="E421">
            <v>33290210</v>
          </cell>
          <cell r="FK421">
            <v>0</v>
          </cell>
        </row>
        <row r="422">
          <cell r="E422">
            <v>33290210</v>
          </cell>
          <cell r="FK422">
            <v>0</v>
          </cell>
        </row>
        <row r="423">
          <cell r="E423">
            <v>33290210</v>
          </cell>
          <cell r="FK423">
            <v>0</v>
          </cell>
        </row>
        <row r="424">
          <cell r="E424">
            <v>33290210</v>
          </cell>
          <cell r="FK424">
            <v>0</v>
          </cell>
        </row>
        <row r="425">
          <cell r="E425">
            <v>33290210</v>
          </cell>
          <cell r="FK425">
            <v>0</v>
          </cell>
        </row>
        <row r="426">
          <cell r="E426">
            <v>33290210</v>
          </cell>
          <cell r="FK426">
            <v>0</v>
          </cell>
        </row>
        <row r="427">
          <cell r="E427">
            <v>33290210</v>
          </cell>
          <cell r="FK427">
            <v>0</v>
          </cell>
        </row>
        <row r="428">
          <cell r="E428">
            <v>33290210</v>
          </cell>
          <cell r="FK428">
            <v>0</v>
          </cell>
        </row>
        <row r="429">
          <cell r="E429">
            <v>33290210</v>
          </cell>
          <cell r="FK429">
            <v>0</v>
          </cell>
        </row>
        <row r="430">
          <cell r="E430">
            <v>33290210</v>
          </cell>
          <cell r="FK430">
            <v>0</v>
          </cell>
        </row>
        <row r="431">
          <cell r="E431">
            <v>33290210</v>
          </cell>
          <cell r="FK431">
            <v>0</v>
          </cell>
        </row>
        <row r="432">
          <cell r="E432">
            <v>33290210</v>
          </cell>
          <cell r="FK432">
            <v>0</v>
          </cell>
        </row>
        <row r="433">
          <cell r="E433">
            <v>33290210</v>
          </cell>
          <cell r="FK433">
            <v>0</v>
          </cell>
        </row>
        <row r="434">
          <cell r="E434">
            <v>33290210</v>
          </cell>
          <cell r="FK434">
            <v>0</v>
          </cell>
        </row>
        <row r="435">
          <cell r="E435">
            <v>33290210</v>
          </cell>
          <cell r="FK435">
            <v>0</v>
          </cell>
        </row>
        <row r="436">
          <cell r="E436">
            <v>33290210</v>
          </cell>
          <cell r="FK436">
            <v>0</v>
          </cell>
        </row>
        <row r="437">
          <cell r="E437">
            <v>33290210</v>
          </cell>
          <cell r="FK437">
            <v>1</v>
          </cell>
        </row>
        <row r="438">
          <cell r="E438">
            <v>33290210</v>
          </cell>
          <cell r="FK438">
            <v>0</v>
          </cell>
        </row>
        <row r="439">
          <cell r="E439">
            <v>33290210</v>
          </cell>
          <cell r="FK439">
            <v>0</v>
          </cell>
        </row>
        <row r="440">
          <cell r="E440">
            <v>33290210</v>
          </cell>
          <cell r="FK440">
            <v>0</v>
          </cell>
        </row>
        <row r="441">
          <cell r="E441">
            <v>33290210</v>
          </cell>
          <cell r="FK441">
            <v>0</v>
          </cell>
        </row>
        <row r="442">
          <cell r="E442">
            <v>33290210</v>
          </cell>
          <cell r="FK442">
            <v>0</v>
          </cell>
        </row>
        <row r="443">
          <cell r="E443">
            <v>33290210</v>
          </cell>
          <cell r="FK443">
            <v>0</v>
          </cell>
        </row>
        <row r="444">
          <cell r="E444">
            <v>33290210</v>
          </cell>
          <cell r="FK444">
            <v>0</v>
          </cell>
        </row>
        <row r="445">
          <cell r="E445">
            <v>33290210</v>
          </cell>
          <cell r="FK445">
            <v>0</v>
          </cell>
        </row>
        <row r="446">
          <cell r="E446">
            <v>33290210</v>
          </cell>
          <cell r="FK446">
            <v>0</v>
          </cell>
        </row>
        <row r="447">
          <cell r="E447">
            <v>33290210</v>
          </cell>
          <cell r="FK447">
            <v>0</v>
          </cell>
        </row>
        <row r="448">
          <cell r="E448">
            <v>33290210</v>
          </cell>
          <cell r="FK448">
            <v>0</v>
          </cell>
        </row>
        <row r="449">
          <cell r="E449">
            <v>33290210</v>
          </cell>
          <cell r="FK449">
            <v>1</v>
          </cell>
        </row>
        <row r="450">
          <cell r="E450">
            <v>33290210</v>
          </cell>
          <cell r="FK450">
            <v>0</v>
          </cell>
        </row>
        <row r="451">
          <cell r="E451">
            <v>33290210</v>
          </cell>
          <cell r="FK451">
            <v>0</v>
          </cell>
        </row>
        <row r="452">
          <cell r="E452">
            <v>33290211</v>
          </cell>
          <cell r="FK452">
            <v>0</v>
          </cell>
        </row>
        <row r="453">
          <cell r="E453">
            <v>33290211</v>
          </cell>
          <cell r="FK453">
            <v>0</v>
          </cell>
        </row>
        <row r="454">
          <cell r="E454">
            <v>33290211</v>
          </cell>
          <cell r="FK454">
            <v>0</v>
          </cell>
        </row>
        <row r="455">
          <cell r="E455">
            <v>33290211</v>
          </cell>
          <cell r="FK455">
            <v>0</v>
          </cell>
        </row>
        <row r="456">
          <cell r="E456">
            <v>33290211</v>
          </cell>
          <cell r="FK456">
            <v>0</v>
          </cell>
        </row>
        <row r="457">
          <cell r="E457">
            <v>33290211</v>
          </cell>
          <cell r="FK457">
            <v>0</v>
          </cell>
        </row>
        <row r="458">
          <cell r="E458">
            <v>33290211</v>
          </cell>
          <cell r="FK458">
            <v>0</v>
          </cell>
        </row>
        <row r="459">
          <cell r="E459">
            <v>33290211</v>
          </cell>
          <cell r="FK459">
            <v>0</v>
          </cell>
        </row>
        <row r="460">
          <cell r="E460">
            <v>33290211</v>
          </cell>
          <cell r="FK460">
            <v>0</v>
          </cell>
        </row>
        <row r="461">
          <cell r="E461">
            <v>33290211</v>
          </cell>
          <cell r="FK461">
            <v>0</v>
          </cell>
        </row>
        <row r="462">
          <cell r="E462">
            <v>33290211</v>
          </cell>
          <cell r="FK462">
            <v>0</v>
          </cell>
        </row>
        <row r="463">
          <cell r="E463">
            <v>33290211</v>
          </cell>
          <cell r="FK463">
            <v>0</v>
          </cell>
        </row>
        <row r="464">
          <cell r="E464">
            <v>33290211</v>
          </cell>
          <cell r="FK464">
            <v>0</v>
          </cell>
        </row>
        <row r="465">
          <cell r="E465">
            <v>33290211</v>
          </cell>
          <cell r="FK465">
            <v>0</v>
          </cell>
        </row>
        <row r="466">
          <cell r="E466">
            <v>33290211</v>
          </cell>
          <cell r="FK466">
            <v>0</v>
          </cell>
        </row>
        <row r="467">
          <cell r="E467">
            <v>33290211</v>
          </cell>
          <cell r="FK467">
            <v>0</v>
          </cell>
        </row>
        <row r="468">
          <cell r="E468">
            <v>33290211</v>
          </cell>
          <cell r="FK468">
            <v>0</v>
          </cell>
        </row>
        <row r="469">
          <cell r="E469">
            <v>33290212</v>
          </cell>
          <cell r="FK469">
            <v>1</v>
          </cell>
        </row>
        <row r="470">
          <cell r="E470">
            <v>33290212</v>
          </cell>
          <cell r="FK470">
            <v>0</v>
          </cell>
        </row>
        <row r="471">
          <cell r="E471">
            <v>33290212</v>
          </cell>
          <cell r="FK471">
            <v>1</v>
          </cell>
        </row>
        <row r="472">
          <cell r="E472">
            <v>33290212</v>
          </cell>
          <cell r="FK472">
            <v>0</v>
          </cell>
        </row>
        <row r="473">
          <cell r="E473">
            <v>33290212</v>
          </cell>
          <cell r="FK473">
            <v>0</v>
          </cell>
        </row>
        <row r="474">
          <cell r="E474">
            <v>33290212</v>
          </cell>
          <cell r="FK474">
            <v>1</v>
          </cell>
        </row>
        <row r="475">
          <cell r="E475">
            <v>33290212</v>
          </cell>
          <cell r="FK475">
            <v>0</v>
          </cell>
        </row>
        <row r="476">
          <cell r="E476">
            <v>33290212</v>
          </cell>
          <cell r="FK476">
            <v>0</v>
          </cell>
        </row>
        <row r="477">
          <cell r="E477">
            <v>33290212</v>
          </cell>
          <cell r="FK477">
            <v>1</v>
          </cell>
        </row>
        <row r="478">
          <cell r="E478">
            <v>33290212</v>
          </cell>
          <cell r="FK478">
            <v>1</v>
          </cell>
        </row>
        <row r="479">
          <cell r="E479">
            <v>33290212</v>
          </cell>
          <cell r="FK479">
            <v>0</v>
          </cell>
        </row>
        <row r="480">
          <cell r="E480">
            <v>33290212</v>
          </cell>
          <cell r="FK480">
            <v>1</v>
          </cell>
        </row>
        <row r="481">
          <cell r="E481">
            <v>33290212</v>
          </cell>
          <cell r="FK481">
            <v>0</v>
          </cell>
        </row>
        <row r="482">
          <cell r="E482">
            <v>33290212</v>
          </cell>
          <cell r="FK482">
            <v>0</v>
          </cell>
        </row>
        <row r="483">
          <cell r="E483">
            <v>33290212</v>
          </cell>
          <cell r="FK483">
            <v>1</v>
          </cell>
        </row>
        <row r="484">
          <cell r="E484">
            <v>33290212</v>
          </cell>
          <cell r="FK484">
            <v>0</v>
          </cell>
        </row>
        <row r="485">
          <cell r="E485">
            <v>33290212</v>
          </cell>
          <cell r="FK485">
            <v>0</v>
          </cell>
        </row>
        <row r="486">
          <cell r="E486">
            <v>33290212</v>
          </cell>
          <cell r="FK486">
            <v>1</v>
          </cell>
        </row>
        <row r="487">
          <cell r="E487">
            <v>33290212</v>
          </cell>
          <cell r="FK487">
            <v>0</v>
          </cell>
        </row>
        <row r="488">
          <cell r="E488">
            <v>33290212</v>
          </cell>
          <cell r="FK488">
            <v>0</v>
          </cell>
        </row>
        <row r="489">
          <cell r="E489">
            <v>33290212</v>
          </cell>
          <cell r="FK489">
            <v>1</v>
          </cell>
        </row>
        <row r="490">
          <cell r="E490">
            <v>33290212</v>
          </cell>
          <cell r="FK490">
            <v>0</v>
          </cell>
        </row>
        <row r="491">
          <cell r="E491">
            <v>33290212</v>
          </cell>
          <cell r="FK491">
            <v>0</v>
          </cell>
        </row>
        <row r="492">
          <cell r="E492">
            <v>33290212</v>
          </cell>
          <cell r="FK492">
            <v>1</v>
          </cell>
        </row>
        <row r="493">
          <cell r="E493">
            <v>33290213</v>
          </cell>
          <cell r="FK493">
            <v>0</v>
          </cell>
        </row>
        <row r="494">
          <cell r="E494">
            <v>33290213</v>
          </cell>
          <cell r="FK494">
            <v>0</v>
          </cell>
        </row>
        <row r="495">
          <cell r="E495">
            <v>33290213</v>
          </cell>
          <cell r="FK495">
            <v>0</v>
          </cell>
        </row>
        <row r="496">
          <cell r="E496">
            <v>33290213</v>
          </cell>
          <cell r="FK496">
            <v>0</v>
          </cell>
        </row>
        <row r="497">
          <cell r="E497">
            <v>33290213</v>
          </cell>
          <cell r="FK497">
            <v>0</v>
          </cell>
        </row>
        <row r="498">
          <cell r="E498">
            <v>33290213</v>
          </cell>
          <cell r="FK498">
            <v>0</v>
          </cell>
        </row>
        <row r="499">
          <cell r="E499">
            <v>33290213</v>
          </cell>
          <cell r="FK499">
            <v>0</v>
          </cell>
        </row>
        <row r="500">
          <cell r="E500">
            <v>33290213</v>
          </cell>
          <cell r="FK500">
            <v>0</v>
          </cell>
        </row>
        <row r="501">
          <cell r="E501">
            <v>33290213</v>
          </cell>
          <cell r="FK501">
            <v>0</v>
          </cell>
        </row>
        <row r="502">
          <cell r="E502">
            <v>33290213</v>
          </cell>
          <cell r="FK502">
            <v>0</v>
          </cell>
        </row>
        <row r="503">
          <cell r="E503">
            <v>33290213</v>
          </cell>
          <cell r="FK503">
            <v>0</v>
          </cell>
        </row>
        <row r="504">
          <cell r="E504">
            <v>33290213</v>
          </cell>
          <cell r="FK504">
            <v>0</v>
          </cell>
        </row>
        <row r="505">
          <cell r="E505">
            <v>33290213</v>
          </cell>
          <cell r="FK505">
            <v>0</v>
          </cell>
        </row>
        <row r="506">
          <cell r="E506">
            <v>33290213</v>
          </cell>
          <cell r="FK506">
            <v>1</v>
          </cell>
        </row>
        <row r="507">
          <cell r="E507">
            <v>33290213</v>
          </cell>
          <cell r="FK507">
            <v>0</v>
          </cell>
        </row>
        <row r="508">
          <cell r="E508">
            <v>33290213</v>
          </cell>
          <cell r="FK508">
            <v>0</v>
          </cell>
        </row>
        <row r="509">
          <cell r="E509">
            <v>33290213</v>
          </cell>
          <cell r="FK509">
            <v>1</v>
          </cell>
        </row>
        <row r="510">
          <cell r="E510">
            <v>33290213</v>
          </cell>
          <cell r="FK510">
            <v>0</v>
          </cell>
        </row>
        <row r="511">
          <cell r="E511">
            <v>33290213</v>
          </cell>
          <cell r="FK511">
            <v>0</v>
          </cell>
        </row>
        <row r="512">
          <cell r="E512">
            <v>33290213</v>
          </cell>
          <cell r="FK512">
            <v>0</v>
          </cell>
        </row>
        <row r="513">
          <cell r="E513">
            <v>33290213</v>
          </cell>
          <cell r="FK513">
            <v>0</v>
          </cell>
        </row>
        <row r="514">
          <cell r="E514">
            <v>33290213</v>
          </cell>
          <cell r="FK514">
            <v>0</v>
          </cell>
        </row>
        <row r="515">
          <cell r="E515">
            <v>33290213</v>
          </cell>
          <cell r="FK515">
            <v>0</v>
          </cell>
        </row>
        <row r="516">
          <cell r="E516">
            <v>33290213</v>
          </cell>
          <cell r="FK516">
            <v>0</v>
          </cell>
        </row>
        <row r="517">
          <cell r="E517">
            <v>33290214</v>
          </cell>
          <cell r="FK517">
            <v>0</v>
          </cell>
        </row>
        <row r="518">
          <cell r="E518">
            <v>33290214</v>
          </cell>
          <cell r="FK518">
            <v>0</v>
          </cell>
        </row>
        <row r="519">
          <cell r="E519">
            <v>33290214</v>
          </cell>
          <cell r="FK519">
            <v>1</v>
          </cell>
        </row>
        <row r="520">
          <cell r="E520">
            <v>33290214</v>
          </cell>
          <cell r="FK520">
            <v>0</v>
          </cell>
        </row>
        <row r="521">
          <cell r="E521">
            <v>33290214</v>
          </cell>
          <cell r="FK521">
            <v>0</v>
          </cell>
        </row>
        <row r="522">
          <cell r="E522">
            <v>33290214</v>
          </cell>
          <cell r="FK522">
            <v>0</v>
          </cell>
        </row>
        <row r="523">
          <cell r="E523">
            <v>33290214</v>
          </cell>
          <cell r="FK523">
            <v>0</v>
          </cell>
        </row>
        <row r="524">
          <cell r="E524">
            <v>33290214</v>
          </cell>
          <cell r="FK524">
            <v>0</v>
          </cell>
        </row>
        <row r="525">
          <cell r="E525">
            <v>33290214</v>
          </cell>
          <cell r="FK525">
            <v>0</v>
          </cell>
        </row>
        <row r="526">
          <cell r="E526">
            <v>33290214</v>
          </cell>
          <cell r="FK526">
            <v>0</v>
          </cell>
        </row>
        <row r="527">
          <cell r="E527">
            <v>33290214</v>
          </cell>
          <cell r="FK527">
            <v>0</v>
          </cell>
        </row>
        <row r="528">
          <cell r="E528">
            <v>33290214</v>
          </cell>
          <cell r="FK528">
            <v>0</v>
          </cell>
        </row>
        <row r="529">
          <cell r="E529">
            <v>33290214</v>
          </cell>
          <cell r="FK529">
            <v>0</v>
          </cell>
        </row>
        <row r="530">
          <cell r="E530">
            <v>33290214</v>
          </cell>
          <cell r="FK530">
            <v>1</v>
          </cell>
        </row>
        <row r="531">
          <cell r="E531">
            <v>33290214</v>
          </cell>
          <cell r="FK531">
            <v>0</v>
          </cell>
        </row>
        <row r="532">
          <cell r="E532">
            <v>33290214</v>
          </cell>
          <cell r="FK532">
            <v>0</v>
          </cell>
        </row>
        <row r="533">
          <cell r="E533">
            <v>33290214</v>
          </cell>
          <cell r="FK533">
            <v>0</v>
          </cell>
        </row>
        <row r="534">
          <cell r="E534">
            <v>33290214</v>
          </cell>
          <cell r="FK534">
            <v>2</v>
          </cell>
        </row>
        <row r="535">
          <cell r="E535">
            <v>33290214</v>
          </cell>
          <cell r="FK535">
            <v>0</v>
          </cell>
        </row>
        <row r="536">
          <cell r="E536">
            <v>33290214</v>
          </cell>
          <cell r="FK536">
            <v>0</v>
          </cell>
        </row>
        <row r="537">
          <cell r="E537">
            <v>33290214</v>
          </cell>
          <cell r="FK537">
            <v>0</v>
          </cell>
        </row>
        <row r="538">
          <cell r="E538">
            <v>33290214</v>
          </cell>
          <cell r="FK538">
            <v>0</v>
          </cell>
        </row>
        <row r="539">
          <cell r="E539">
            <v>33290214</v>
          </cell>
          <cell r="FK539">
            <v>0</v>
          </cell>
        </row>
        <row r="540">
          <cell r="E540">
            <v>33290214</v>
          </cell>
          <cell r="FK540">
            <v>0</v>
          </cell>
        </row>
        <row r="541">
          <cell r="E541">
            <v>33290214</v>
          </cell>
          <cell r="FK541">
            <v>0</v>
          </cell>
        </row>
        <row r="542">
          <cell r="E542">
            <v>33290214</v>
          </cell>
          <cell r="FK542">
            <v>0</v>
          </cell>
        </row>
        <row r="543">
          <cell r="E543">
            <v>33290214</v>
          </cell>
          <cell r="FK543">
            <v>0</v>
          </cell>
        </row>
        <row r="544">
          <cell r="E544">
            <v>33290215</v>
          </cell>
          <cell r="FK544">
            <v>1</v>
          </cell>
        </row>
        <row r="545">
          <cell r="E545">
            <v>33290215</v>
          </cell>
          <cell r="FK545">
            <v>0</v>
          </cell>
        </row>
        <row r="546">
          <cell r="E546">
            <v>33290215</v>
          </cell>
          <cell r="FK546">
            <v>1</v>
          </cell>
        </row>
        <row r="547">
          <cell r="E547">
            <v>33290215</v>
          </cell>
          <cell r="FK547">
            <v>1</v>
          </cell>
        </row>
        <row r="548">
          <cell r="E548">
            <v>33290215</v>
          </cell>
          <cell r="FK548">
            <v>1</v>
          </cell>
        </row>
        <row r="549">
          <cell r="E549">
            <v>33290215</v>
          </cell>
          <cell r="FK549">
            <v>1</v>
          </cell>
        </row>
        <row r="550">
          <cell r="E550">
            <v>33290215</v>
          </cell>
          <cell r="FK550">
            <v>1</v>
          </cell>
        </row>
        <row r="551">
          <cell r="E551">
            <v>33290215</v>
          </cell>
          <cell r="FK551">
            <v>0</v>
          </cell>
        </row>
        <row r="552">
          <cell r="E552">
            <v>33290215</v>
          </cell>
          <cell r="FK552">
            <v>1</v>
          </cell>
        </row>
        <row r="553">
          <cell r="E553">
            <v>33290215</v>
          </cell>
          <cell r="FK553">
            <v>1</v>
          </cell>
        </row>
        <row r="554">
          <cell r="E554">
            <v>33290215</v>
          </cell>
          <cell r="FK554">
            <v>1</v>
          </cell>
        </row>
        <row r="555">
          <cell r="E555">
            <v>33290215</v>
          </cell>
          <cell r="FK555">
            <v>1</v>
          </cell>
        </row>
        <row r="556">
          <cell r="E556">
            <v>33290215</v>
          </cell>
          <cell r="FK556">
            <v>1</v>
          </cell>
        </row>
        <row r="557">
          <cell r="E557">
            <v>33290215</v>
          </cell>
          <cell r="FK557">
            <v>1</v>
          </cell>
        </row>
        <row r="558">
          <cell r="E558">
            <v>33290215</v>
          </cell>
          <cell r="FK558">
            <v>0</v>
          </cell>
        </row>
        <row r="559">
          <cell r="E559">
            <v>33290215</v>
          </cell>
          <cell r="FK559">
            <v>1</v>
          </cell>
        </row>
        <row r="560">
          <cell r="E560">
            <v>33290215</v>
          </cell>
          <cell r="FK560">
            <v>1</v>
          </cell>
        </row>
        <row r="561">
          <cell r="E561">
            <v>33290215</v>
          </cell>
          <cell r="FK561">
            <v>0</v>
          </cell>
        </row>
        <row r="562">
          <cell r="E562">
            <v>33290215</v>
          </cell>
          <cell r="FK562">
            <v>1</v>
          </cell>
        </row>
        <row r="563">
          <cell r="E563">
            <v>33290215</v>
          </cell>
          <cell r="FK563">
            <v>1</v>
          </cell>
        </row>
        <row r="564">
          <cell r="E564">
            <v>33290215</v>
          </cell>
          <cell r="FK564">
            <v>1</v>
          </cell>
        </row>
        <row r="565">
          <cell r="E565">
            <v>33290215</v>
          </cell>
          <cell r="FK565">
            <v>1</v>
          </cell>
        </row>
        <row r="566">
          <cell r="E566">
            <v>33290215</v>
          </cell>
          <cell r="FK566">
            <v>2</v>
          </cell>
        </row>
        <row r="567">
          <cell r="E567">
            <v>33290215</v>
          </cell>
          <cell r="FK567">
            <v>1</v>
          </cell>
        </row>
        <row r="568">
          <cell r="E568">
            <v>33290215</v>
          </cell>
          <cell r="FK568">
            <v>1</v>
          </cell>
        </row>
        <row r="569">
          <cell r="E569">
            <v>33290215</v>
          </cell>
          <cell r="FK569">
            <v>1</v>
          </cell>
        </row>
        <row r="570">
          <cell r="E570">
            <v>33290216</v>
          </cell>
          <cell r="FK570">
            <v>0</v>
          </cell>
        </row>
        <row r="571">
          <cell r="E571">
            <v>33290216</v>
          </cell>
          <cell r="FK571">
            <v>0</v>
          </cell>
        </row>
        <row r="572">
          <cell r="E572">
            <v>33290216</v>
          </cell>
          <cell r="FK572">
            <v>0</v>
          </cell>
        </row>
        <row r="573">
          <cell r="E573">
            <v>33290216</v>
          </cell>
          <cell r="FK573">
            <v>0</v>
          </cell>
        </row>
        <row r="574">
          <cell r="E574">
            <v>33290216</v>
          </cell>
          <cell r="FK574">
            <v>0</v>
          </cell>
        </row>
        <row r="575">
          <cell r="E575">
            <v>33290216</v>
          </cell>
          <cell r="FK575">
            <v>0</v>
          </cell>
        </row>
        <row r="576">
          <cell r="E576">
            <v>33290216</v>
          </cell>
          <cell r="FK576">
            <v>0</v>
          </cell>
        </row>
        <row r="577">
          <cell r="E577">
            <v>33290216</v>
          </cell>
          <cell r="FK577">
            <v>0</v>
          </cell>
        </row>
        <row r="578">
          <cell r="E578">
            <v>33290216</v>
          </cell>
          <cell r="FK578">
            <v>0</v>
          </cell>
        </row>
        <row r="579">
          <cell r="E579">
            <v>33290216</v>
          </cell>
          <cell r="FK579">
            <v>0</v>
          </cell>
        </row>
        <row r="580">
          <cell r="E580">
            <v>33290216</v>
          </cell>
          <cell r="FK580">
            <v>0</v>
          </cell>
        </row>
        <row r="581">
          <cell r="E581">
            <v>33290216</v>
          </cell>
          <cell r="FK581">
            <v>0</v>
          </cell>
        </row>
        <row r="582">
          <cell r="E582">
            <v>33290216</v>
          </cell>
          <cell r="FK582">
            <v>0</v>
          </cell>
        </row>
        <row r="583">
          <cell r="E583">
            <v>33290216</v>
          </cell>
          <cell r="FK583">
            <v>0</v>
          </cell>
        </row>
        <row r="584">
          <cell r="E584">
            <v>33290216</v>
          </cell>
          <cell r="FK584">
            <v>0</v>
          </cell>
        </row>
        <row r="585">
          <cell r="E585">
            <v>33290216</v>
          </cell>
          <cell r="FK585">
            <v>0</v>
          </cell>
        </row>
        <row r="586">
          <cell r="E586">
            <v>33290216</v>
          </cell>
          <cell r="FK586">
            <v>0</v>
          </cell>
        </row>
        <row r="587">
          <cell r="E587">
            <v>33290216</v>
          </cell>
          <cell r="FK587">
            <v>0</v>
          </cell>
        </row>
        <row r="588">
          <cell r="E588">
            <v>33290216</v>
          </cell>
          <cell r="FK588">
            <v>0</v>
          </cell>
        </row>
        <row r="589">
          <cell r="E589">
            <v>33290217</v>
          </cell>
          <cell r="FK589">
            <v>0</v>
          </cell>
        </row>
        <row r="590">
          <cell r="E590">
            <v>33290217</v>
          </cell>
          <cell r="FK590">
            <v>1</v>
          </cell>
        </row>
        <row r="591">
          <cell r="E591">
            <v>33290217</v>
          </cell>
          <cell r="FK591">
            <v>0</v>
          </cell>
        </row>
        <row r="592">
          <cell r="E592">
            <v>33290217</v>
          </cell>
          <cell r="FK592">
            <v>0</v>
          </cell>
        </row>
        <row r="593">
          <cell r="E593">
            <v>33290217</v>
          </cell>
          <cell r="FK593">
            <v>0</v>
          </cell>
        </row>
        <row r="594">
          <cell r="E594">
            <v>33290217</v>
          </cell>
          <cell r="FK594">
            <v>0</v>
          </cell>
        </row>
        <row r="595">
          <cell r="E595">
            <v>33290217</v>
          </cell>
          <cell r="FK595">
            <v>0</v>
          </cell>
        </row>
        <row r="596">
          <cell r="E596">
            <v>33290217</v>
          </cell>
          <cell r="FK596">
            <v>0</v>
          </cell>
        </row>
        <row r="597">
          <cell r="E597">
            <v>33290217</v>
          </cell>
          <cell r="FK597">
            <v>0</v>
          </cell>
        </row>
        <row r="598">
          <cell r="E598">
            <v>33290217</v>
          </cell>
          <cell r="FK598">
            <v>1</v>
          </cell>
        </row>
        <row r="599">
          <cell r="E599">
            <v>33290217</v>
          </cell>
          <cell r="FK599">
            <v>0</v>
          </cell>
        </row>
        <row r="600">
          <cell r="E600">
            <v>33290217</v>
          </cell>
          <cell r="FK600">
            <v>0</v>
          </cell>
        </row>
        <row r="601">
          <cell r="E601">
            <v>33290217</v>
          </cell>
          <cell r="FK601">
            <v>0</v>
          </cell>
        </row>
        <row r="602">
          <cell r="E602">
            <v>33290217</v>
          </cell>
          <cell r="FK602">
            <v>0</v>
          </cell>
        </row>
        <row r="603">
          <cell r="E603">
            <v>33290217</v>
          </cell>
          <cell r="FK603">
            <v>0</v>
          </cell>
        </row>
        <row r="604">
          <cell r="E604">
            <v>33290217</v>
          </cell>
          <cell r="FK604">
            <v>0</v>
          </cell>
        </row>
        <row r="605">
          <cell r="E605">
            <v>33290217</v>
          </cell>
          <cell r="FK605">
            <v>0</v>
          </cell>
        </row>
        <row r="606">
          <cell r="E606">
            <v>33290217</v>
          </cell>
          <cell r="FK606">
            <v>0</v>
          </cell>
        </row>
        <row r="607">
          <cell r="E607">
            <v>33290217</v>
          </cell>
          <cell r="FK607">
            <v>0</v>
          </cell>
        </row>
        <row r="608">
          <cell r="E608">
            <v>33290217</v>
          </cell>
          <cell r="FK608">
            <v>0</v>
          </cell>
        </row>
        <row r="609">
          <cell r="E609">
            <v>33290217</v>
          </cell>
          <cell r="FK609">
            <v>0</v>
          </cell>
        </row>
        <row r="610">
          <cell r="E610">
            <v>33290217</v>
          </cell>
          <cell r="FK610">
            <v>0</v>
          </cell>
        </row>
        <row r="611">
          <cell r="E611">
            <v>33290217</v>
          </cell>
          <cell r="FK611">
            <v>0</v>
          </cell>
        </row>
        <row r="612">
          <cell r="E612">
            <v>33290217</v>
          </cell>
          <cell r="FK612">
            <v>0</v>
          </cell>
        </row>
        <row r="613">
          <cell r="E613">
            <v>33290217</v>
          </cell>
          <cell r="FK613">
            <v>0</v>
          </cell>
        </row>
        <row r="614">
          <cell r="E614">
            <v>33290217</v>
          </cell>
          <cell r="FK614">
            <v>0</v>
          </cell>
        </row>
        <row r="615">
          <cell r="E615">
            <v>33290217</v>
          </cell>
          <cell r="FK615">
            <v>0</v>
          </cell>
        </row>
        <row r="616">
          <cell r="E616">
            <v>33290218</v>
          </cell>
          <cell r="FK616">
            <v>0</v>
          </cell>
        </row>
        <row r="617">
          <cell r="E617">
            <v>33290218</v>
          </cell>
          <cell r="FK617">
            <v>0</v>
          </cell>
        </row>
        <row r="618">
          <cell r="E618">
            <v>33290218</v>
          </cell>
          <cell r="FK618">
            <v>0</v>
          </cell>
        </row>
        <row r="619">
          <cell r="E619">
            <v>33290218</v>
          </cell>
          <cell r="FK619">
            <v>0</v>
          </cell>
        </row>
        <row r="620">
          <cell r="E620">
            <v>33290218</v>
          </cell>
          <cell r="FK620">
            <v>0</v>
          </cell>
        </row>
        <row r="621">
          <cell r="E621">
            <v>33290218</v>
          </cell>
          <cell r="FK621">
            <v>0</v>
          </cell>
        </row>
        <row r="622">
          <cell r="E622">
            <v>33290218</v>
          </cell>
          <cell r="FK622">
            <v>0</v>
          </cell>
        </row>
        <row r="623">
          <cell r="E623">
            <v>33290218</v>
          </cell>
          <cell r="FK623">
            <v>0</v>
          </cell>
        </row>
        <row r="624">
          <cell r="E624">
            <v>33290218</v>
          </cell>
          <cell r="FK624">
            <v>0</v>
          </cell>
        </row>
        <row r="625">
          <cell r="E625">
            <v>33290218</v>
          </cell>
          <cell r="FK625">
            <v>0</v>
          </cell>
        </row>
        <row r="626">
          <cell r="E626">
            <v>33290218</v>
          </cell>
          <cell r="FK626">
            <v>0</v>
          </cell>
        </row>
        <row r="627">
          <cell r="E627">
            <v>33290218</v>
          </cell>
          <cell r="FK627">
            <v>0</v>
          </cell>
        </row>
        <row r="628">
          <cell r="E628">
            <v>33290218</v>
          </cell>
          <cell r="FK628">
            <v>0</v>
          </cell>
        </row>
        <row r="629">
          <cell r="E629">
            <v>33290218</v>
          </cell>
          <cell r="FK629">
            <v>0</v>
          </cell>
        </row>
        <row r="630">
          <cell r="E630">
            <v>33290218</v>
          </cell>
          <cell r="FK630">
            <v>0</v>
          </cell>
        </row>
        <row r="631">
          <cell r="E631">
            <v>33290218</v>
          </cell>
          <cell r="FK631">
            <v>0</v>
          </cell>
        </row>
        <row r="632">
          <cell r="E632">
            <v>33290218</v>
          </cell>
          <cell r="FK632">
            <v>0</v>
          </cell>
        </row>
        <row r="633">
          <cell r="E633">
            <v>33290218</v>
          </cell>
          <cell r="FK633">
            <v>0</v>
          </cell>
        </row>
        <row r="634">
          <cell r="E634">
            <v>33290218</v>
          </cell>
          <cell r="FK634">
            <v>0</v>
          </cell>
        </row>
        <row r="635">
          <cell r="E635">
            <v>33290218</v>
          </cell>
          <cell r="FK635">
            <v>0</v>
          </cell>
        </row>
        <row r="636">
          <cell r="E636">
            <v>33290218</v>
          </cell>
          <cell r="FK636">
            <v>0</v>
          </cell>
        </row>
        <row r="637">
          <cell r="E637">
            <v>33290218</v>
          </cell>
          <cell r="FK637">
            <v>0</v>
          </cell>
        </row>
        <row r="638">
          <cell r="E638">
            <v>33290218</v>
          </cell>
          <cell r="FK638">
            <v>0</v>
          </cell>
        </row>
        <row r="639">
          <cell r="E639">
            <v>33290218</v>
          </cell>
          <cell r="FK639">
            <v>0</v>
          </cell>
        </row>
        <row r="640">
          <cell r="E640">
            <v>33290218</v>
          </cell>
          <cell r="FK640">
            <v>0</v>
          </cell>
        </row>
        <row r="641">
          <cell r="E641">
            <v>33290219</v>
          </cell>
          <cell r="FK641">
            <v>0</v>
          </cell>
        </row>
        <row r="642">
          <cell r="E642">
            <v>33290219</v>
          </cell>
          <cell r="FK642">
            <v>0</v>
          </cell>
        </row>
        <row r="643">
          <cell r="E643">
            <v>33290219</v>
          </cell>
          <cell r="FK643">
            <v>0</v>
          </cell>
        </row>
        <row r="644">
          <cell r="E644">
            <v>33290219</v>
          </cell>
          <cell r="FK644">
            <v>0</v>
          </cell>
        </row>
        <row r="645">
          <cell r="E645">
            <v>33290219</v>
          </cell>
          <cell r="FK645">
            <v>0</v>
          </cell>
        </row>
        <row r="646">
          <cell r="E646">
            <v>33290219</v>
          </cell>
          <cell r="FK646">
            <v>0</v>
          </cell>
        </row>
        <row r="647">
          <cell r="E647">
            <v>33290219</v>
          </cell>
          <cell r="FK647">
            <v>0</v>
          </cell>
        </row>
        <row r="648">
          <cell r="E648">
            <v>33290219</v>
          </cell>
          <cell r="FK648">
            <v>0</v>
          </cell>
        </row>
        <row r="649">
          <cell r="E649">
            <v>33290219</v>
          </cell>
          <cell r="FK649">
            <v>0</v>
          </cell>
        </row>
        <row r="650">
          <cell r="E650">
            <v>33290219</v>
          </cell>
          <cell r="FK650">
            <v>0</v>
          </cell>
        </row>
        <row r="651">
          <cell r="E651">
            <v>33290219</v>
          </cell>
          <cell r="FK651">
            <v>0</v>
          </cell>
        </row>
        <row r="652">
          <cell r="E652">
            <v>33290219</v>
          </cell>
          <cell r="FK652">
            <v>0</v>
          </cell>
        </row>
        <row r="653">
          <cell r="E653">
            <v>33290219</v>
          </cell>
          <cell r="FK653">
            <v>0</v>
          </cell>
        </row>
        <row r="654">
          <cell r="E654">
            <v>33290219</v>
          </cell>
          <cell r="FK654">
            <v>0</v>
          </cell>
        </row>
        <row r="655">
          <cell r="E655">
            <v>33290219</v>
          </cell>
          <cell r="FK655">
            <v>0</v>
          </cell>
        </row>
        <row r="656">
          <cell r="E656">
            <v>33290219</v>
          </cell>
          <cell r="FK656">
            <v>0</v>
          </cell>
        </row>
        <row r="657">
          <cell r="E657">
            <v>33290219</v>
          </cell>
          <cell r="FK657">
            <v>0</v>
          </cell>
        </row>
        <row r="658">
          <cell r="E658">
            <v>33290219</v>
          </cell>
          <cell r="FK658">
            <v>0</v>
          </cell>
        </row>
        <row r="659">
          <cell r="E659">
            <v>33290219</v>
          </cell>
          <cell r="FK659">
            <v>0</v>
          </cell>
        </row>
        <row r="660">
          <cell r="E660">
            <v>33290219</v>
          </cell>
          <cell r="FK660">
            <v>0</v>
          </cell>
        </row>
        <row r="661">
          <cell r="E661">
            <v>33290219</v>
          </cell>
          <cell r="FK661">
            <v>0</v>
          </cell>
        </row>
        <row r="662">
          <cell r="E662">
            <v>33290219</v>
          </cell>
          <cell r="FK662">
            <v>0</v>
          </cell>
        </row>
        <row r="663">
          <cell r="E663">
            <v>33290219</v>
          </cell>
          <cell r="FK663">
            <v>0</v>
          </cell>
        </row>
        <row r="664">
          <cell r="E664">
            <v>33290219</v>
          </cell>
          <cell r="FK664">
            <v>0</v>
          </cell>
        </row>
        <row r="665">
          <cell r="E665">
            <v>33290219</v>
          </cell>
          <cell r="FK665">
            <v>0</v>
          </cell>
        </row>
        <row r="666">
          <cell r="E666">
            <v>33290219</v>
          </cell>
          <cell r="FK666">
            <v>0</v>
          </cell>
        </row>
        <row r="667">
          <cell r="E667">
            <v>33290219</v>
          </cell>
          <cell r="FK667">
            <v>0</v>
          </cell>
        </row>
        <row r="668">
          <cell r="E668">
            <v>33290219</v>
          </cell>
          <cell r="FK668">
            <v>0</v>
          </cell>
        </row>
        <row r="669">
          <cell r="E669">
            <v>33290219</v>
          </cell>
          <cell r="FK669">
            <v>1</v>
          </cell>
        </row>
        <row r="670">
          <cell r="E670">
            <v>33290219</v>
          </cell>
          <cell r="FK670">
            <v>0</v>
          </cell>
        </row>
        <row r="671">
          <cell r="E671">
            <v>33290220</v>
          </cell>
          <cell r="FK671">
            <v>1</v>
          </cell>
        </row>
        <row r="672">
          <cell r="E672">
            <v>33290220</v>
          </cell>
          <cell r="FK672">
            <v>1</v>
          </cell>
        </row>
        <row r="673">
          <cell r="E673">
            <v>33290220</v>
          </cell>
          <cell r="FK673">
            <v>0</v>
          </cell>
        </row>
        <row r="674">
          <cell r="E674">
            <v>33290220</v>
          </cell>
          <cell r="FK674">
            <v>0</v>
          </cell>
        </row>
        <row r="675">
          <cell r="E675">
            <v>33290220</v>
          </cell>
          <cell r="FK675">
            <v>0</v>
          </cell>
        </row>
        <row r="676">
          <cell r="E676">
            <v>33290220</v>
          </cell>
          <cell r="FK676">
            <v>0</v>
          </cell>
        </row>
        <row r="677">
          <cell r="E677">
            <v>33290220</v>
          </cell>
          <cell r="FK677">
            <v>0</v>
          </cell>
        </row>
        <row r="678">
          <cell r="E678">
            <v>33290220</v>
          </cell>
          <cell r="FK678">
            <v>0</v>
          </cell>
        </row>
        <row r="679">
          <cell r="E679">
            <v>33290220</v>
          </cell>
          <cell r="FK679">
            <v>0</v>
          </cell>
        </row>
        <row r="680">
          <cell r="E680">
            <v>33290221</v>
          </cell>
          <cell r="FK680">
            <v>0</v>
          </cell>
        </row>
        <row r="681">
          <cell r="E681">
            <v>33290221</v>
          </cell>
          <cell r="FK681">
            <v>0</v>
          </cell>
        </row>
        <row r="682">
          <cell r="E682">
            <v>33290221</v>
          </cell>
          <cell r="FK682">
            <v>0</v>
          </cell>
        </row>
        <row r="683">
          <cell r="E683">
            <v>33290221</v>
          </cell>
          <cell r="FK683">
            <v>0</v>
          </cell>
        </row>
        <row r="684">
          <cell r="E684">
            <v>33290221</v>
          </cell>
          <cell r="FK684">
            <v>0</v>
          </cell>
        </row>
        <row r="685">
          <cell r="E685">
            <v>33290221</v>
          </cell>
          <cell r="FK685">
            <v>0</v>
          </cell>
        </row>
        <row r="686">
          <cell r="E686">
            <v>33290221</v>
          </cell>
          <cell r="FK686">
            <v>0</v>
          </cell>
        </row>
        <row r="687">
          <cell r="E687">
            <v>33290221</v>
          </cell>
          <cell r="FK687">
            <v>0</v>
          </cell>
        </row>
        <row r="688">
          <cell r="E688">
            <v>33290222</v>
          </cell>
          <cell r="FK688">
            <v>0</v>
          </cell>
        </row>
        <row r="689">
          <cell r="E689">
            <v>33290222</v>
          </cell>
          <cell r="FK689">
            <v>0</v>
          </cell>
        </row>
        <row r="690">
          <cell r="E690">
            <v>33290222</v>
          </cell>
          <cell r="FK690">
            <v>0</v>
          </cell>
        </row>
        <row r="691">
          <cell r="E691">
            <v>33290222</v>
          </cell>
          <cell r="FK691">
            <v>0</v>
          </cell>
        </row>
        <row r="692">
          <cell r="E692">
            <v>33290222</v>
          </cell>
          <cell r="FK692">
            <v>0</v>
          </cell>
        </row>
        <row r="693">
          <cell r="E693">
            <v>33290222</v>
          </cell>
          <cell r="FK693">
            <v>0</v>
          </cell>
        </row>
        <row r="694">
          <cell r="E694">
            <v>33290222</v>
          </cell>
          <cell r="FK694">
            <v>0</v>
          </cell>
        </row>
        <row r="695">
          <cell r="E695">
            <v>33290222</v>
          </cell>
          <cell r="FK695">
            <v>0</v>
          </cell>
        </row>
        <row r="696">
          <cell r="E696">
            <v>33290222</v>
          </cell>
          <cell r="FK696">
            <v>0</v>
          </cell>
        </row>
        <row r="697">
          <cell r="E697">
            <v>33290222</v>
          </cell>
          <cell r="FK697">
            <v>0</v>
          </cell>
        </row>
        <row r="698">
          <cell r="E698">
            <v>33290222</v>
          </cell>
          <cell r="FK698">
            <v>1</v>
          </cell>
        </row>
        <row r="699">
          <cell r="E699">
            <v>33290222</v>
          </cell>
          <cell r="FK699">
            <v>0</v>
          </cell>
        </row>
        <row r="700">
          <cell r="E700">
            <v>33290222</v>
          </cell>
          <cell r="FK700">
            <v>0</v>
          </cell>
        </row>
        <row r="701">
          <cell r="E701">
            <v>33290222</v>
          </cell>
          <cell r="FK701">
            <v>0</v>
          </cell>
        </row>
        <row r="702">
          <cell r="E702">
            <v>33290222</v>
          </cell>
          <cell r="FK702">
            <v>0</v>
          </cell>
        </row>
        <row r="703">
          <cell r="E703">
            <v>33290222</v>
          </cell>
          <cell r="FK703">
            <v>0</v>
          </cell>
        </row>
        <row r="704">
          <cell r="E704">
            <v>33290222</v>
          </cell>
          <cell r="FK704">
            <v>0</v>
          </cell>
        </row>
        <row r="705">
          <cell r="E705">
            <v>33290222</v>
          </cell>
          <cell r="FK705">
            <v>0</v>
          </cell>
        </row>
        <row r="706">
          <cell r="E706">
            <v>33290222</v>
          </cell>
          <cell r="FK706">
            <v>0</v>
          </cell>
        </row>
        <row r="707">
          <cell r="E707">
            <v>33290222</v>
          </cell>
          <cell r="FK707">
            <v>0</v>
          </cell>
        </row>
        <row r="708">
          <cell r="E708">
            <v>33290223</v>
          </cell>
          <cell r="FK708">
            <v>0</v>
          </cell>
        </row>
        <row r="709">
          <cell r="E709">
            <v>33290223</v>
          </cell>
          <cell r="FK709">
            <v>0</v>
          </cell>
        </row>
        <row r="710">
          <cell r="E710">
            <v>33290223</v>
          </cell>
          <cell r="FK710">
            <v>1</v>
          </cell>
        </row>
        <row r="711">
          <cell r="E711">
            <v>33290223</v>
          </cell>
          <cell r="FK711">
            <v>0</v>
          </cell>
        </row>
        <row r="712">
          <cell r="E712">
            <v>33290223</v>
          </cell>
          <cell r="FK712">
            <v>0</v>
          </cell>
        </row>
        <row r="713">
          <cell r="E713">
            <v>33290223</v>
          </cell>
          <cell r="FK713">
            <v>0</v>
          </cell>
        </row>
        <row r="714">
          <cell r="E714">
            <v>33290223</v>
          </cell>
          <cell r="FK714">
            <v>0</v>
          </cell>
        </row>
        <row r="715">
          <cell r="E715">
            <v>33290223</v>
          </cell>
          <cell r="FK715">
            <v>0</v>
          </cell>
        </row>
        <row r="716">
          <cell r="E716">
            <v>33290223</v>
          </cell>
          <cell r="FK716">
            <v>0</v>
          </cell>
        </row>
        <row r="717">
          <cell r="E717">
            <v>33290223</v>
          </cell>
          <cell r="FK717">
            <v>0</v>
          </cell>
        </row>
        <row r="718">
          <cell r="E718">
            <v>33290223</v>
          </cell>
          <cell r="FK718">
            <v>0</v>
          </cell>
        </row>
        <row r="719">
          <cell r="E719">
            <v>33290223</v>
          </cell>
          <cell r="FK719">
            <v>0</v>
          </cell>
        </row>
        <row r="720">
          <cell r="E720">
            <v>33290223</v>
          </cell>
          <cell r="FK720">
            <v>0</v>
          </cell>
        </row>
        <row r="721">
          <cell r="E721">
            <v>33290223</v>
          </cell>
          <cell r="FK721">
            <v>0</v>
          </cell>
        </row>
        <row r="722">
          <cell r="E722">
            <v>33290223</v>
          </cell>
          <cell r="FK722">
            <v>0</v>
          </cell>
        </row>
        <row r="723">
          <cell r="E723">
            <v>33290223</v>
          </cell>
          <cell r="FK723">
            <v>0</v>
          </cell>
        </row>
        <row r="724">
          <cell r="E724">
            <v>33290223</v>
          </cell>
          <cell r="FK724">
            <v>0</v>
          </cell>
        </row>
        <row r="725">
          <cell r="E725">
            <v>33290223</v>
          </cell>
          <cell r="FK725">
            <v>0</v>
          </cell>
        </row>
        <row r="726">
          <cell r="E726">
            <v>33290401</v>
          </cell>
          <cell r="FK726">
            <v>0</v>
          </cell>
        </row>
        <row r="727">
          <cell r="E727">
            <v>33290401</v>
          </cell>
          <cell r="FK727">
            <v>1</v>
          </cell>
        </row>
        <row r="728">
          <cell r="E728">
            <v>33290401</v>
          </cell>
          <cell r="FK728">
            <v>0</v>
          </cell>
        </row>
        <row r="729">
          <cell r="E729">
            <v>33290401</v>
          </cell>
          <cell r="FK729">
            <v>1</v>
          </cell>
        </row>
        <row r="730">
          <cell r="E730">
            <v>33290401</v>
          </cell>
          <cell r="FK730">
            <v>1</v>
          </cell>
        </row>
        <row r="731">
          <cell r="E731">
            <v>33290401</v>
          </cell>
          <cell r="FK731">
            <v>0</v>
          </cell>
        </row>
        <row r="732">
          <cell r="E732">
            <v>33290401</v>
          </cell>
          <cell r="FK732">
            <v>0</v>
          </cell>
        </row>
        <row r="733">
          <cell r="E733">
            <v>33290401</v>
          </cell>
          <cell r="FK733">
            <v>0</v>
          </cell>
        </row>
        <row r="734">
          <cell r="E734">
            <v>33290401</v>
          </cell>
          <cell r="FK734">
            <v>0</v>
          </cell>
        </row>
        <row r="735">
          <cell r="E735">
            <v>33290401</v>
          </cell>
          <cell r="FK735">
            <v>1</v>
          </cell>
        </row>
        <row r="736">
          <cell r="E736">
            <v>33290401</v>
          </cell>
          <cell r="FK736">
            <v>0</v>
          </cell>
        </row>
        <row r="737">
          <cell r="E737">
            <v>33290401</v>
          </cell>
          <cell r="FK737">
            <v>1</v>
          </cell>
        </row>
        <row r="738">
          <cell r="E738">
            <v>33290401</v>
          </cell>
          <cell r="FK738">
            <v>0</v>
          </cell>
        </row>
        <row r="739">
          <cell r="E739">
            <v>33290401</v>
          </cell>
          <cell r="FK739">
            <v>0</v>
          </cell>
        </row>
        <row r="740">
          <cell r="E740">
            <v>33290401</v>
          </cell>
          <cell r="FK740">
            <v>0</v>
          </cell>
        </row>
        <row r="741">
          <cell r="E741">
            <v>33290401</v>
          </cell>
          <cell r="FK741">
            <v>1</v>
          </cell>
        </row>
        <row r="742">
          <cell r="E742">
            <v>33290401</v>
          </cell>
          <cell r="FK742">
            <v>0</v>
          </cell>
        </row>
        <row r="743">
          <cell r="E743">
            <v>33290401</v>
          </cell>
          <cell r="FK743">
            <v>1</v>
          </cell>
        </row>
        <row r="744">
          <cell r="E744">
            <v>33290401</v>
          </cell>
          <cell r="FK744">
            <v>1</v>
          </cell>
        </row>
        <row r="745">
          <cell r="E745">
            <v>33290401</v>
          </cell>
          <cell r="FK745">
            <v>0</v>
          </cell>
        </row>
        <row r="746">
          <cell r="E746">
            <v>33290401</v>
          </cell>
          <cell r="FK746">
            <v>0</v>
          </cell>
        </row>
        <row r="747">
          <cell r="E747">
            <v>33290401</v>
          </cell>
          <cell r="FK747">
            <v>0</v>
          </cell>
        </row>
        <row r="748">
          <cell r="E748">
            <v>33290401</v>
          </cell>
          <cell r="FK748">
            <v>0</v>
          </cell>
        </row>
        <row r="749">
          <cell r="E749">
            <v>33290401</v>
          </cell>
          <cell r="FK749">
            <v>0</v>
          </cell>
        </row>
        <row r="750">
          <cell r="E750">
            <v>33290401</v>
          </cell>
          <cell r="FK750">
            <v>0</v>
          </cell>
        </row>
        <row r="751">
          <cell r="E751">
            <v>33290401</v>
          </cell>
          <cell r="FK751">
            <v>0</v>
          </cell>
        </row>
        <row r="752">
          <cell r="E752">
            <v>33290401</v>
          </cell>
          <cell r="FK752">
            <v>0</v>
          </cell>
        </row>
        <row r="753">
          <cell r="E753">
            <v>33290401</v>
          </cell>
          <cell r="FK753">
            <v>1</v>
          </cell>
        </row>
        <row r="754">
          <cell r="E754">
            <v>33290401</v>
          </cell>
          <cell r="FK754">
            <v>0</v>
          </cell>
        </row>
        <row r="755">
          <cell r="E755">
            <v>33290401</v>
          </cell>
          <cell r="FK755">
            <v>0</v>
          </cell>
        </row>
        <row r="756">
          <cell r="E756">
            <v>33290401</v>
          </cell>
          <cell r="FK756">
            <v>1</v>
          </cell>
        </row>
        <row r="757">
          <cell r="E757">
            <v>33290401</v>
          </cell>
          <cell r="FK757">
            <v>0</v>
          </cell>
        </row>
        <row r="758">
          <cell r="E758">
            <v>33290401</v>
          </cell>
          <cell r="FK758">
            <v>1</v>
          </cell>
        </row>
        <row r="759">
          <cell r="E759">
            <v>33290401</v>
          </cell>
          <cell r="FK759">
            <v>1</v>
          </cell>
        </row>
        <row r="760">
          <cell r="E760">
            <v>33290401</v>
          </cell>
          <cell r="FK760">
            <v>0</v>
          </cell>
        </row>
        <row r="761">
          <cell r="E761">
            <v>33290401</v>
          </cell>
          <cell r="FK761">
            <v>1</v>
          </cell>
        </row>
        <row r="762">
          <cell r="E762">
            <v>33290401</v>
          </cell>
          <cell r="FK762">
            <v>1</v>
          </cell>
        </row>
        <row r="763">
          <cell r="E763">
            <v>33290401</v>
          </cell>
          <cell r="FK763">
            <v>0</v>
          </cell>
        </row>
        <row r="764">
          <cell r="E764">
            <v>33290401</v>
          </cell>
          <cell r="FK764">
            <v>0</v>
          </cell>
        </row>
        <row r="765">
          <cell r="E765">
            <v>33290401</v>
          </cell>
          <cell r="FK765">
            <v>1</v>
          </cell>
        </row>
        <row r="766">
          <cell r="E766">
            <v>33290401</v>
          </cell>
          <cell r="FK766">
            <v>0</v>
          </cell>
        </row>
        <row r="767">
          <cell r="E767">
            <v>33290401</v>
          </cell>
          <cell r="FK767">
            <v>0</v>
          </cell>
        </row>
        <row r="768">
          <cell r="E768">
            <v>33290401</v>
          </cell>
          <cell r="FK768">
            <v>1</v>
          </cell>
        </row>
        <row r="769">
          <cell r="E769">
            <v>33290401</v>
          </cell>
          <cell r="FK769">
            <v>0</v>
          </cell>
        </row>
        <row r="770">
          <cell r="E770">
            <v>33290401</v>
          </cell>
          <cell r="FK770">
            <v>0</v>
          </cell>
        </row>
        <row r="771">
          <cell r="E771">
            <v>33290401</v>
          </cell>
          <cell r="FK771">
            <v>1</v>
          </cell>
        </row>
        <row r="772">
          <cell r="E772">
            <v>33290401</v>
          </cell>
          <cell r="FK772">
            <v>0</v>
          </cell>
        </row>
        <row r="773">
          <cell r="E773">
            <v>33290401</v>
          </cell>
          <cell r="FK773">
            <v>0</v>
          </cell>
        </row>
        <row r="774">
          <cell r="E774">
            <v>33290401</v>
          </cell>
          <cell r="FK774">
            <v>1</v>
          </cell>
        </row>
        <row r="775">
          <cell r="E775">
            <v>33290401</v>
          </cell>
          <cell r="FK775">
            <v>1</v>
          </cell>
        </row>
        <row r="776">
          <cell r="E776">
            <v>33290401</v>
          </cell>
          <cell r="FK776">
            <v>1</v>
          </cell>
        </row>
        <row r="777">
          <cell r="E777">
            <v>33290401</v>
          </cell>
          <cell r="FK777">
            <v>0</v>
          </cell>
        </row>
        <row r="778">
          <cell r="E778">
            <v>33290402</v>
          </cell>
          <cell r="FK778">
            <v>0</v>
          </cell>
        </row>
        <row r="779">
          <cell r="E779">
            <v>33290402</v>
          </cell>
          <cell r="FK779">
            <v>0</v>
          </cell>
        </row>
        <row r="780">
          <cell r="E780">
            <v>33290402</v>
          </cell>
          <cell r="FK780">
            <v>1</v>
          </cell>
        </row>
        <row r="781">
          <cell r="E781">
            <v>33290402</v>
          </cell>
          <cell r="FK781">
            <v>0</v>
          </cell>
        </row>
        <row r="782">
          <cell r="E782">
            <v>33290402</v>
          </cell>
          <cell r="FK782">
            <v>0</v>
          </cell>
        </row>
        <row r="783">
          <cell r="E783">
            <v>33290402</v>
          </cell>
          <cell r="FK783">
            <v>1</v>
          </cell>
        </row>
        <row r="784">
          <cell r="E784">
            <v>33290402</v>
          </cell>
          <cell r="FK784">
            <v>1</v>
          </cell>
        </row>
        <row r="785">
          <cell r="E785">
            <v>33290402</v>
          </cell>
          <cell r="FK785">
            <v>1</v>
          </cell>
        </row>
        <row r="786">
          <cell r="E786">
            <v>33290402</v>
          </cell>
          <cell r="FK786">
            <v>0</v>
          </cell>
        </row>
        <row r="787">
          <cell r="E787">
            <v>33290402</v>
          </cell>
          <cell r="FK787">
            <v>1</v>
          </cell>
        </row>
        <row r="788">
          <cell r="E788">
            <v>33290402</v>
          </cell>
          <cell r="FK788">
            <v>0</v>
          </cell>
        </row>
        <row r="789">
          <cell r="E789">
            <v>33290402</v>
          </cell>
          <cell r="FK789">
            <v>1</v>
          </cell>
        </row>
        <row r="790">
          <cell r="E790">
            <v>33290402</v>
          </cell>
          <cell r="FK790">
            <v>1</v>
          </cell>
        </row>
        <row r="791">
          <cell r="E791">
            <v>33290402</v>
          </cell>
          <cell r="FK791">
            <v>1</v>
          </cell>
        </row>
        <row r="792">
          <cell r="E792">
            <v>33290402</v>
          </cell>
          <cell r="FK792">
            <v>0</v>
          </cell>
        </row>
        <row r="793">
          <cell r="E793">
            <v>33290402</v>
          </cell>
          <cell r="FK793">
            <v>1</v>
          </cell>
        </row>
        <row r="794">
          <cell r="E794">
            <v>33290402</v>
          </cell>
          <cell r="FK794">
            <v>0</v>
          </cell>
        </row>
        <row r="795">
          <cell r="E795">
            <v>33290402</v>
          </cell>
          <cell r="FK795">
            <v>1</v>
          </cell>
        </row>
        <row r="796">
          <cell r="E796">
            <v>33290402</v>
          </cell>
          <cell r="FK796">
            <v>0</v>
          </cell>
        </row>
        <row r="797">
          <cell r="E797">
            <v>33290402</v>
          </cell>
          <cell r="FK797">
            <v>0</v>
          </cell>
        </row>
        <row r="798">
          <cell r="E798">
            <v>33290402</v>
          </cell>
          <cell r="FK798">
            <v>0</v>
          </cell>
        </row>
        <row r="799">
          <cell r="E799">
            <v>33290402</v>
          </cell>
          <cell r="FK799">
            <v>1</v>
          </cell>
        </row>
        <row r="800">
          <cell r="E800">
            <v>33290402</v>
          </cell>
          <cell r="FK800">
            <v>1</v>
          </cell>
        </row>
        <row r="801">
          <cell r="E801">
            <v>33290402</v>
          </cell>
          <cell r="FK801">
            <v>0</v>
          </cell>
        </row>
        <row r="802">
          <cell r="E802">
            <v>33290402</v>
          </cell>
          <cell r="FK802">
            <v>0</v>
          </cell>
        </row>
        <row r="803">
          <cell r="E803">
            <v>33290402</v>
          </cell>
          <cell r="FK803">
            <v>1</v>
          </cell>
        </row>
        <row r="804">
          <cell r="E804">
            <v>33290402</v>
          </cell>
          <cell r="FK804">
            <v>0</v>
          </cell>
        </row>
        <row r="805">
          <cell r="E805">
            <v>33290402</v>
          </cell>
          <cell r="FK805">
            <v>1</v>
          </cell>
        </row>
        <row r="806">
          <cell r="E806">
            <v>33290402</v>
          </cell>
          <cell r="FK806">
            <v>0</v>
          </cell>
        </row>
        <row r="807">
          <cell r="E807">
            <v>33290402</v>
          </cell>
          <cell r="FK807">
            <v>1</v>
          </cell>
        </row>
        <row r="808">
          <cell r="E808">
            <v>33290402</v>
          </cell>
          <cell r="FK808">
            <v>1</v>
          </cell>
        </row>
        <row r="809">
          <cell r="E809">
            <v>33290402</v>
          </cell>
          <cell r="FK809">
            <v>1</v>
          </cell>
        </row>
        <row r="810">
          <cell r="E810">
            <v>33290402</v>
          </cell>
          <cell r="FK810">
            <v>1</v>
          </cell>
        </row>
        <row r="811">
          <cell r="E811">
            <v>33290402</v>
          </cell>
          <cell r="FK811">
            <v>1</v>
          </cell>
        </row>
        <row r="812">
          <cell r="E812">
            <v>33290402</v>
          </cell>
          <cell r="FK812">
            <v>0</v>
          </cell>
        </row>
        <row r="813">
          <cell r="E813">
            <v>33290402</v>
          </cell>
          <cell r="FK813">
            <v>1</v>
          </cell>
        </row>
        <row r="814">
          <cell r="E814">
            <v>33290402</v>
          </cell>
          <cell r="FK814">
            <v>0</v>
          </cell>
        </row>
        <row r="815">
          <cell r="E815">
            <v>33290402</v>
          </cell>
          <cell r="FK815">
            <v>1</v>
          </cell>
        </row>
        <row r="816">
          <cell r="E816">
            <v>33290402</v>
          </cell>
          <cell r="FK816">
            <v>0</v>
          </cell>
        </row>
        <row r="817">
          <cell r="E817">
            <v>33290402</v>
          </cell>
          <cell r="FK817">
            <v>1</v>
          </cell>
        </row>
        <row r="818">
          <cell r="E818">
            <v>33290402</v>
          </cell>
          <cell r="FK818">
            <v>1</v>
          </cell>
        </row>
        <row r="819">
          <cell r="E819">
            <v>33290402</v>
          </cell>
          <cell r="FK819">
            <v>0</v>
          </cell>
        </row>
        <row r="820">
          <cell r="E820">
            <v>33290402</v>
          </cell>
          <cell r="FK820">
            <v>0</v>
          </cell>
        </row>
        <row r="821">
          <cell r="E821">
            <v>33290402</v>
          </cell>
          <cell r="FK821">
            <v>1</v>
          </cell>
        </row>
        <row r="822">
          <cell r="E822">
            <v>33290402</v>
          </cell>
          <cell r="FK822">
            <v>0</v>
          </cell>
        </row>
        <row r="823">
          <cell r="E823">
            <v>33290403</v>
          </cell>
          <cell r="FK823">
            <v>1</v>
          </cell>
        </row>
        <row r="824">
          <cell r="E824">
            <v>33290403</v>
          </cell>
          <cell r="FK824">
            <v>0</v>
          </cell>
        </row>
        <row r="825">
          <cell r="E825">
            <v>33290403</v>
          </cell>
          <cell r="FK825">
            <v>1</v>
          </cell>
        </row>
        <row r="826">
          <cell r="E826">
            <v>33290403</v>
          </cell>
          <cell r="FK826">
            <v>1</v>
          </cell>
        </row>
        <row r="827">
          <cell r="E827">
            <v>33290403</v>
          </cell>
          <cell r="FK827">
            <v>0</v>
          </cell>
        </row>
        <row r="828">
          <cell r="E828">
            <v>33290403</v>
          </cell>
          <cell r="FK828">
            <v>1</v>
          </cell>
        </row>
        <row r="829">
          <cell r="E829">
            <v>33290403</v>
          </cell>
          <cell r="FK829">
            <v>0</v>
          </cell>
        </row>
        <row r="830">
          <cell r="E830">
            <v>33290403</v>
          </cell>
          <cell r="FK830">
            <v>1</v>
          </cell>
        </row>
        <row r="831">
          <cell r="E831">
            <v>33290403</v>
          </cell>
          <cell r="FK831">
            <v>1</v>
          </cell>
        </row>
        <row r="832">
          <cell r="E832">
            <v>33290403</v>
          </cell>
          <cell r="FK832">
            <v>0</v>
          </cell>
        </row>
        <row r="833">
          <cell r="E833">
            <v>33290403</v>
          </cell>
          <cell r="FK833">
            <v>0</v>
          </cell>
        </row>
        <row r="834">
          <cell r="E834">
            <v>33290403</v>
          </cell>
          <cell r="FK834">
            <v>0</v>
          </cell>
        </row>
        <row r="835">
          <cell r="E835">
            <v>33290403</v>
          </cell>
          <cell r="FK835">
            <v>1</v>
          </cell>
        </row>
        <row r="836">
          <cell r="E836">
            <v>33290403</v>
          </cell>
          <cell r="FK836">
            <v>0</v>
          </cell>
        </row>
        <row r="837">
          <cell r="E837">
            <v>33290403</v>
          </cell>
          <cell r="FK837">
            <v>1</v>
          </cell>
        </row>
        <row r="838">
          <cell r="E838">
            <v>33290403</v>
          </cell>
          <cell r="FK838">
            <v>1</v>
          </cell>
        </row>
        <row r="839">
          <cell r="E839">
            <v>33290403</v>
          </cell>
          <cell r="FK839">
            <v>1</v>
          </cell>
        </row>
        <row r="840">
          <cell r="E840">
            <v>33290403</v>
          </cell>
          <cell r="FK840">
            <v>0</v>
          </cell>
        </row>
        <row r="841">
          <cell r="E841">
            <v>33290403</v>
          </cell>
          <cell r="FK841">
            <v>1</v>
          </cell>
        </row>
        <row r="842">
          <cell r="E842">
            <v>33290403</v>
          </cell>
          <cell r="FK842">
            <v>1</v>
          </cell>
        </row>
        <row r="843">
          <cell r="E843">
            <v>33290403</v>
          </cell>
          <cell r="FK843">
            <v>1</v>
          </cell>
        </row>
        <row r="844">
          <cell r="E844">
            <v>33290403</v>
          </cell>
          <cell r="FK844">
            <v>1</v>
          </cell>
        </row>
        <row r="845">
          <cell r="E845">
            <v>33290403</v>
          </cell>
          <cell r="FK845">
            <v>1</v>
          </cell>
        </row>
        <row r="846">
          <cell r="E846">
            <v>33290403</v>
          </cell>
          <cell r="FK846">
            <v>1</v>
          </cell>
        </row>
        <row r="847">
          <cell r="E847">
            <v>33290403</v>
          </cell>
          <cell r="FK847">
            <v>1</v>
          </cell>
        </row>
        <row r="848">
          <cell r="E848">
            <v>33290403</v>
          </cell>
          <cell r="FK848">
            <v>0</v>
          </cell>
        </row>
        <row r="849">
          <cell r="E849">
            <v>33290403</v>
          </cell>
          <cell r="FK849">
            <v>1</v>
          </cell>
        </row>
        <row r="850">
          <cell r="E850">
            <v>33290403</v>
          </cell>
          <cell r="FK850">
            <v>0</v>
          </cell>
        </row>
        <row r="851">
          <cell r="E851">
            <v>33290403</v>
          </cell>
          <cell r="FK851">
            <v>1</v>
          </cell>
        </row>
        <row r="852">
          <cell r="E852">
            <v>33290403</v>
          </cell>
          <cell r="FK852">
            <v>1</v>
          </cell>
        </row>
        <row r="853">
          <cell r="E853">
            <v>33290403</v>
          </cell>
          <cell r="FK853">
            <v>1</v>
          </cell>
        </row>
        <row r="854">
          <cell r="E854">
            <v>33290403</v>
          </cell>
          <cell r="FK854">
            <v>1</v>
          </cell>
        </row>
        <row r="855">
          <cell r="E855">
            <v>33290403</v>
          </cell>
          <cell r="FK855">
            <v>1</v>
          </cell>
        </row>
        <row r="856">
          <cell r="E856">
            <v>33290403</v>
          </cell>
          <cell r="FK856">
            <v>1</v>
          </cell>
        </row>
        <row r="857">
          <cell r="E857">
            <v>33290403</v>
          </cell>
          <cell r="FK857">
            <v>1</v>
          </cell>
        </row>
        <row r="858">
          <cell r="E858">
            <v>33290403</v>
          </cell>
          <cell r="FK858">
            <v>0</v>
          </cell>
        </row>
        <row r="859">
          <cell r="E859">
            <v>33290403</v>
          </cell>
          <cell r="FK859">
            <v>0</v>
          </cell>
        </row>
        <row r="860">
          <cell r="E860">
            <v>33290403</v>
          </cell>
          <cell r="FK860">
            <v>1</v>
          </cell>
        </row>
        <row r="861">
          <cell r="E861">
            <v>33290403</v>
          </cell>
          <cell r="FK861">
            <v>0</v>
          </cell>
        </row>
        <row r="862">
          <cell r="E862">
            <v>33290403</v>
          </cell>
          <cell r="FK862">
            <v>1</v>
          </cell>
        </row>
        <row r="863">
          <cell r="E863">
            <v>33290403</v>
          </cell>
          <cell r="FK863">
            <v>0</v>
          </cell>
        </row>
        <row r="864">
          <cell r="E864">
            <v>33290403</v>
          </cell>
          <cell r="FK864">
            <v>1</v>
          </cell>
        </row>
        <row r="865">
          <cell r="E865">
            <v>33290403</v>
          </cell>
          <cell r="FK865">
            <v>0</v>
          </cell>
        </row>
        <row r="866">
          <cell r="E866">
            <v>33290403</v>
          </cell>
          <cell r="FK866">
            <v>1</v>
          </cell>
        </row>
        <row r="867">
          <cell r="E867">
            <v>33290403</v>
          </cell>
          <cell r="FK867">
            <v>0</v>
          </cell>
        </row>
        <row r="868">
          <cell r="E868">
            <v>33290403</v>
          </cell>
          <cell r="FK868">
            <v>1</v>
          </cell>
        </row>
        <row r="869">
          <cell r="E869">
            <v>33290404</v>
          </cell>
          <cell r="FK869">
            <v>0</v>
          </cell>
        </row>
        <row r="870">
          <cell r="E870">
            <v>33290404</v>
          </cell>
          <cell r="FK870">
            <v>0</v>
          </cell>
        </row>
        <row r="871">
          <cell r="E871">
            <v>33290404</v>
          </cell>
          <cell r="FK871">
            <v>0</v>
          </cell>
        </row>
        <row r="872">
          <cell r="E872">
            <v>33290404</v>
          </cell>
          <cell r="FK872">
            <v>1</v>
          </cell>
        </row>
        <row r="873">
          <cell r="E873">
            <v>33290404</v>
          </cell>
          <cell r="FK873">
            <v>0</v>
          </cell>
        </row>
        <row r="874">
          <cell r="E874">
            <v>33290404</v>
          </cell>
          <cell r="FK874">
            <v>0</v>
          </cell>
        </row>
        <row r="875">
          <cell r="E875">
            <v>33290404</v>
          </cell>
          <cell r="FK875">
            <v>0</v>
          </cell>
        </row>
        <row r="876">
          <cell r="E876">
            <v>33290404</v>
          </cell>
          <cell r="FK876">
            <v>0</v>
          </cell>
        </row>
        <row r="877">
          <cell r="E877">
            <v>33290404</v>
          </cell>
          <cell r="FK877">
            <v>0</v>
          </cell>
        </row>
        <row r="878">
          <cell r="E878">
            <v>33290404</v>
          </cell>
          <cell r="FK878">
            <v>0</v>
          </cell>
        </row>
        <row r="879">
          <cell r="E879">
            <v>33290404</v>
          </cell>
          <cell r="FK879">
            <v>0</v>
          </cell>
        </row>
        <row r="880">
          <cell r="E880">
            <v>33290404</v>
          </cell>
          <cell r="FK880">
            <v>0</v>
          </cell>
        </row>
        <row r="881">
          <cell r="E881">
            <v>33290404</v>
          </cell>
          <cell r="FK881">
            <v>0</v>
          </cell>
        </row>
        <row r="882">
          <cell r="E882">
            <v>33290404</v>
          </cell>
          <cell r="FK882">
            <v>0</v>
          </cell>
        </row>
        <row r="883">
          <cell r="E883">
            <v>33290404</v>
          </cell>
          <cell r="FK883">
            <v>0</v>
          </cell>
        </row>
        <row r="884">
          <cell r="E884">
            <v>33290404</v>
          </cell>
          <cell r="FK884">
            <v>0</v>
          </cell>
        </row>
        <row r="885">
          <cell r="E885">
            <v>33290404</v>
          </cell>
          <cell r="FK885">
            <v>0</v>
          </cell>
        </row>
        <row r="886">
          <cell r="E886">
            <v>33290404</v>
          </cell>
          <cell r="FK886">
            <v>0</v>
          </cell>
        </row>
        <row r="887">
          <cell r="E887">
            <v>33290404</v>
          </cell>
          <cell r="FK887">
            <v>0</v>
          </cell>
        </row>
        <row r="888">
          <cell r="E888">
            <v>33290404</v>
          </cell>
          <cell r="FK888">
            <v>0</v>
          </cell>
        </row>
        <row r="889">
          <cell r="E889">
            <v>33290404</v>
          </cell>
          <cell r="FK889">
            <v>0</v>
          </cell>
        </row>
        <row r="890">
          <cell r="E890">
            <v>33290404</v>
          </cell>
          <cell r="FK890">
            <v>0</v>
          </cell>
        </row>
        <row r="891">
          <cell r="E891">
            <v>33290404</v>
          </cell>
          <cell r="FK891">
            <v>0</v>
          </cell>
        </row>
        <row r="892">
          <cell r="E892">
            <v>33290404</v>
          </cell>
          <cell r="FK892">
            <v>0</v>
          </cell>
        </row>
        <row r="893">
          <cell r="E893">
            <v>33290404</v>
          </cell>
          <cell r="FK893">
            <v>0</v>
          </cell>
        </row>
        <row r="894">
          <cell r="E894">
            <v>33290404</v>
          </cell>
          <cell r="FK894">
            <v>1</v>
          </cell>
        </row>
        <row r="895">
          <cell r="E895">
            <v>33290404</v>
          </cell>
          <cell r="FK895">
            <v>0</v>
          </cell>
        </row>
        <row r="896">
          <cell r="E896">
            <v>33290404</v>
          </cell>
          <cell r="FK896">
            <v>0</v>
          </cell>
        </row>
        <row r="897">
          <cell r="E897">
            <v>33290404</v>
          </cell>
          <cell r="FK897">
            <v>0</v>
          </cell>
        </row>
        <row r="898">
          <cell r="E898">
            <v>33290404</v>
          </cell>
          <cell r="FK898">
            <v>0</v>
          </cell>
        </row>
        <row r="899">
          <cell r="E899">
            <v>33290404</v>
          </cell>
          <cell r="FK899">
            <v>0</v>
          </cell>
        </row>
        <row r="900">
          <cell r="E900">
            <v>33290404</v>
          </cell>
          <cell r="FK900">
            <v>0</v>
          </cell>
        </row>
        <row r="901">
          <cell r="E901">
            <v>33290404</v>
          </cell>
          <cell r="FK901">
            <v>0</v>
          </cell>
        </row>
        <row r="902">
          <cell r="E902">
            <v>33290404</v>
          </cell>
          <cell r="FK902">
            <v>0</v>
          </cell>
        </row>
        <row r="903">
          <cell r="E903">
            <v>33290404</v>
          </cell>
          <cell r="FK903">
            <v>1</v>
          </cell>
        </row>
        <row r="904">
          <cell r="E904">
            <v>33290404</v>
          </cell>
          <cell r="FK904">
            <v>0</v>
          </cell>
        </row>
        <row r="905">
          <cell r="E905">
            <v>33290404</v>
          </cell>
          <cell r="FK905">
            <v>0</v>
          </cell>
        </row>
        <row r="906">
          <cell r="E906">
            <v>33290404</v>
          </cell>
          <cell r="FK906">
            <v>0</v>
          </cell>
        </row>
        <row r="907">
          <cell r="E907">
            <v>33290404</v>
          </cell>
          <cell r="FK907">
            <v>0</v>
          </cell>
        </row>
        <row r="908">
          <cell r="E908">
            <v>33290404</v>
          </cell>
          <cell r="FK908">
            <v>0</v>
          </cell>
        </row>
        <row r="909">
          <cell r="E909">
            <v>33290404</v>
          </cell>
          <cell r="FK909">
            <v>0</v>
          </cell>
        </row>
        <row r="910">
          <cell r="E910">
            <v>33290404</v>
          </cell>
          <cell r="FK910">
            <v>0</v>
          </cell>
        </row>
        <row r="911">
          <cell r="E911">
            <v>33290404</v>
          </cell>
          <cell r="FK911">
            <v>0</v>
          </cell>
        </row>
        <row r="912">
          <cell r="E912">
            <v>33290404</v>
          </cell>
          <cell r="FK912">
            <v>0</v>
          </cell>
        </row>
        <row r="913">
          <cell r="E913">
            <v>33290404</v>
          </cell>
          <cell r="FK913">
            <v>1</v>
          </cell>
        </row>
        <row r="914">
          <cell r="E914">
            <v>33290404</v>
          </cell>
          <cell r="FK914">
            <v>0</v>
          </cell>
        </row>
        <row r="915">
          <cell r="E915">
            <v>33290404</v>
          </cell>
          <cell r="FK915">
            <v>0</v>
          </cell>
        </row>
        <row r="916">
          <cell r="E916">
            <v>33290404</v>
          </cell>
          <cell r="FK916">
            <v>0</v>
          </cell>
        </row>
        <row r="917">
          <cell r="E917">
            <v>33290404</v>
          </cell>
          <cell r="FK917">
            <v>0</v>
          </cell>
        </row>
        <row r="918">
          <cell r="E918">
            <v>33290404</v>
          </cell>
          <cell r="FK918">
            <v>0</v>
          </cell>
        </row>
        <row r="919">
          <cell r="E919">
            <v>33290404</v>
          </cell>
          <cell r="FK919">
            <v>1</v>
          </cell>
        </row>
        <row r="920">
          <cell r="E920">
            <v>33290404</v>
          </cell>
          <cell r="FK920">
            <v>0</v>
          </cell>
        </row>
        <row r="921">
          <cell r="E921">
            <v>33290404</v>
          </cell>
          <cell r="FK921">
            <v>0</v>
          </cell>
        </row>
        <row r="922">
          <cell r="E922">
            <v>33290404</v>
          </cell>
          <cell r="FK922">
            <v>0</v>
          </cell>
        </row>
        <row r="923">
          <cell r="E923">
            <v>33290404</v>
          </cell>
          <cell r="FK923">
            <v>0</v>
          </cell>
        </row>
        <row r="924">
          <cell r="E924">
            <v>33290404</v>
          </cell>
          <cell r="FK924">
            <v>0</v>
          </cell>
        </row>
        <row r="925">
          <cell r="E925">
            <v>33290404</v>
          </cell>
          <cell r="FK925">
            <v>0</v>
          </cell>
        </row>
        <row r="926">
          <cell r="E926">
            <v>33290404</v>
          </cell>
          <cell r="FK926">
            <v>0</v>
          </cell>
        </row>
        <row r="927">
          <cell r="E927">
            <v>33290404</v>
          </cell>
          <cell r="FK927">
            <v>0</v>
          </cell>
        </row>
        <row r="928">
          <cell r="E928">
            <v>33290404</v>
          </cell>
          <cell r="FK928">
            <v>0</v>
          </cell>
        </row>
        <row r="929">
          <cell r="E929">
            <v>33290404</v>
          </cell>
          <cell r="FK929">
            <v>0</v>
          </cell>
        </row>
        <row r="930">
          <cell r="E930">
            <v>33290404</v>
          </cell>
          <cell r="FK930">
            <v>0</v>
          </cell>
        </row>
        <row r="931">
          <cell r="E931">
            <v>33290404</v>
          </cell>
          <cell r="FK931">
            <v>0</v>
          </cell>
        </row>
        <row r="932">
          <cell r="E932">
            <v>33290404</v>
          </cell>
          <cell r="FK932">
            <v>0</v>
          </cell>
        </row>
        <row r="933">
          <cell r="E933">
            <v>33290404</v>
          </cell>
          <cell r="FK933">
            <v>0</v>
          </cell>
        </row>
        <row r="934">
          <cell r="E934">
            <v>33290404</v>
          </cell>
          <cell r="FK934">
            <v>0</v>
          </cell>
        </row>
        <row r="935">
          <cell r="E935">
            <v>33290404</v>
          </cell>
          <cell r="FK935">
            <v>0</v>
          </cell>
        </row>
        <row r="936">
          <cell r="E936">
            <v>33290404</v>
          </cell>
          <cell r="FK936">
            <v>0</v>
          </cell>
        </row>
        <row r="937">
          <cell r="E937">
            <v>33290404</v>
          </cell>
          <cell r="FK937">
            <v>0</v>
          </cell>
        </row>
        <row r="938">
          <cell r="E938">
            <v>33290405</v>
          </cell>
          <cell r="FK938">
            <v>0</v>
          </cell>
        </row>
        <row r="939">
          <cell r="E939">
            <v>33290405</v>
          </cell>
          <cell r="FK939">
            <v>1</v>
          </cell>
        </row>
        <row r="940">
          <cell r="E940">
            <v>33290405</v>
          </cell>
          <cell r="FK940">
            <v>1</v>
          </cell>
        </row>
        <row r="941">
          <cell r="E941">
            <v>33290405</v>
          </cell>
          <cell r="FK941">
            <v>0</v>
          </cell>
        </row>
        <row r="942">
          <cell r="E942">
            <v>33290405</v>
          </cell>
          <cell r="FK942">
            <v>0</v>
          </cell>
        </row>
        <row r="943">
          <cell r="E943">
            <v>33290405</v>
          </cell>
          <cell r="FK943">
            <v>0</v>
          </cell>
        </row>
        <row r="944">
          <cell r="E944">
            <v>33290405</v>
          </cell>
          <cell r="FK944">
            <v>0</v>
          </cell>
        </row>
        <row r="945">
          <cell r="E945">
            <v>33290405</v>
          </cell>
          <cell r="FK945">
            <v>0</v>
          </cell>
        </row>
        <row r="946">
          <cell r="E946">
            <v>33290405</v>
          </cell>
          <cell r="FK946">
            <v>0</v>
          </cell>
        </row>
        <row r="947">
          <cell r="E947">
            <v>33290405</v>
          </cell>
          <cell r="FK947">
            <v>1</v>
          </cell>
        </row>
        <row r="948">
          <cell r="E948">
            <v>33290405</v>
          </cell>
          <cell r="FK948">
            <v>0</v>
          </cell>
        </row>
        <row r="949">
          <cell r="E949">
            <v>33290405</v>
          </cell>
          <cell r="FK949">
            <v>0</v>
          </cell>
        </row>
        <row r="950">
          <cell r="E950">
            <v>33290405</v>
          </cell>
          <cell r="FK950">
            <v>0</v>
          </cell>
        </row>
        <row r="951">
          <cell r="E951">
            <v>33290405</v>
          </cell>
          <cell r="FK951">
            <v>0</v>
          </cell>
        </row>
        <row r="952">
          <cell r="E952">
            <v>33290405</v>
          </cell>
          <cell r="FK952">
            <v>0</v>
          </cell>
        </row>
        <row r="953">
          <cell r="E953">
            <v>33290405</v>
          </cell>
          <cell r="FK953">
            <v>0</v>
          </cell>
        </row>
        <row r="954">
          <cell r="E954">
            <v>33290405</v>
          </cell>
          <cell r="FK954">
            <v>0</v>
          </cell>
        </row>
        <row r="955">
          <cell r="E955">
            <v>33290405</v>
          </cell>
          <cell r="FK955">
            <v>0</v>
          </cell>
        </row>
        <row r="956">
          <cell r="E956">
            <v>33290405</v>
          </cell>
          <cell r="FK956">
            <v>0</v>
          </cell>
        </row>
        <row r="957">
          <cell r="E957">
            <v>33290406</v>
          </cell>
          <cell r="FK957">
            <v>0</v>
          </cell>
        </row>
        <row r="958">
          <cell r="E958">
            <v>33290406</v>
          </cell>
          <cell r="FK958">
            <v>1</v>
          </cell>
        </row>
        <row r="959">
          <cell r="E959">
            <v>33290406</v>
          </cell>
          <cell r="FK959">
            <v>0</v>
          </cell>
        </row>
        <row r="960">
          <cell r="E960">
            <v>33290406</v>
          </cell>
          <cell r="FK960">
            <v>1</v>
          </cell>
        </row>
        <row r="961">
          <cell r="E961">
            <v>33290406</v>
          </cell>
          <cell r="FK961">
            <v>0</v>
          </cell>
        </row>
        <row r="962">
          <cell r="E962">
            <v>33290406</v>
          </cell>
          <cell r="FK962">
            <v>1</v>
          </cell>
        </row>
        <row r="963">
          <cell r="E963">
            <v>33290406</v>
          </cell>
          <cell r="FK963">
            <v>1</v>
          </cell>
        </row>
        <row r="964">
          <cell r="E964">
            <v>33290406</v>
          </cell>
          <cell r="FK964">
            <v>0</v>
          </cell>
        </row>
        <row r="965">
          <cell r="E965">
            <v>33290406</v>
          </cell>
          <cell r="FK965">
            <v>1</v>
          </cell>
        </row>
        <row r="966">
          <cell r="E966">
            <v>33290406</v>
          </cell>
          <cell r="FK966">
            <v>1</v>
          </cell>
        </row>
        <row r="967">
          <cell r="E967">
            <v>33290406</v>
          </cell>
          <cell r="FK967">
            <v>1</v>
          </cell>
        </row>
        <row r="968">
          <cell r="E968">
            <v>33290406</v>
          </cell>
          <cell r="FK968">
            <v>0</v>
          </cell>
        </row>
        <row r="969">
          <cell r="E969">
            <v>33290406</v>
          </cell>
          <cell r="FK969">
            <v>1</v>
          </cell>
        </row>
        <row r="970">
          <cell r="E970">
            <v>33290406</v>
          </cell>
          <cell r="FK970">
            <v>1</v>
          </cell>
        </row>
        <row r="971">
          <cell r="E971">
            <v>33290406</v>
          </cell>
          <cell r="FK971">
            <v>1</v>
          </cell>
        </row>
        <row r="972">
          <cell r="E972">
            <v>33290406</v>
          </cell>
          <cell r="FK972">
            <v>1</v>
          </cell>
        </row>
        <row r="973">
          <cell r="E973">
            <v>33290406</v>
          </cell>
          <cell r="FK973">
            <v>0</v>
          </cell>
        </row>
        <row r="974">
          <cell r="E974">
            <v>33290406</v>
          </cell>
          <cell r="FK974">
            <v>0</v>
          </cell>
        </row>
        <row r="975">
          <cell r="E975">
            <v>33290406</v>
          </cell>
          <cell r="FK975">
            <v>0</v>
          </cell>
        </row>
        <row r="976">
          <cell r="E976">
            <v>33290406</v>
          </cell>
          <cell r="FK976">
            <v>1</v>
          </cell>
        </row>
        <row r="977">
          <cell r="E977">
            <v>33290406</v>
          </cell>
          <cell r="FK977">
            <v>1</v>
          </cell>
        </row>
        <row r="978">
          <cell r="E978">
            <v>33290406</v>
          </cell>
          <cell r="FK978">
            <v>0</v>
          </cell>
        </row>
        <row r="979">
          <cell r="E979">
            <v>33290406</v>
          </cell>
          <cell r="FK979">
            <v>1</v>
          </cell>
        </row>
        <row r="980">
          <cell r="E980">
            <v>33290406</v>
          </cell>
          <cell r="FK980">
            <v>0</v>
          </cell>
        </row>
        <row r="981">
          <cell r="E981">
            <v>33290406</v>
          </cell>
          <cell r="FK981">
            <v>0</v>
          </cell>
        </row>
        <row r="982">
          <cell r="E982">
            <v>33290406</v>
          </cell>
          <cell r="FK982">
            <v>1</v>
          </cell>
        </row>
        <row r="983">
          <cell r="E983">
            <v>33290406</v>
          </cell>
          <cell r="FK983">
            <v>0</v>
          </cell>
        </row>
        <row r="984">
          <cell r="E984">
            <v>33290406</v>
          </cell>
          <cell r="FK984">
            <v>0</v>
          </cell>
        </row>
        <row r="985">
          <cell r="E985">
            <v>33290406</v>
          </cell>
          <cell r="FK985">
            <v>0</v>
          </cell>
        </row>
        <row r="986">
          <cell r="E986">
            <v>33290406</v>
          </cell>
          <cell r="FK986">
            <v>1</v>
          </cell>
        </row>
        <row r="987">
          <cell r="E987">
            <v>33290406</v>
          </cell>
          <cell r="FK987">
            <v>0</v>
          </cell>
        </row>
        <row r="988">
          <cell r="E988">
            <v>33290406</v>
          </cell>
          <cell r="FK988">
            <v>0</v>
          </cell>
        </row>
        <row r="989">
          <cell r="E989">
            <v>33290406</v>
          </cell>
          <cell r="FK989">
            <v>0</v>
          </cell>
        </row>
        <row r="990">
          <cell r="E990">
            <v>33290406</v>
          </cell>
          <cell r="FK990">
            <v>0</v>
          </cell>
        </row>
        <row r="991">
          <cell r="E991">
            <v>33290406</v>
          </cell>
          <cell r="FK991">
            <v>0</v>
          </cell>
        </row>
        <row r="992">
          <cell r="E992">
            <v>33290406</v>
          </cell>
          <cell r="FK992">
            <v>0</v>
          </cell>
        </row>
        <row r="993">
          <cell r="E993">
            <v>33290406</v>
          </cell>
          <cell r="FK993">
            <v>0</v>
          </cell>
        </row>
        <row r="994">
          <cell r="E994">
            <v>33290406</v>
          </cell>
          <cell r="FK994">
            <v>1</v>
          </cell>
        </row>
        <row r="995">
          <cell r="E995">
            <v>33290406</v>
          </cell>
          <cell r="FK995">
            <v>0</v>
          </cell>
        </row>
        <row r="996">
          <cell r="E996">
            <v>33290407</v>
          </cell>
          <cell r="FK996">
            <v>1</v>
          </cell>
        </row>
        <row r="997">
          <cell r="E997">
            <v>33290407</v>
          </cell>
          <cell r="FK997">
            <v>0</v>
          </cell>
        </row>
        <row r="998">
          <cell r="E998">
            <v>33290407</v>
          </cell>
          <cell r="FK998">
            <v>0</v>
          </cell>
        </row>
        <row r="999">
          <cell r="E999">
            <v>33290407</v>
          </cell>
          <cell r="FK999">
            <v>0</v>
          </cell>
        </row>
        <row r="1000">
          <cell r="E1000">
            <v>33290407</v>
          </cell>
          <cell r="FK1000">
            <v>0</v>
          </cell>
        </row>
        <row r="1001">
          <cell r="E1001">
            <v>33290407</v>
          </cell>
          <cell r="FK1001">
            <v>0</v>
          </cell>
        </row>
        <row r="1002">
          <cell r="E1002">
            <v>33290407</v>
          </cell>
          <cell r="FK1002">
            <v>1</v>
          </cell>
        </row>
        <row r="1003">
          <cell r="E1003">
            <v>33290407</v>
          </cell>
          <cell r="FK1003">
            <v>0</v>
          </cell>
        </row>
        <row r="1004">
          <cell r="E1004">
            <v>33290407</v>
          </cell>
          <cell r="FK1004">
            <v>0</v>
          </cell>
        </row>
        <row r="1005">
          <cell r="E1005">
            <v>33290407</v>
          </cell>
          <cell r="FK1005">
            <v>0</v>
          </cell>
        </row>
        <row r="1006">
          <cell r="E1006">
            <v>33290407</v>
          </cell>
          <cell r="FK1006">
            <v>1</v>
          </cell>
        </row>
        <row r="1007">
          <cell r="E1007">
            <v>33290407</v>
          </cell>
          <cell r="FK1007">
            <v>1</v>
          </cell>
        </row>
        <row r="1008">
          <cell r="E1008">
            <v>33290407</v>
          </cell>
          <cell r="FK1008">
            <v>0</v>
          </cell>
        </row>
        <row r="1009">
          <cell r="E1009">
            <v>33290407</v>
          </cell>
          <cell r="FK1009">
            <v>0</v>
          </cell>
        </row>
        <row r="1010">
          <cell r="E1010">
            <v>33290407</v>
          </cell>
          <cell r="FK1010">
            <v>0</v>
          </cell>
        </row>
        <row r="1011">
          <cell r="E1011">
            <v>33290407</v>
          </cell>
          <cell r="FK1011">
            <v>1</v>
          </cell>
        </row>
        <row r="1012">
          <cell r="E1012">
            <v>33290407</v>
          </cell>
          <cell r="FK1012">
            <v>1</v>
          </cell>
        </row>
        <row r="1013">
          <cell r="E1013">
            <v>33290407</v>
          </cell>
          <cell r="FK1013">
            <v>1</v>
          </cell>
        </row>
        <row r="1014">
          <cell r="E1014">
            <v>33290407</v>
          </cell>
          <cell r="FK1014">
            <v>0</v>
          </cell>
        </row>
        <row r="1015">
          <cell r="E1015">
            <v>33290407</v>
          </cell>
          <cell r="FK1015">
            <v>0</v>
          </cell>
        </row>
        <row r="1016">
          <cell r="E1016">
            <v>33290407</v>
          </cell>
          <cell r="FK1016">
            <v>1</v>
          </cell>
        </row>
        <row r="1017">
          <cell r="E1017">
            <v>33290407</v>
          </cell>
          <cell r="FK1017">
            <v>1</v>
          </cell>
        </row>
        <row r="1018">
          <cell r="E1018">
            <v>33290407</v>
          </cell>
          <cell r="FK1018">
            <v>1</v>
          </cell>
        </row>
        <row r="1019">
          <cell r="E1019">
            <v>33290407</v>
          </cell>
          <cell r="FK1019">
            <v>0</v>
          </cell>
        </row>
        <row r="1020">
          <cell r="E1020">
            <v>33290407</v>
          </cell>
          <cell r="FK1020">
            <v>0</v>
          </cell>
        </row>
        <row r="1021">
          <cell r="E1021">
            <v>33290407</v>
          </cell>
          <cell r="FK1021">
            <v>1</v>
          </cell>
        </row>
        <row r="1022">
          <cell r="E1022">
            <v>33290407</v>
          </cell>
          <cell r="FK1022">
            <v>0</v>
          </cell>
        </row>
        <row r="1023">
          <cell r="E1023">
            <v>33290407</v>
          </cell>
          <cell r="FK1023">
            <v>0</v>
          </cell>
        </row>
        <row r="1024">
          <cell r="E1024">
            <v>33290407</v>
          </cell>
          <cell r="FK1024">
            <v>0</v>
          </cell>
        </row>
        <row r="1025">
          <cell r="E1025">
            <v>33290407</v>
          </cell>
          <cell r="FK1025">
            <v>0</v>
          </cell>
        </row>
        <row r="1026">
          <cell r="E1026">
            <v>33290407</v>
          </cell>
          <cell r="FK1026">
            <v>1</v>
          </cell>
        </row>
        <row r="1027">
          <cell r="E1027">
            <v>33290407</v>
          </cell>
          <cell r="FK1027">
            <v>0</v>
          </cell>
        </row>
        <row r="1028">
          <cell r="E1028">
            <v>33290407</v>
          </cell>
          <cell r="FK1028">
            <v>0</v>
          </cell>
        </row>
        <row r="1029">
          <cell r="E1029">
            <v>33290407</v>
          </cell>
          <cell r="FK1029">
            <v>0</v>
          </cell>
        </row>
        <row r="1030">
          <cell r="E1030">
            <v>33290407</v>
          </cell>
          <cell r="FK1030">
            <v>1</v>
          </cell>
        </row>
        <row r="1031">
          <cell r="E1031">
            <v>33290407</v>
          </cell>
          <cell r="FK1031">
            <v>0</v>
          </cell>
        </row>
        <row r="1032">
          <cell r="E1032">
            <v>33290407</v>
          </cell>
          <cell r="FK1032">
            <v>0</v>
          </cell>
        </row>
        <row r="1033">
          <cell r="E1033">
            <v>33290407</v>
          </cell>
          <cell r="FK1033">
            <v>0</v>
          </cell>
        </row>
        <row r="1034">
          <cell r="E1034">
            <v>33290407</v>
          </cell>
          <cell r="FK1034">
            <v>0</v>
          </cell>
        </row>
        <row r="1035">
          <cell r="E1035">
            <v>33290407</v>
          </cell>
          <cell r="FK1035">
            <v>0</v>
          </cell>
        </row>
        <row r="1036">
          <cell r="E1036">
            <v>33290407</v>
          </cell>
          <cell r="FK1036">
            <v>0</v>
          </cell>
        </row>
        <row r="1037">
          <cell r="E1037">
            <v>33290407</v>
          </cell>
          <cell r="FK1037">
            <v>0</v>
          </cell>
        </row>
        <row r="1038">
          <cell r="E1038">
            <v>33290407</v>
          </cell>
          <cell r="FK1038">
            <v>0</v>
          </cell>
        </row>
        <row r="1039">
          <cell r="E1039">
            <v>33290407</v>
          </cell>
          <cell r="FK1039">
            <v>0</v>
          </cell>
        </row>
        <row r="1040">
          <cell r="E1040">
            <v>33290408</v>
          </cell>
          <cell r="FK1040">
            <v>0</v>
          </cell>
        </row>
        <row r="1041">
          <cell r="E1041">
            <v>33290408</v>
          </cell>
          <cell r="FK1041">
            <v>0</v>
          </cell>
        </row>
        <row r="1042">
          <cell r="E1042">
            <v>33290408</v>
          </cell>
          <cell r="FK1042">
            <v>0</v>
          </cell>
        </row>
        <row r="1043">
          <cell r="E1043">
            <v>33290408</v>
          </cell>
          <cell r="FK1043">
            <v>0</v>
          </cell>
        </row>
        <row r="1044">
          <cell r="E1044">
            <v>33290408</v>
          </cell>
          <cell r="FK1044">
            <v>0</v>
          </cell>
        </row>
        <row r="1045">
          <cell r="E1045">
            <v>33290408</v>
          </cell>
          <cell r="FK1045">
            <v>0</v>
          </cell>
        </row>
        <row r="1046">
          <cell r="E1046">
            <v>33290408</v>
          </cell>
          <cell r="FK1046">
            <v>0</v>
          </cell>
        </row>
        <row r="1047">
          <cell r="E1047">
            <v>33290408</v>
          </cell>
          <cell r="FK1047">
            <v>0</v>
          </cell>
        </row>
        <row r="1048">
          <cell r="E1048">
            <v>33290408</v>
          </cell>
          <cell r="FK1048">
            <v>0</v>
          </cell>
        </row>
        <row r="1049">
          <cell r="E1049">
            <v>33290408</v>
          </cell>
          <cell r="FK1049">
            <v>0</v>
          </cell>
        </row>
        <row r="1050">
          <cell r="E1050">
            <v>33290408</v>
          </cell>
          <cell r="FK1050">
            <v>0</v>
          </cell>
        </row>
        <row r="1051">
          <cell r="E1051">
            <v>33290408</v>
          </cell>
          <cell r="FK1051">
            <v>0</v>
          </cell>
        </row>
        <row r="1052">
          <cell r="E1052">
            <v>33290408</v>
          </cell>
          <cell r="FK1052">
            <v>1</v>
          </cell>
        </row>
        <row r="1053">
          <cell r="E1053">
            <v>33290408</v>
          </cell>
          <cell r="FK1053">
            <v>0</v>
          </cell>
        </row>
        <row r="1054">
          <cell r="E1054">
            <v>33290408</v>
          </cell>
          <cell r="FK1054">
            <v>0</v>
          </cell>
        </row>
        <row r="1055">
          <cell r="E1055">
            <v>33290408</v>
          </cell>
          <cell r="FK1055">
            <v>0</v>
          </cell>
        </row>
        <row r="1056">
          <cell r="E1056">
            <v>33290408</v>
          </cell>
          <cell r="FK1056">
            <v>0</v>
          </cell>
        </row>
        <row r="1057">
          <cell r="E1057">
            <v>33290408</v>
          </cell>
          <cell r="FK1057">
            <v>0</v>
          </cell>
        </row>
        <row r="1058">
          <cell r="E1058">
            <v>33290408</v>
          </cell>
          <cell r="FK1058">
            <v>1</v>
          </cell>
        </row>
        <row r="1059">
          <cell r="E1059">
            <v>33290408</v>
          </cell>
          <cell r="FK1059">
            <v>0</v>
          </cell>
        </row>
        <row r="1060">
          <cell r="E1060">
            <v>33290408</v>
          </cell>
          <cell r="FK1060">
            <v>0</v>
          </cell>
        </row>
        <row r="1061">
          <cell r="E1061">
            <v>33290408</v>
          </cell>
          <cell r="FK1061">
            <v>0</v>
          </cell>
        </row>
        <row r="1062">
          <cell r="E1062">
            <v>33290408</v>
          </cell>
          <cell r="FK1062">
            <v>0</v>
          </cell>
        </row>
        <row r="1063">
          <cell r="E1063">
            <v>33290408</v>
          </cell>
          <cell r="FK1063">
            <v>0</v>
          </cell>
        </row>
        <row r="1064">
          <cell r="E1064">
            <v>33290408</v>
          </cell>
          <cell r="FK1064">
            <v>0</v>
          </cell>
        </row>
        <row r="1065">
          <cell r="E1065">
            <v>33290408</v>
          </cell>
          <cell r="FK1065">
            <v>0</v>
          </cell>
        </row>
        <row r="1066">
          <cell r="E1066">
            <v>33290408</v>
          </cell>
          <cell r="FK1066">
            <v>0</v>
          </cell>
        </row>
        <row r="1067">
          <cell r="E1067">
            <v>33290408</v>
          </cell>
          <cell r="FK1067">
            <v>0</v>
          </cell>
        </row>
        <row r="1068">
          <cell r="E1068">
            <v>33290408</v>
          </cell>
          <cell r="FK1068">
            <v>0</v>
          </cell>
        </row>
        <row r="1069">
          <cell r="E1069">
            <v>33290408</v>
          </cell>
          <cell r="FK1069">
            <v>0</v>
          </cell>
        </row>
        <row r="1070">
          <cell r="E1070">
            <v>33290408</v>
          </cell>
          <cell r="FK1070">
            <v>0</v>
          </cell>
        </row>
        <row r="1071">
          <cell r="E1071">
            <v>33290408</v>
          </cell>
          <cell r="FK1071">
            <v>0</v>
          </cell>
        </row>
        <row r="1072">
          <cell r="E1072">
            <v>33290408</v>
          </cell>
          <cell r="FK1072">
            <v>0</v>
          </cell>
        </row>
        <row r="1073">
          <cell r="E1073">
            <v>33290408</v>
          </cell>
          <cell r="FK1073">
            <v>0</v>
          </cell>
        </row>
        <row r="1074">
          <cell r="E1074">
            <v>33290408</v>
          </cell>
          <cell r="FK1074">
            <v>1</v>
          </cell>
        </row>
        <row r="1075">
          <cell r="E1075">
            <v>33290408</v>
          </cell>
          <cell r="FK1075">
            <v>0</v>
          </cell>
        </row>
        <row r="1076">
          <cell r="E1076">
            <v>33290409</v>
          </cell>
          <cell r="FK1076">
            <v>0</v>
          </cell>
        </row>
        <row r="1077">
          <cell r="E1077">
            <v>33290409</v>
          </cell>
          <cell r="FK1077">
            <v>0</v>
          </cell>
        </row>
        <row r="1078">
          <cell r="E1078">
            <v>33290409</v>
          </cell>
          <cell r="FK1078">
            <v>0</v>
          </cell>
        </row>
        <row r="1079">
          <cell r="E1079">
            <v>33290409</v>
          </cell>
          <cell r="FK1079">
            <v>0</v>
          </cell>
        </row>
        <row r="1080">
          <cell r="E1080">
            <v>33290409</v>
          </cell>
          <cell r="FK1080">
            <v>0</v>
          </cell>
        </row>
        <row r="1081">
          <cell r="E1081">
            <v>33290409</v>
          </cell>
          <cell r="FK1081">
            <v>0</v>
          </cell>
        </row>
        <row r="1082">
          <cell r="E1082">
            <v>33290409</v>
          </cell>
          <cell r="FK1082">
            <v>0</v>
          </cell>
        </row>
        <row r="1083">
          <cell r="E1083">
            <v>33290409</v>
          </cell>
          <cell r="FK1083">
            <v>0</v>
          </cell>
        </row>
        <row r="1084">
          <cell r="E1084">
            <v>33290409</v>
          </cell>
          <cell r="FK1084">
            <v>0</v>
          </cell>
        </row>
        <row r="1085">
          <cell r="E1085">
            <v>33290410</v>
          </cell>
          <cell r="FK1085">
            <v>0</v>
          </cell>
        </row>
        <row r="1086">
          <cell r="E1086">
            <v>33290410</v>
          </cell>
          <cell r="FK1086">
            <v>0</v>
          </cell>
        </row>
        <row r="1087">
          <cell r="E1087">
            <v>33290410</v>
          </cell>
          <cell r="FK1087">
            <v>0</v>
          </cell>
        </row>
        <row r="1088">
          <cell r="E1088">
            <v>33290410</v>
          </cell>
          <cell r="FK1088">
            <v>0</v>
          </cell>
        </row>
        <row r="1089">
          <cell r="E1089">
            <v>33290410</v>
          </cell>
          <cell r="FK1089">
            <v>0</v>
          </cell>
        </row>
        <row r="1090">
          <cell r="E1090">
            <v>33290410</v>
          </cell>
          <cell r="FK1090">
            <v>0</v>
          </cell>
        </row>
        <row r="1091">
          <cell r="E1091">
            <v>33290410</v>
          </cell>
          <cell r="FK1091">
            <v>0</v>
          </cell>
        </row>
        <row r="1092">
          <cell r="E1092">
            <v>33290410</v>
          </cell>
          <cell r="FK1092">
            <v>0</v>
          </cell>
        </row>
        <row r="1093">
          <cell r="E1093">
            <v>33290410</v>
          </cell>
          <cell r="FK1093">
            <v>0</v>
          </cell>
        </row>
        <row r="1094">
          <cell r="E1094">
            <v>33290410</v>
          </cell>
          <cell r="FK1094">
            <v>0</v>
          </cell>
        </row>
        <row r="1095">
          <cell r="E1095">
            <v>33290410</v>
          </cell>
          <cell r="FK1095">
            <v>0</v>
          </cell>
        </row>
        <row r="1096">
          <cell r="E1096">
            <v>33290410</v>
          </cell>
          <cell r="FK1096">
            <v>0</v>
          </cell>
        </row>
        <row r="1097">
          <cell r="E1097">
            <v>33290410</v>
          </cell>
          <cell r="FK1097">
            <v>0</v>
          </cell>
        </row>
        <row r="1098">
          <cell r="E1098">
            <v>33290410</v>
          </cell>
          <cell r="FK1098">
            <v>0</v>
          </cell>
        </row>
        <row r="1099">
          <cell r="E1099">
            <v>33290410</v>
          </cell>
          <cell r="FK1099">
            <v>0</v>
          </cell>
        </row>
        <row r="1100">
          <cell r="E1100">
            <v>33290410</v>
          </cell>
          <cell r="FK1100">
            <v>0</v>
          </cell>
        </row>
        <row r="1101">
          <cell r="E1101">
            <v>33290410</v>
          </cell>
          <cell r="FK1101">
            <v>0</v>
          </cell>
        </row>
        <row r="1102">
          <cell r="E1102">
            <v>33290410</v>
          </cell>
          <cell r="FK1102">
            <v>0</v>
          </cell>
        </row>
        <row r="1103">
          <cell r="E1103">
            <v>33290410</v>
          </cell>
          <cell r="FK1103">
            <v>0</v>
          </cell>
        </row>
        <row r="1104">
          <cell r="E1104">
            <v>33290410</v>
          </cell>
          <cell r="FK1104">
            <v>0</v>
          </cell>
        </row>
        <row r="1105">
          <cell r="E1105">
            <v>33290410</v>
          </cell>
          <cell r="FK1105">
            <v>0</v>
          </cell>
        </row>
        <row r="1106">
          <cell r="E1106">
            <v>33290410</v>
          </cell>
          <cell r="FK1106">
            <v>0</v>
          </cell>
        </row>
        <row r="1107">
          <cell r="E1107">
            <v>33290410</v>
          </cell>
          <cell r="FK1107">
            <v>0</v>
          </cell>
        </row>
        <row r="1108">
          <cell r="E1108">
            <v>33290410</v>
          </cell>
          <cell r="FK1108">
            <v>0</v>
          </cell>
        </row>
        <row r="1109">
          <cell r="E1109">
            <v>33290410</v>
          </cell>
          <cell r="FK1109">
            <v>0</v>
          </cell>
        </row>
        <row r="1110">
          <cell r="E1110">
            <v>33290410</v>
          </cell>
          <cell r="FK1110">
            <v>1</v>
          </cell>
        </row>
        <row r="1111">
          <cell r="E1111">
            <v>33290410</v>
          </cell>
          <cell r="FK1111">
            <v>0</v>
          </cell>
        </row>
        <row r="1112">
          <cell r="E1112">
            <v>33290410</v>
          </cell>
          <cell r="FK1112">
            <v>0</v>
          </cell>
        </row>
        <row r="1113">
          <cell r="E1113">
            <v>33290410</v>
          </cell>
          <cell r="FK1113">
            <v>0</v>
          </cell>
        </row>
        <row r="1114">
          <cell r="E1114">
            <v>33290410</v>
          </cell>
          <cell r="FK1114">
            <v>0</v>
          </cell>
        </row>
        <row r="1115">
          <cell r="E1115">
            <v>33290410</v>
          </cell>
          <cell r="FK1115">
            <v>0</v>
          </cell>
        </row>
        <row r="1116">
          <cell r="E1116">
            <v>33290410</v>
          </cell>
          <cell r="FK1116">
            <v>0</v>
          </cell>
        </row>
        <row r="1117">
          <cell r="E1117">
            <v>33290410</v>
          </cell>
          <cell r="FK1117">
            <v>0</v>
          </cell>
        </row>
        <row r="1118">
          <cell r="E1118">
            <v>33290410</v>
          </cell>
          <cell r="FK1118">
            <v>0</v>
          </cell>
        </row>
        <row r="1119">
          <cell r="E1119">
            <v>33290410</v>
          </cell>
          <cell r="FK1119">
            <v>1</v>
          </cell>
        </row>
        <row r="1120">
          <cell r="E1120">
            <v>33290410</v>
          </cell>
          <cell r="FK1120">
            <v>1</v>
          </cell>
        </row>
        <row r="1121">
          <cell r="E1121">
            <v>33290410</v>
          </cell>
          <cell r="FK1121">
            <v>0</v>
          </cell>
        </row>
        <row r="1122">
          <cell r="E1122">
            <v>33290410</v>
          </cell>
          <cell r="FK1122">
            <v>0</v>
          </cell>
        </row>
        <row r="1123">
          <cell r="E1123">
            <v>33290410</v>
          </cell>
          <cell r="FK1123">
            <v>0</v>
          </cell>
        </row>
        <row r="1124">
          <cell r="E1124">
            <v>33290410</v>
          </cell>
          <cell r="FK1124">
            <v>0</v>
          </cell>
        </row>
        <row r="1125">
          <cell r="E1125">
            <v>33290411</v>
          </cell>
          <cell r="FK1125">
            <v>0</v>
          </cell>
        </row>
        <row r="1126">
          <cell r="E1126">
            <v>33290411</v>
          </cell>
          <cell r="FK1126">
            <v>0</v>
          </cell>
        </row>
        <row r="1127">
          <cell r="E1127">
            <v>33290411</v>
          </cell>
          <cell r="FK1127">
            <v>0</v>
          </cell>
        </row>
        <row r="1128">
          <cell r="E1128">
            <v>33290411</v>
          </cell>
          <cell r="FK1128">
            <v>0</v>
          </cell>
        </row>
        <row r="1129">
          <cell r="E1129">
            <v>33290411</v>
          </cell>
          <cell r="FK1129">
            <v>0</v>
          </cell>
        </row>
        <row r="1130">
          <cell r="E1130">
            <v>33290411</v>
          </cell>
          <cell r="FK1130">
            <v>0</v>
          </cell>
        </row>
        <row r="1131">
          <cell r="E1131">
            <v>33290411</v>
          </cell>
          <cell r="FK1131">
            <v>0</v>
          </cell>
        </row>
        <row r="1132">
          <cell r="E1132">
            <v>33290411</v>
          </cell>
          <cell r="FK1132">
            <v>0</v>
          </cell>
        </row>
        <row r="1133">
          <cell r="E1133">
            <v>33290411</v>
          </cell>
          <cell r="FK1133">
            <v>0</v>
          </cell>
        </row>
        <row r="1134">
          <cell r="E1134">
            <v>33290411</v>
          </cell>
          <cell r="FK1134">
            <v>0</v>
          </cell>
        </row>
        <row r="1135">
          <cell r="E1135">
            <v>33290411</v>
          </cell>
          <cell r="FK1135">
            <v>0</v>
          </cell>
        </row>
        <row r="1136">
          <cell r="E1136">
            <v>33290411</v>
          </cell>
          <cell r="FK1136">
            <v>0</v>
          </cell>
        </row>
        <row r="1137">
          <cell r="E1137">
            <v>33290411</v>
          </cell>
          <cell r="FK1137">
            <v>1</v>
          </cell>
        </row>
        <row r="1138">
          <cell r="E1138">
            <v>33290411</v>
          </cell>
          <cell r="FK1138">
            <v>0</v>
          </cell>
        </row>
        <row r="1139">
          <cell r="E1139">
            <v>33290411</v>
          </cell>
          <cell r="FK1139">
            <v>0</v>
          </cell>
        </row>
        <row r="1140">
          <cell r="E1140">
            <v>33290411</v>
          </cell>
          <cell r="FK1140">
            <v>0</v>
          </cell>
        </row>
        <row r="1141">
          <cell r="E1141">
            <v>33290411</v>
          </cell>
          <cell r="FK1141">
            <v>0</v>
          </cell>
        </row>
        <row r="1142">
          <cell r="E1142">
            <v>33290411</v>
          </cell>
          <cell r="FK1142">
            <v>0</v>
          </cell>
        </row>
        <row r="1143">
          <cell r="E1143">
            <v>33290411</v>
          </cell>
          <cell r="FK1143">
            <v>0</v>
          </cell>
        </row>
        <row r="1144">
          <cell r="E1144">
            <v>33290411</v>
          </cell>
          <cell r="FK1144">
            <v>0</v>
          </cell>
        </row>
        <row r="1145">
          <cell r="E1145">
            <v>33290411</v>
          </cell>
          <cell r="FK1145">
            <v>0</v>
          </cell>
        </row>
        <row r="1146">
          <cell r="E1146">
            <v>33290411</v>
          </cell>
          <cell r="FK1146">
            <v>0</v>
          </cell>
        </row>
        <row r="1147">
          <cell r="E1147">
            <v>33290411</v>
          </cell>
          <cell r="FK1147">
            <v>0</v>
          </cell>
        </row>
        <row r="1148">
          <cell r="E1148">
            <v>33290411</v>
          </cell>
          <cell r="FK1148">
            <v>0</v>
          </cell>
        </row>
        <row r="1149">
          <cell r="E1149">
            <v>33290411</v>
          </cell>
          <cell r="FK1149">
            <v>0</v>
          </cell>
        </row>
        <row r="1150">
          <cell r="E1150">
            <v>33290411</v>
          </cell>
          <cell r="FK1150">
            <v>0</v>
          </cell>
        </row>
        <row r="1151">
          <cell r="E1151">
            <v>33290411</v>
          </cell>
          <cell r="FK1151">
            <v>0</v>
          </cell>
        </row>
        <row r="1152">
          <cell r="E1152">
            <v>33290411</v>
          </cell>
          <cell r="FK1152">
            <v>0</v>
          </cell>
        </row>
        <row r="1153">
          <cell r="E1153">
            <v>33290411</v>
          </cell>
          <cell r="FK1153">
            <v>0</v>
          </cell>
        </row>
        <row r="1154">
          <cell r="E1154">
            <v>33290411</v>
          </cell>
          <cell r="FK1154">
            <v>0</v>
          </cell>
        </row>
        <row r="1155">
          <cell r="E1155">
            <v>33290411</v>
          </cell>
          <cell r="FK1155">
            <v>0</v>
          </cell>
        </row>
        <row r="1156">
          <cell r="E1156">
            <v>33290412</v>
          </cell>
          <cell r="FK1156">
            <v>0</v>
          </cell>
        </row>
        <row r="1157">
          <cell r="E1157">
            <v>33290412</v>
          </cell>
          <cell r="FK1157">
            <v>0</v>
          </cell>
        </row>
        <row r="1158">
          <cell r="E1158">
            <v>33290412</v>
          </cell>
          <cell r="FK1158">
            <v>0</v>
          </cell>
        </row>
        <row r="1159">
          <cell r="E1159">
            <v>33290412</v>
          </cell>
          <cell r="FK1159">
            <v>0</v>
          </cell>
        </row>
        <row r="1160">
          <cell r="E1160">
            <v>33290412</v>
          </cell>
          <cell r="FK1160">
            <v>0</v>
          </cell>
        </row>
        <row r="1161">
          <cell r="E1161">
            <v>33290412</v>
          </cell>
          <cell r="FK1161">
            <v>0</v>
          </cell>
        </row>
        <row r="1162">
          <cell r="E1162">
            <v>33290412</v>
          </cell>
          <cell r="FK1162">
            <v>0</v>
          </cell>
        </row>
        <row r="1163">
          <cell r="E1163">
            <v>33290412</v>
          </cell>
          <cell r="FK1163">
            <v>0</v>
          </cell>
        </row>
        <row r="1164">
          <cell r="E1164">
            <v>33290412</v>
          </cell>
          <cell r="FK1164">
            <v>0</v>
          </cell>
        </row>
        <row r="1165">
          <cell r="E1165">
            <v>33290412</v>
          </cell>
          <cell r="FK1165">
            <v>0</v>
          </cell>
        </row>
        <row r="1166">
          <cell r="E1166">
            <v>33290412</v>
          </cell>
          <cell r="FK1166">
            <v>0</v>
          </cell>
        </row>
        <row r="1167">
          <cell r="E1167">
            <v>33290412</v>
          </cell>
          <cell r="FK1167">
            <v>0</v>
          </cell>
        </row>
        <row r="1168">
          <cell r="E1168">
            <v>33290412</v>
          </cell>
          <cell r="FK1168">
            <v>0</v>
          </cell>
        </row>
        <row r="1169">
          <cell r="E1169">
            <v>33290412</v>
          </cell>
          <cell r="FK1169">
            <v>0</v>
          </cell>
        </row>
        <row r="1170">
          <cell r="E1170">
            <v>33290412</v>
          </cell>
          <cell r="FK1170">
            <v>0</v>
          </cell>
        </row>
        <row r="1171">
          <cell r="E1171">
            <v>33290412</v>
          </cell>
          <cell r="FK1171">
            <v>0</v>
          </cell>
        </row>
        <row r="1172">
          <cell r="E1172">
            <v>33290412</v>
          </cell>
          <cell r="FK1172">
            <v>0</v>
          </cell>
        </row>
        <row r="1173">
          <cell r="E1173">
            <v>33290412</v>
          </cell>
          <cell r="FK1173">
            <v>0</v>
          </cell>
        </row>
        <row r="1174">
          <cell r="E1174">
            <v>33290412</v>
          </cell>
          <cell r="FK1174">
            <v>0</v>
          </cell>
        </row>
        <row r="1175">
          <cell r="E1175">
            <v>33290412</v>
          </cell>
          <cell r="FK1175">
            <v>0</v>
          </cell>
        </row>
        <row r="1176">
          <cell r="E1176">
            <v>33290412</v>
          </cell>
          <cell r="FK1176">
            <v>0</v>
          </cell>
        </row>
        <row r="1177">
          <cell r="E1177">
            <v>33290412</v>
          </cell>
          <cell r="FK1177">
            <v>0</v>
          </cell>
        </row>
        <row r="1178">
          <cell r="E1178">
            <v>33290413</v>
          </cell>
          <cell r="FK1178">
            <v>0</v>
          </cell>
        </row>
        <row r="1179">
          <cell r="E1179">
            <v>33290413</v>
          </cell>
          <cell r="FK1179">
            <v>1</v>
          </cell>
        </row>
        <row r="1180">
          <cell r="E1180">
            <v>33290413</v>
          </cell>
          <cell r="FK1180">
            <v>0</v>
          </cell>
        </row>
        <row r="1181">
          <cell r="E1181">
            <v>33290413</v>
          </cell>
          <cell r="FK1181">
            <v>0</v>
          </cell>
        </row>
        <row r="1182">
          <cell r="E1182">
            <v>33290413</v>
          </cell>
          <cell r="FK1182">
            <v>0</v>
          </cell>
        </row>
        <row r="1183">
          <cell r="E1183">
            <v>33290413</v>
          </cell>
          <cell r="FK1183">
            <v>1</v>
          </cell>
        </row>
        <row r="1184">
          <cell r="E1184">
            <v>33290413</v>
          </cell>
          <cell r="FK1184">
            <v>0</v>
          </cell>
        </row>
        <row r="1185">
          <cell r="E1185">
            <v>33290413</v>
          </cell>
          <cell r="FK1185">
            <v>13</v>
          </cell>
        </row>
        <row r="1186">
          <cell r="E1186">
            <v>33290413</v>
          </cell>
          <cell r="FK1186">
            <v>0</v>
          </cell>
        </row>
        <row r="1187">
          <cell r="E1187">
            <v>33290413</v>
          </cell>
          <cell r="FK1187">
            <v>14</v>
          </cell>
        </row>
        <row r="1188">
          <cell r="E1188">
            <v>33290413</v>
          </cell>
          <cell r="FK1188">
            <v>0</v>
          </cell>
        </row>
        <row r="1189">
          <cell r="E1189">
            <v>33290413</v>
          </cell>
          <cell r="FK1189">
            <v>0</v>
          </cell>
        </row>
        <row r="1190">
          <cell r="E1190">
            <v>33290414</v>
          </cell>
          <cell r="FK1190">
            <v>0</v>
          </cell>
        </row>
        <row r="1191">
          <cell r="E1191">
            <v>33290414</v>
          </cell>
          <cell r="FK1191">
            <v>0</v>
          </cell>
        </row>
        <row r="1192">
          <cell r="E1192">
            <v>33290414</v>
          </cell>
          <cell r="FK1192">
            <v>0</v>
          </cell>
        </row>
        <row r="1193">
          <cell r="E1193">
            <v>33290414</v>
          </cell>
          <cell r="FK1193">
            <v>0</v>
          </cell>
        </row>
        <row r="1194">
          <cell r="E1194">
            <v>33290414</v>
          </cell>
          <cell r="FK1194">
            <v>0</v>
          </cell>
        </row>
        <row r="1195">
          <cell r="E1195">
            <v>33290414</v>
          </cell>
          <cell r="FK1195">
            <v>0</v>
          </cell>
        </row>
        <row r="1196">
          <cell r="E1196">
            <v>33290414</v>
          </cell>
          <cell r="FK1196">
            <v>0</v>
          </cell>
        </row>
        <row r="1197">
          <cell r="E1197">
            <v>33290414</v>
          </cell>
          <cell r="FK1197">
            <v>0</v>
          </cell>
        </row>
        <row r="1198">
          <cell r="E1198">
            <v>33290414</v>
          </cell>
          <cell r="FK1198">
            <v>0</v>
          </cell>
        </row>
        <row r="1199">
          <cell r="E1199">
            <v>33290414</v>
          </cell>
          <cell r="FK1199">
            <v>0</v>
          </cell>
        </row>
        <row r="1200">
          <cell r="E1200">
            <v>33290414</v>
          </cell>
          <cell r="FK1200">
            <v>0</v>
          </cell>
        </row>
        <row r="1201">
          <cell r="E1201">
            <v>33290414</v>
          </cell>
          <cell r="FK1201">
            <v>0</v>
          </cell>
        </row>
        <row r="1202">
          <cell r="E1202">
            <v>33290414</v>
          </cell>
          <cell r="FK1202">
            <v>0</v>
          </cell>
        </row>
        <row r="1203">
          <cell r="E1203">
            <v>33290414</v>
          </cell>
          <cell r="FK1203">
            <v>0</v>
          </cell>
        </row>
        <row r="1204">
          <cell r="E1204">
            <v>33290414</v>
          </cell>
          <cell r="FK1204">
            <v>0</v>
          </cell>
        </row>
        <row r="1205">
          <cell r="E1205">
            <v>33290414</v>
          </cell>
          <cell r="FK1205">
            <v>0</v>
          </cell>
        </row>
        <row r="1206">
          <cell r="E1206">
            <v>33290414</v>
          </cell>
          <cell r="FK1206">
            <v>0</v>
          </cell>
        </row>
        <row r="1207">
          <cell r="E1207">
            <v>33290415</v>
          </cell>
          <cell r="FK1207">
            <v>0</v>
          </cell>
        </row>
        <row r="1208">
          <cell r="E1208">
            <v>33290415</v>
          </cell>
          <cell r="FK1208">
            <v>0</v>
          </cell>
        </row>
        <row r="1209">
          <cell r="E1209">
            <v>33290415</v>
          </cell>
          <cell r="FK1209">
            <v>0</v>
          </cell>
        </row>
        <row r="1210">
          <cell r="E1210">
            <v>33290415</v>
          </cell>
          <cell r="FK1210">
            <v>0</v>
          </cell>
        </row>
        <row r="1211">
          <cell r="E1211">
            <v>33290415</v>
          </cell>
          <cell r="FK1211">
            <v>0</v>
          </cell>
        </row>
        <row r="1212">
          <cell r="E1212">
            <v>33290415</v>
          </cell>
          <cell r="FK1212">
            <v>0</v>
          </cell>
        </row>
        <row r="1213">
          <cell r="E1213">
            <v>33290415</v>
          </cell>
          <cell r="FK1213">
            <v>0</v>
          </cell>
        </row>
        <row r="1214">
          <cell r="E1214">
            <v>33290415</v>
          </cell>
          <cell r="FK1214">
            <v>0</v>
          </cell>
        </row>
        <row r="1215">
          <cell r="E1215">
            <v>33290415</v>
          </cell>
          <cell r="FK1215">
            <v>0</v>
          </cell>
        </row>
        <row r="1216">
          <cell r="E1216">
            <v>33290415</v>
          </cell>
          <cell r="FK1216">
            <v>0</v>
          </cell>
        </row>
        <row r="1217">
          <cell r="E1217">
            <v>33290415</v>
          </cell>
          <cell r="FK1217">
            <v>0</v>
          </cell>
        </row>
        <row r="1218">
          <cell r="E1218">
            <v>33290415</v>
          </cell>
          <cell r="FK1218">
            <v>0</v>
          </cell>
        </row>
        <row r="1219">
          <cell r="E1219">
            <v>33290415</v>
          </cell>
          <cell r="FK1219">
            <v>0</v>
          </cell>
        </row>
        <row r="1220">
          <cell r="E1220">
            <v>33290415</v>
          </cell>
          <cell r="FK1220">
            <v>0</v>
          </cell>
        </row>
        <row r="1221">
          <cell r="E1221">
            <v>33290415</v>
          </cell>
          <cell r="FK1221">
            <v>0</v>
          </cell>
        </row>
        <row r="1222">
          <cell r="E1222">
            <v>33290415</v>
          </cell>
          <cell r="FK1222">
            <v>0</v>
          </cell>
        </row>
        <row r="1223">
          <cell r="E1223">
            <v>33290415</v>
          </cell>
          <cell r="FK1223">
            <v>0</v>
          </cell>
        </row>
        <row r="1224">
          <cell r="E1224">
            <v>33290415</v>
          </cell>
          <cell r="FK1224">
            <v>0</v>
          </cell>
        </row>
        <row r="1225">
          <cell r="E1225">
            <v>33290415</v>
          </cell>
          <cell r="FK1225">
            <v>0</v>
          </cell>
        </row>
        <row r="1226">
          <cell r="E1226">
            <v>33290415</v>
          </cell>
          <cell r="FK1226">
            <v>0</v>
          </cell>
        </row>
        <row r="1227">
          <cell r="E1227">
            <v>33290415</v>
          </cell>
          <cell r="FK1227">
            <v>0</v>
          </cell>
        </row>
        <row r="1228">
          <cell r="E1228">
            <v>33290415</v>
          </cell>
          <cell r="FK1228">
            <v>0</v>
          </cell>
        </row>
        <row r="1229">
          <cell r="E1229">
            <v>33290415</v>
          </cell>
          <cell r="FK1229">
            <v>0</v>
          </cell>
        </row>
        <row r="1230">
          <cell r="E1230">
            <v>33290415</v>
          </cell>
          <cell r="FK1230">
            <v>0</v>
          </cell>
        </row>
        <row r="1231">
          <cell r="E1231">
            <v>33290415</v>
          </cell>
          <cell r="FK1231">
            <v>0</v>
          </cell>
        </row>
        <row r="1232">
          <cell r="E1232">
            <v>33290415</v>
          </cell>
          <cell r="FK1232">
            <v>0</v>
          </cell>
        </row>
        <row r="1233">
          <cell r="E1233">
            <v>33290415</v>
          </cell>
          <cell r="FK1233">
            <v>0</v>
          </cell>
        </row>
        <row r="1234">
          <cell r="E1234">
            <v>33290415</v>
          </cell>
          <cell r="FK1234">
            <v>0</v>
          </cell>
        </row>
        <row r="1235">
          <cell r="E1235">
            <v>33290415</v>
          </cell>
          <cell r="FK1235">
            <v>0</v>
          </cell>
        </row>
        <row r="1236">
          <cell r="E1236">
            <v>33290415</v>
          </cell>
          <cell r="FK1236">
            <v>0</v>
          </cell>
        </row>
        <row r="1237">
          <cell r="E1237">
            <v>33290415</v>
          </cell>
          <cell r="FK1237">
            <v>0</v>
          </cell>
        </row>
        <row r="1238">
          <cell r="E1238">
            <v>33290415</v>
          </cell>
          <cell r="FK1238">
            <v>0</v>
          </cell>
        </row>
        <row r="1239">
          <cell r="E1239">
            <v>33290415</v>
          </cell>
          <cell r="FK1239">
            <v>0</v>
          </cell>
        </row>
        <row r="1240">
          <cell r="E1240">
            <v>33290415</v>
          </cell>
          <cell r="FK1240">
            <v>0</v>
          </cell>
        </row>
        <row r="1241">
          <cell r="E1241">
            <v>33290415</v>
          </cell>
          <cell r="FK1241">
            <v>0</v>
          </cell>
        </row>
        <row r="1242">
          <cell r="E1242">
            <v>33290415</v>
          </cell>
          <cell r="FK1242">
            <v>0</v>
          </cell>
        </row>
        <row r="1243">
          <cell r="E1243">
            <v>33290415</v>
          </cell>
          <cell r="FK1243">
            <v>0</v>
          </cell>
        </row>
        <row r="1244">
          <cell r="E1244">
            <v>33290415</v>
          </cell>
          <cell r="FK1244">
            <v>0</v>
          </cell>
        </row>
        <row r="1245">
          <cell r="E1245">
            <v>33290415</v>
          </cell>
          <cell r="FK1245">
            <v>0</v>
          </cell>
        </row>
        <row r="1246">
          <cell r="E1246">
            <v>33290415</v>
          </cell>
          <cell r="FK1246">
            <v>0</v>
          </cell>
        </row>
        <row r="1247">
          <cell r="E1247">
            <v>33290415</v>
          </cell>
          <cell r="FK1247">
            <v>0</v>
          </cell>
        </row>
        <row r="1248">
          <cell r="E1248">
            <v>33290415</v>
          </cell>
          <cell r="FK1248">
            <v>0</v>
          </cell>
        </row>
        <row r="1249">
          <cell r="E1249">
            <v>33290415</v>
          </cell>
          <cell r="FK1249">
            <v>0</v>
          </cell>
        </row>
        <row r="1250">
          <cell r="E1250">
            <v>33290415</v>
          </cell>
          <cell r="FK1250">
            <v>0</v>
          </cell>
        </row>
        <row r="1251">
          <cell r="E1251">
            <v>33290415</v>
          </cell>
          <cell r="FK1251">
            <v>0</v>
          </cell>
        </row>
        <row r="1252">
          <cell r="E1252">
            <v>33290415</v>
          </cell>
          <cell r="FK1252">
            <v>0</v>
          </cell>
        </row>
        <row r="1253">
          <cell r="E1253">
            <v>33290415</v>
          </cell>
          <cell r="FK1253">
            <v>0</v>
          </cell>
        </row>
        <row r="1254">
          <cell r="E1254">
            <v>33290415</v>
          </cell>
          <cell r="FK1254">
            <v>0</v>
          </cell>
        </row>
        <row r="1255">
          <cell r="E1255">
            <v>33290415</v>
          </cell>
          <cell r="FK1255">
            <v>0</v>
          </cell>
        </row>
        <row r="1256">
          <cell r="E1256">
            <v>33290415</v>
          </cell>
          <cell r="FK1256">
            <v>1</v>
          </cell>
        </row>
        <row r="1257">
          <cell r="E1257">
            <v>33290415</v>
          </cell>
          <cell r="FK1257">
            <v>0</v>
          </cell>
        </row>
        <row r="1258">
          <cell r="E1258">
            <v>33290415</v>
          </cell>
          <cell r="FK1258">
            <v>0</v>
          </cell>
        </row>
        <row r="1259">
          <cell r="E1259">
            <v>33290415</v>
          </cell>
          <cell r="FK1259">
            <v>0</v>
          </cell>
        </row>
        <row r="1260">
          <cell r="E1260">
            <v>33290415</v>
          </cell>
          <cell r="FK1260">
            <v>0</v>
          </cell>
        </row>
        <row r="1261">
          <cell r="E1261">
            <v>33290415</v>
          </cell>
          <cell r="FK1261">
            <v>0</v>
          </cell>
        </row>
        <row r="1262">
          <cell r="E1262">
            <v>33290415</v>
          </cell>
          <cell r="FK1262">
            <v>0</v>
          </cell>
        </row>
        <row r="1263">
          <cell r="E1263">
            <v>33290415</v>
          </cell>
          <cell r="FK1263">
            <v>0</v>
          </cell>
        </row>
        <row r="1264">
          <cell r="E1264">
            <v>33290415</v>
          </cell>
          <cell r="FK1264">
            <v>0</v>
          </cell>
        </row>
        <row r="1265">
          <cell r="E1265">
            <v>33290415</v>
          </cell>
          <cell r="FK1265">
            <v>1</v>
          </cell>
        </row>
        <row r="1266">
          <cell r="E1266">
            <v>33290415</v>
          </cell>
          <cell r="FK1266">
            <v>0</v>
          </cell>
        </row>
        <row r="1267">
          <cell r="E1267">
            <v>33290415</v>
          </cell>
          <cell r="FK1267">
            <v>1</v>
          </cell>
        </row>
        <row r="1268">
          <cell r="E1268">
            <v>33290415</v>
          </cell>
          <cell r="FK1268">
            <v>0</v>
          </cell>
        </row>
        <row r="1269">
          <cell r="E1269">
            <v>33290415</v>
          </cell>
          <cell r="FK1269">
            <v>0</v>
          </cell>
        </row>
        <row r="1270">
          <cell r="E1270">
            <v>33290415</v>
          </cell>
          <cell r="FK1270">
            <v>0</v>
          </cell>
        </row>
        <row r="1271">
          <cell r="E1271">
            <v>33290415</v>
          </cell>
          <cell r="FK1271">
            <v>0</v>
          </cell>
        </row>
        <row r="1272">
          <cell r="E1272">
            <v>33290415</v>
          </cell>
          <cell r="FK1272">
            <v>0</v>
          </cell>
        </row>
        <row r="1273">
          <cell r="E1273">
            <v>33290415</v>
          </cell>
          <cell r="FK1273">
            <v>0</v>
          </cell>
        </row>
        <row r="1274">
          <cell r="E1274">
            <v>33290415</v>
          </cell>
          <cell r="FK1274">
            <v>1</v>
          </cell>
        </row>
        <row r="1275">
          <cell r="E1275">
            <v>33290415</v>
          </cell>
          <cell r="FK1275">
            <v>0</v>
          </cell>
        </row>
        <row r="1276">
          <cell r="E1276">
            <v>33290415</v>
          </cell>
          <cell r="FK1276">
            <v>0</v>
          </cell>
        </row>
        <row r="1277">
          <cell r="E1277">
            <v>33290415</v>
          </cell>
          <cell r="FK1277">
            <v>0</v>
          </cell>
        </row>
        <row r="1278">
          <cell r="E1278">
            <v>33290415</v>
          </cell>
          <cell r="FK1278">
            <v>1</v>
          </cell>
        </row>
        <row r="1279">
          <cell r="E1279">
            <v>33290415</v>
          </cell>
          <cell r="FK1279">
            <v>0</v>
          </cell>
        </row>
        <row r="1280">
          <cell r="E1280">
            <v>33290415</v>
          </cell>
          <cell r="FK1280">
            <v>0</v>
          </cell>
        </row>
        <row r="1281">
          <cell r="E1281">
            <v>33290415</v>
          </cell>
          <cell r="FK1281">
            <v>0</v>
          </cell>
        </row>
        <row r="1282">
          <cell r="E1282">
            <v>33290415</v>
          </cell>
          <cell r="FK1282">
            <v>0</v>
          </cell>
        </row>
        <row r="1283">
          <cell r="E1283">
            <v>33290415</v>
          </cell>
          <cell r="FK1283">
            <v>0</v>
          </cell>
        </row>
        <row r="1284">
          <cell r="E1284">
            <v>33290415</v>
          </cell>
          <cell r="FK1284">
            <v>0</v>
          </cell>
        </row>
        <row r="1285">
          <cell r="E1285">
            <v>33290415</v>
          </cell>
          <cell r="FK1285">
            <v>0</v>
          </cell>
        </row>
        <row r="1286">
          <cell r="E1286">
            <v>33290415</v>
          </cell>
          <cell r="FK1286">
            <v>0</v>
          </cell>
        </row>
        <row r="1287">
          <cell r="E1287">
            <v>33290415</v>
          </cell>
          <cell r="FK1287">
            <v>0</v>
          </cell>
        </row>
        <row r="1288">
          <cell r="E1288">
            <v>33290415</v>
          </cell>
          <cell r="FK1288">
            <v>0</v>
          </cell>
        </row>
        <row r="1289">
          <cell r="E1289">
            <v>33290415</v>
          </cell>
          <cell r="FK1289">
            <v>0</v>
          </cell>
        </row>
        <row r="1290">
          <cell r="E1290">
            <v>33290415</v>
          </cell>
          <cell r="FK1290">
            <v>0</v>
          </cell>
        </row>
        <row r="1291">
          <cell r="E1291">
            <v>33290415</v>
          </cell>
          <cell r="FK1291">
            <v>0</v>
          </cell>
        </row>
        <row r="1292">
          <cell r="E1292">
            <v>33290415</v>
          </cell>
          <cell r="FK1292">
            <v>0</v>
          </cell>
        </row>
        <row r="1293">
          <cell r="E1293">
            <v>33290415</v>
          </cell>
          <cell r="FK1293">
            <v>0</v>
          </cell>
        </row>
        <row r="1294">
          <cell r="E1294">
            <v>33290415</v>
          </cell>
          <cell r="FK1294">
            <v>0</v>
          </cell>
        </row>
        <row r="1295">
          <cell r="E1295">
            <v>33290415</v>
          </cell>
          <cell r="FK1295">
            <v>0</v>
          </cell>
        </row>
        <row r="1296">
          <cell r="E1296">
            <v>33290415</v>
          </cell>
          <cell r="FK1296">
            <v>1</v>
          </cell>
        </row>
        <row r="1297">
          <cell r="E1297">
            <v>33290415</v>
          </cell>
          <cell r="FK1297">
            <v>0</v>
          </cell>
        </row>
        <row r="1298">
          <cell r="E1298">
            <v>33290415</v>
          </cell>
          <cell r="FK1298">
            <v>0</v>
          </cell>
        </row>
        <row r="1299">
          <cell r="E1299">
            <v>33290415</v>
          </cell>
          <cell r="FK1299">
            <v>0</v>
          </cell>
        </row>
        <row r="1300">
          <cell r="E1300">
            <v>33290415</v>
          </cell>
          <cell r="FK1300">
            <v>0</v>
          </cell>
        </row>
        <row r="1301">
          <cell r="E1301">
            <v>33290415</v>
          </cell>
          <cell r="FK1301">
            <v>0</v>
          </cell>
        </row>
        <row r="1302">
          <cell r="E1302">
            <v>33290415</v>
          </cell>
          <cell r="FK1302">
            <v>1</v>
          </cell>
        </row>
        <row r="1303">
          <cell r="E1303">
            <v>33290415</v>
          </cell>
          <cell r="FK1303">
            <v>0</v>
          </cell>
        </row>
        <row r="1304">
          <cell r="E1304">
            <v>33290415</v>
          </cell>
          <cell r="FK1304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kasi Sasaran 2011"/>
      <sheetName val="Personil OC"/>
      <sheetName val="Korkot 2011"/>
      <sheetName val="Skema Korkot 2011 variant 1"/>
      <sheetName val="Skema Korkot 2011 variant 2"/>
      <sheetName val="Skema Korkot 2011 variant 3"/>
      <sheetName val="Skema Korkot 2011 variant 4"/>
      <sheetName val="Skema Korkot 2011 variant 5"/>
      <sheetName val="Cost Korkot 2011"/>
      <sheetName val="Rekap Korkot per propinsi"/>
      <sheetName val="Faskel 2011"/>
      <sheetName val="Cost Faskel 2011"/>
      <sheetName val="Calon Tamb lok ND 2011 "/>
      <sheetName val="Skema Kebijakan Tim Korkot 2011"/>
      <sheetName val="Sheet1"/>
      <sheetName val="Rekap Faskel Per Propinsi"/>
      <sheetName val="Rekap Nasional"/>
      <sheetName val="Perpanjangan Januari"/>
      <sheetName val="Perpanjangan Februari"/>
      <sheetName val="Perpanjangan Maret"/>
      <sheetName val="Sheet2"/>
      <sheetName val="Tambah asmandat Adv"/>
      <sheetName val="Sheet4"/>
      <sheetName val="Sheet3"/>
      <sheetName val="Sheet5"/>
      <sheetName val="Lokasi_Sasaran_2011"/>
      <sheetName val="Personil_OC"/>
      <sheetName val="Korkot_2011"/>
      <sheetName val="Skema_Korkot_2011_variant_1"/>
      <sheetName val="Skema_Korkot_2011_variant_2"/>
      <sheetName val="Skema_Korkot_2011_variant_3"/>
      <sheetName val="Skema_Korkot_2011_variant_4"/>
      <sheetName val="Skema_Korkot_2011_variant_5"/>
      <sheetName val="Cost_Korkot_2011"/>
      <sheetName val="Rekap_Korkot_per_propinsi"/>
      <sheetName val="Faskel_2011"/>
      <sheetName val="Cost_Faskel_2011"/>
      <sheetName val="Calon_Tamb_lok_ND_2011_"/>
      <sheetName val="Skema_Kebijakan_Tim_Korkot_2011"/>
      <sheetName val="Rekap_Faskel_Per_Propinsi"/>
      <sheetName val="Rekap_Nasional"/>
      <sheetName val="Perpanjangan_Januari"/>
      <sheetName val="Perpanjangan_Februari"/>
      <sheetName val="Perpanjangan_Maret"/>
      <sheetName val="Tambah_asmandat_Adv"/>
      <sheetName val="ANALISA"/>
      <sheetName val="har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AI5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">
          <cell r="A1" t="str">
            <v>Kd_Prov</v>
          </cell>
          <cell r="B1" t="str">
            <v>Provinsi</v>
          </cell>
          <cell r="C1" t="str">
            <v>Kd_kab</v>
          </cell>
          <cell r="D1" t="str">
            <v>Kab_Kota</v>
          </cell>
          <cell r="E1" t="str">
            <v>%-tase DDUB</v>
          </cell>
          <cell r="F1" t="str">
            <v>Cluster</v>
          </cell>
          <cell r="G1" t="str">
            <v>Korkot</v>
          </cell>
          <cell r="H1" t="str">
            <v>Jml_Kec</v>
          </cell>
          <cell r="I1" t="str">
            <v>Penguatan</v>
          </cell>
          <cell r="J1" t="str">
            <v>Reguler</v>
          </cell>
          <cell r="K1" t="str">
            <v>Non PNPM</v>
          </cell>
          <cell r="L1" t="str">
            <v>Rekompak Sumbar</v>
          </cell>
          <cell r="M1" t="str">
            <v>Total Kel</v>
          </cell>
          <cell r="N1" t="str">
            <v>Pilot-18</v>
          </cell>
          <cell r="O1" t="str">
            <v>Reg-255</v>
          </cell>
          <cell r="P1" t="str">
            <v>BARU 2011</v>
          </cell>
          <cell r="Q1" t="str">
            <v>Kemitraan</v>
          </cell>
        </row>
        <row r="2">
          <cell r="A2">
            <v>11</v>
          </cell>
          <cell r="B2" t="str">
            <v>NANGGROE ACEH DARUSSALAM</v>
          </cell>
          <cell r="C2">
            <v>1103</v>
          </cell>
          <cell r="D2" t="str">
            <v>ACEH SELATAN</v>
          </cell>
          <cell r="E2">
            <v>0.2</v>
          </cell>
          <cell r="F2">
            <v>1</v>
          </cell>
          <cell r="G2">
            <v>0</v>
          </cell>
          <cell r="H2">
            <v>1</v>
          </cell>
          <cell r="J2">
            <v>15</v>
          </cell>
          <cell r="M2">
            <v>15</v>
          </cell>
          <cell r="P2">
            <v>0</v>
          </cell>
        </row>
        <row r="3">
          <cell r="C3">
            <v>1104</v>
          </cell>
          <cell r="D3" t="str">
            <v>ACEH TENGGARA</v>
          </cell>
          <cell r="E3">
            <v>0.2</v>
          </cell>
          <cell r="F3">
            <v>1</v>
          </cell>
          <cell r="G3">
            <v>1</v>
          </cell>
          <cell r="H3">
            <v>1</v>
          </cell>
          <cell r="J3">
            <v>27</v>
          </cell>
          <cell r="M3">
            <v>27</v>
          </cell>
        </row>
        <row r="4">
          <cell r="C4">
            <v>1106</v>
          </cell>
          <cell r="D4" t="str">
            <v>ACEH TENGAH</v>
          </cell>
          <cell r="E4">
            <v>0.2</v>
          </cell>
          <cell r="F4">
            <v>2</v>
          </cell>
          <cell r="G4">
            <v>0</v>
          </cell>
          <cell r="H4">
            <v>1</v>
          </cell>
          <cell r="J4">
            <v>15</v>
          </cell>
          <cell r="M4">
            <v>15</v>
          </cell>
        </row>
        <row r="5">
          <cell r="C5">
            <v>1107</v>
          </cell>
          <cell r="D5" t="str">
            <v>ACEH BARAT</v>
          </cell>
          <cell r="E5">
            <v>0.2</v>
          </cell>
          <cell r="F5">
            <v>2</v>
          </cell>
          <cell r="G5">
            <v>1</v>
          </cell>
          <cell r="H5">
            <v>1</v>
          </cell>
          <cell r="J5">
            <v>21</v>
          </cell>
          <cell r="M5">
            <v>21</v>
          </cell>
        </row>
        <row r="6">
          <cell r="C6">
            <v>1108</v>
          </cell>
          <cell r="D6" t="str">
            <v>ACEH BESAR</v>
          </cell>
          <cell r="E6">
            <v>0.2</v>
          </cell>
          <cell r="F6">
            <v>3</v>
          </cell>
          <cell r="G6">
            <v>0</v>
          </cell>
          <cell r="H6">
            <v>1</v>
          </cell>
          <cell r="J6">
            <v>12</v>
          </cell>
          <cell r="M6">
            <v>12</v>
          </cell>
        </row>
        <row r="7">
          <cell r="C7">
            <v>1109</v>
          </cell>
          <cell r="D7" t="str">
            <v>PIDIE</v>
          </cell>
          <cell r="E7">
            <v>0.2</v>
          </cell>
          <cell r="F7">
            <v>3</v>
          </cell>
          <cell r="G7">
            <v>1</v>
          </cell>
          <cell r="H7">
            <v>1</v>
          </cell>
          <cell r="J7">
            <v>15</v>
          </cell>
          <cell r="M7">
            <v>15</v>
          </cell>
        </row>
        <row r="8">
          <cell r="C8">
            <v>1114</v>
          </cell>
          <cell r="D8" t="str">
            <v>ACEH TAMIANG</v>
          </cell>
          <cell r="E8">
            <v>0.2</v>
          </cell>
          <cell r="F8">
            <v>4</v>
          </cell>
          <cell r="G8">
            <v>0</v>
          </cell>
          <cell r="H8">
            <v>1</v>
          </cell>
          <cell r="J8">
            <v>5</v>
          </cell>
          <cell r="M8">
            <v>5</v>
          </cell>
        </row>
        <row r="9">
          <cell r="C9">
            <v>1171</v>
          </cell>
          <cell r="D9" t="str">
            <v>KOTA BANDA ACEH</v>
          </cell>
          <cell r="E9">
            <v>0.2</v>
          </cell>
          <cell r="F9">
            <v>5</v>
          </cell>
          <cell r="G9">
            <v>1</v>
          </cell>
          <cell r="H9">
            <v>9</v>
          </cell>
          <cell r="J9">
            <v>90</v>
          </cell>
          <cell r="M9">
            <v>90</v>
          </cell>
        </row>
        <row r="10">
          <cell r="C10">
            <v>1172</v>
          </cell>
          <cell r="D10" t="str">
            <v>KOTA SABANG</v>
          </cell>
          <cell r="E10">
            <v>0.3</v>
          </cell>
          <cell r="F10">
            <v>5</v>
          </cell>
          <cell r="G10">
            <v>0</v>
          </cell>
          <cell r="H10">
            <v>2</v>
          </cell>
          <cell r="J10">
            <v>18</v>
          </cell>
          <cell r="M10">
            <v>18</v>
          </cell>
          <cell r="Q10">
            <v>1</v>
          </cell>
        </row>
        <row r="11">
          <cell r="C11">
            <v>1173</v>
          </cell>
          <cell r="D11" t="str">
            <v>KOTA LANGSA</v>
          </cell>
          <cell r="E11">
            <v>0.2</v>
          </cell>
          <cell r="F11">
            <v>4</v>
          </cell>
          <cell r="G11">
            <v>1</v>
          </cell>
          <cell r="H11">
            <v>5</v>
          </cell>
          <cell r="J11">
            <v>51</v>
          </cell>
          <cell r="M11">
            <v>51</v>
          </cell>
          <cell r="Q11">
            <v>1</v>
          </cell>
        </row>
        <row r="12">
          <cell r="C12">
            <v>1174</v>
          </cell>
          <cell r="D12" t="str">
            <v>KOTA LHOKSEUMAWE</v>
          </cell>
          <cell r="E12">
            <v>0.2</v>
          </cell>
          <cell r="F12">
            <v>6</v>
          </cell>
          <cell r="G12">
            <v>1</v>
          </cell>
          <cell r="H12">
            <v>4</v>
          </cell>
          <cell r="J12">
            <v>68</v>
          </cell>
          <cell r="M12">
            <v>68</v>
          </cell>
          <cell r="O12">
            <v>2</v>
          </cell>
          <cell r="Q12">
            <v>1</v>
          </cell>
        </row>
        <row r="13">
          <cell r="C13">
            <v>1175</v>
          </cell>
          <cell r="D13" t="str">
            <v>KOTA SUBULUSSALAM</v>
          </cell>
          <cell r="E13">
            <v>0.2</v>
          </cell>
          <cell r="F13">
            <v>7</v>
          </cell>
          <cell r="G13">
            <v>1</v>
          </cell>
          <cell r="H13">
            <v>5</v>
          </cell>
          <cell r="J13">
            <v>74</v>
          </cell>
          <cell r="M13">
            <v>74</v>
          </cell>
        </row>
        <row r="14">
          <cell r="D14" t="str">
            <v>GAYO LUWES</v>
          </cell>
          <cell r="F14">
            <v>8</v>
          </cell>
          <cell r="G14">
            <v>1</v>
          </cell>
          <cell r="K14">
            <v>32</v>
          </cell>
          <cell r="M14">
            <v>32</v>
          </cell>
          <cell r="Q14">
            <v>0</v>
          </cell>
        </row>
        <row r="15">
          <cell r="B15" t="str">
            <v>NANGGROE ACEH DARUSSALAM Total</v>
          </cell>
          <cell r="D15">
            <v>13</v>
          </cell>
          <cell r="G15">
            <v>8</v>
          </cell>
          <cell r="H15">
            <v>32</v>
          </cell>
          <cell r="I15">
            <v>0</v>
          </cell>
          <cell r="J15">
            <v>411</v>
          </cell>
          <cell r="K15">
            <v>32</v>
          </cell>
          <cell r="L15">
            <v>0</v>
          </cell>
          <cell r="M15">
            <v>443</v>
          </cell>
          <cell r="N15">
            <v>0</v>
          </cell>
          <cell r="O15">
            <v>2</v>
          </cell>
          <cell r="P15">
            <v>0</v>
          </cell>
          <cell r="Q15">
            <v>3</v>
          </cell>
        </row>
        <row r="16">
          <cell r="A16">
            <v>12</v>
          </cell>
          <cell r="B16" t="str">
            <v>SUMATERA UTARA</v>
          </cell>
          <cell r="C16">
            <v>1207</v>
          </cell>
          <cell r="D16" t="str">
            <v>LABUHAN BATU</v>
          </cell>
          <cell r="E16">
            <v>0.2</v>
          </cell>
          <cell r="F16">
            <v>12</v>
          </cell>
          <cell r="G16">
            <v>0</v>
          </cell>
          <cell r="H16">
            <v>2</v>
          </cell>
          <cell r="I16">
            <v>9</v>
          </cell>
          <cell r="J16">
            <v>10</v>
          </cell>
          <cell r="M16">
            <v>19</v>
          </cell>
          <cell r="P16">
            <v>1</v>
          </cell>
          <cell r="Q16">
            <v>1</v>
          </cell>
        </row>
        <row r="17">
          <cell r="C17">
            <v>1208</v>
          </cell>
          <cell r="D17" t="str">
            <v>ASAHAN</v>
          </cell>
          <cell r="E17">
            <v>0.2</v>
          </cell>
          <cell r="F17">
            <v>11</v>
          </cell>
          <cell r="G17">
            <v>0</v>
          </cell>
          <cell r="H17">
            <v>2</v>
          </cell>
          <cell r="I17">
            <v>13</v>
          </cell>
          <cell r="J17">
            <v>12</v>
          </cell>
          <cell r="M17">
            <v>25</v>
          </cell>
          <cell r="Q17">
            <v>1</v>
          </cell>
        </row>
        <row r="18">
          <cell r="C18">
            <v>1209</v>
          </cell>
          <cell r="D18" t="str">
            <v>SIMALUNGUN</v>
          </cell>
          <cell r="E18">
            <v>0.2</v>
          </cell>
          <cell r="F18">
            <v>10</v>
          </cell>
          <cell r="G18">
            <v>0</v>
          </cell>
          <cell r="H18">
            <v>1</v>
          </cell>
          <cell r="I18">
            <v>14</v>
          </cell>
          <cell r="J18">
            <v>3</v>
          </cell>
          <cell r="M18">
            <v>17</v>
          </cell>
          <cell r="Q18">
            <v>0</v>
          </cell>
        </row>
        <row r="19">
          <cell r="C19">
            <v>1210</v>
          </cell>
          <cell r="D19" t="str">
            <v>DAIRI</v>
          </cell>
          <cell r="E19">
            <v>0.2</v>
          </cell>
          <cell r="F19">
            <v>9</v>
          </cell>
          <cell r="G19">
            <v>0</v>
          </cell>
          <cell r="H19">
            <v>1</v>
          </cell>
          <cell r="I19">
            <v>9</v>
          </cell>
          <cell r="J19">
            <v>2</v>
          </cell>
          <cell r="M19">
            <v>11</v>
          </cell>
          <cell r="Q19">
            <v>1</v>
          </cell>
        </row>
        <row r="20">
          <cell r="C20">
            <v>1211</v>
          </cell>
          <cell r="D20" t="str">
            <v>KARO / TANAH KARO</v>
          </cell>
          <cell r="E20">
            <v>0.2</v>
          </cell>
          <cell r="F20">
            <v>9</v>
          </cell>
          <cell r="G20">
            <v>1</v>
          </cell>
          <cell r="H20">
            <v>2</v>
          </cell>
          <cell r="I20">
            <v>12</v>
          </cell>
          <cell r="J20">
            <v>10</v>
          </cell>
          <cell r="M20">
            <v>22</v>
          </cell>
        </row>
        <row r="21">
          <cell r="C21">
            <v>1212</v>
          </cell>
          <cell r="D21" t="str">
            <v>DELI SERDANG</v>
          </cell>
          <cell r="E21">
            <v>0.2</v>
          </cell>
          <cell r="F21">
            <v>10</v>
          </cell>
          <cell r="G21">
            <v>1</v>
          </cell>
          <cell r="H21">
            <v>7</v>
          </cell>
          <cell r="I21">
            <v>57</v>
          </cell>
          <cell r="J21">
            <v>44</v>
          </cell>
          <cell r="M21">
            <v>101</v>
          </cell>
          <cell r="Q21">
            <v>0</v>
          </cell>
        </row>
        <row r="22">
          <cell r="C22">
            <v>1213</v>
          </cell>
          <cell r="D22" t="str">
            <v>LANGKAT</v>
          </cell>
          <cell r="E22">
            <v>0.2</v>
          </cell>
          <cell r="F22">
            <v>16</v>
          </cell>
          <cell r="G22">
            <v>0</v>
          </cell>
          <cell r="H22">
            <v>2</v>
          </cell>
          <cell r="I22">
            <v>10</v>
          </cell>
          <cell r="J22">
            <v>16</v>
          </cell>
          <cell r="M22">
            <v>26</v>
          </cell>
        </row>
        <row r="23">
          <cell r="C23">
            <v>1271</v>
          </cell>
          <cell r="D23" t="str">
            <v>KOTA SIBOLGA</v>
          </cell>
          <cell r="E23">
            <v>0.3</v>
          </cell>
          <cell r="F23">
            <v>9</v>
          </cell>
          <cell r="G23">
            <v>0</v>
          </cell>
          <cell r="H23">
            <v>4</v>
          </cell>
          <cell r="I23">
            <v>15</v>
          </cell>
          <cell r="J23">
            <v>2</v>
          </cell>
          <cell r="M23">
            <v>17</v>
          </cell>
        </row>
        <row r="24">
          <cell r="C24">
            <v>1272</v>
          </cell>
          <cell r="D24" t="str">
            <v>KOTA TANJUNG BALAI</v>
          </cell>
          <cell r="E24">
            <v>0.2</v>
          </cell>
          <cell r="F24">
            <v>12</v>
          </cell>
          <cell r="G24">
            <v>1</v>
          </cell>
          <cell r="H24">
            <v>6</v>
          </cell>
          <cell r="I24">
            <v>17</v>
          </cell>
          <cell r="J24">
            <v>14</v>
          </cell>
          <cell r="M24">
            <v>31</v>
          </cell>
        </row>
        <row r="25">
          <cell r="C25">
            <v>1273</v>
          </cell>
          <cell r="D25" t="str">
            <v>KOTA PEMATANG SIANTAR</v>
          </cell>
          <cell r="E25">
            <v>0.2</v>
          </cell>
          <cell r="F25">
            <v>14</v>
          </cell>
          <cell r="G25">
            <v>1</v>
          </cell>
          <cell r="H25">
            <v>7</v>
          </cell>
          <cell r="J25">
            <v>43</v>
          </cell>
          <cell r="M25">
            <v>43</v>
          </cell>
        </row>
        <row r="26">
          <cell r="C26">
            <v>1274</v>
          </cell>
          <cell r="D26" t="str">
            <v>KOTA TEBING TINGGI</v>
          </cell>
          <cell r="E26">
            <v>0.2</v>
          </cell>
          <cell r="F26">
            <v>11</v>
          </cell>
          <cell r="G26">
            <v>1</v>
          </cell>
          <cell r="H26">
            <v>5</v>
          </cell>
          <cell r="I26">
            <v>27</v>
          </cell>
          <cell r="J26">
            <v>8</v>
          </cell>
          <cell r="M26">
            <v>35</v>
          </cell>
        </row>
        <row r="27">
          <cell r="C27">
            <v>1275</v>
          </cell>
          <cell r="D27" t="str">
            <v>KOTA MEDAN</v>
          </cell>
          <cell r="E27">
            <v>0.2</v>
          </cell>
          <cell r="F27">
            <v>15</v>
          </cell>
          <cell r="G27">
            <v>1</v>
          </cell>
          <cell r="H27">
            <v>21</v>
          </cell>
          <cell r="I27">
            <v>88</v>
          </cell>
          <cell r="J27">
            <v>63</v>
          </cell>
          <cell r="M27">
            <v>151</v>
          </cell>
          <cell r="Q27">
            <v>0</v>
          </cell>
        </row>
        <row r="28">
          <cell r="C28">
            <v>1276</v>
          </cell>
          <cell r="D28" t="str">
            <v>KOTA BINJAI</v>
          </cell>
          <cell r="E28">
            <v>0.2</v>
          </cell>
          <cell r="F28">
            <v>16</v>
          </cell>
          <cell r="G28">
            <v>1</v>
          </cell>
          <cell r="H28">
            <v>5</v>
          </cell>
          <cell r="J28">
            <v>37</v>
          </cell>
          <cell r="M28">
            <v>37</v>
          </cell>
          <cell r="Q28">
            <v>0</v>
          </cell>
        </row>
        <row r="29">
          <cell r="C29">
            <v>1277</v>
          </cell>
          <cell r="D29" t="str">
            <v>KOTA PADANGSIDIMPUAN</v>
          </cell>
          <cell r="E29">
            <v>0.2</v>
          </cell>
          <cell r="F29">
            <v>17</v>
          </cell>
          <cell r="G29">
            <v>1</v>
          </cell>
          <cell r="H29">
            <v>6</v>
          </cell>
          <cell r="I29">
            <v>32</v>
          </cell>
          <cell r="J29">
            <v>47</v>
          </cell>
          <cell r="M29">
            <v>79</v>
          </cell>
          <cell r="O29">
            <v>2</v>
          </cell>
          <cell r="Q29">
            <v>1</v>
          </cell>
        </row>
        <row r="30">
          <cell r="B30" t="str">
            <v>SUMATERA UTARA Total</v>
          </cell>
          <cell r="D30">
            <v>14</v>
          </cell>
          <cell r="G30">
            <v>8</v>
          </cell>
          <cell r="H30">
            <v>71</v>
          </cell>
          <cell r="I30">
            <v>303</v>
          </cell>
          <cell r="J30">
            <v>311</v>
          </cell>
          <cell r="K30">
            <v>0</v>
          </cell>
          <cell r="M30">
            <v>614</v>
          </cell>
          <cell r="N30">
            <v>0</v>
          </cell>
          <cell r="O30">
            <v>2</v>
          </cell>
          <cell r="P30">
            <v>1</v>
          </cell>
          <cell r="Q30">
            <v>4</v>
          </cell>
        </row>
        <row r="31">
          <cell r="A31">
            <v>13</v>
          </cell>
          <cell r="B31" t="str">
            <v>SUMATERA BARAT</v>
          </cell>
          <cell r="C31">
            <v>1304</v>
          </cell>
          <cell r="D31" t="str">
            <v>SIJUNJUNG</v>
          </cell>
          <cell r="E31">
            <v>0.2</v>
          </cell>
          <cell r="F31">
            <v>22</v>
          </cell>
          <cell r="G31">
            <v>0</v>
          </cell>
          <cell r="H31">
            <v>1</v>
          </cell>
          <cell r="I31">
            <v>3</v>
          </cell>
          <cell r="J31">
            <v>6</v>
          </cell>
          <cell r="M31">
            <v>9</v>
          </cell>
          <cell r="P31">
            <v>1</v>
          </cell>
          <cell r="Q31">
            <v>0</v>
          </cell>
        </row>
        <row r="32">
          <cell r="C32">
            <v>1306</v>
          </cell>
          <cell r="D32" t="str">
            <v>PADANG PARIAMAN</v>
          </cell>
          <cell r="E32">
            <v>0.2</v>
          </cell>
          <cell r="F32">
            <v>21</v>
          </cell>
          <cell r="G32">
            <v>0</v>
          </cell>
          <cell r="H32">
            <v>1</v>
          </cell>
          <cell r="I32">
            <v>10</v>
          </cell>
          <cell r="J32">
            <v>1</v>
          </cell>
          <cell r="L32">
            <v>10</v>
          </cell>
          <cell r="M32">
            <v>11</v>
          </cell>
          <cell r="Q32">
            <v>0</v>
          </cell>
        </row>
        <row r="33">
          <cell r="C33">
            <v>1307</v>
          </cell>
          <cell r="D33" t="str">
            <v>AGAM</v>
          </cell>
          <cell r="E33">
            <v>0.2</v>
          </cell>
          <cell r="F33">
            <v>20</v>
          </cell>
          <cell r="G33">
            <v>0</v>
          </cell>
          <cell r="H33">
            <v>1</v>
          </cell>
          <cell r="J33">
            <v>7</v>
          </cell>
          <cell r="M33">
            <v>7</v>
          </cell>
          <cell r="Q33">
            <v>0</v>
          </cell>
        </row>
        <row r="34">
          <cell r="C34">
            <v>1308</v>
          </cell>
          <cell r="D34" t="str">
            <v>LIMA PULUH KOTO</v>
          </cell>
          <cell r="E34">
            <v>0.2</v>
          </cell>
          <cell r="F34">
            <v>19</v>
          </cell>
          <cell r="G34">
            <v>0</v>
          </cell>
          <cell r="H34">
            <v>1</v>
          </cell>
          <cell r="J34">
            <v>7</v>
          </cell>
          <cell r="M34">
            <v>7</v>
          </cell>
          <cell r="Q34">
            <v>1</v>
          </cell>
        </row>
        <row r="35">
          <cell r="C35">
            <v>1371</v>
          </cell>
          <cell r="D35" t="str">
            <v>KOTA PADANG</v>
          </cell>
          <cell r="E35">
            <v>0.2</v>
          </cell>
          <cell r="F35">
            <v>18</v>
          </cell>
          <cell r="G35">
            <v>1</v>
          </cell>
          <cell r="H35">
            <v>11</v>
          </cell>
          <cell r="I35">
            <v>22</v>
          </cell>
          <cell r="J35">
            <v>82</v>
          </cell>
          <cell r="L35">
            <v>104</v>
          </cell>
          <cell r="M35">
            <v>104</v>
          </cell>
          <cell r="Q35">
            <v>1</v>
          </cell>
        </row>
        <row r="36">
          <cell r="C36">
            <v>1372</v>
          </cell>
          <cell r="D36" t="str">
            <v>KOTA SOLOK</v>
          </cell>
          <cell r="E36">
            <v>0.3</v>
          </cell>
          <cell r="F36">
            <v>18</v>
          </cell>
          <cell r="G36">
            <v>0</v>
          </cell>
          <cell r="H36">
            <v>2</v>
          </cell>
          <cell r="J36">
            <v>13</v>
          </cell>
          <cell r="M36">
            <v>13</v>
          </cell>
          <cell r="Q36">
            <v>1</v>
          </cell>
        </row>
        <row r="37">
          <cell r="C37">
            <v>1373</v>
          </cell>
          <cell r="D37" t="str">
            <v>KOTA SAWAH LUNTO</v>
          </cell>
          <cell r="E37">
            <v>0.3</v>
          </cell>
          <cell r="F37">
            <v>22</v>
          </cell>
          <cell r="G37">
            <v>1</v>
          </cell>
          <cell r="H37">
            <v>4</v>
          </cell>
          <cell r="I37">
            <v>14</v>
          </cell>
          <cell r="J37">
            <v>23</v>
          </cell>
          <cell r="M37">
            <v>37</v>
          </cell>
          <cell r="O37">
            <v>3</v>
          </cell>
          <cell r="Q37">
            <v>1</v>
          </cell>
        </row>
        <row r="38">
          <cell r="C38">
            <v>1374</v>
          </cell>
          <cell r="D38" t="str">
            <v>KOTA PADANG PANJANG</v>
          </cell>
          <cell r="E38">
            <v>0.3</v>
          </cell>
          <cell r="F38">
            <v>20</v>
          </cell>
          <cell r="G38">
            <v>0</v>
          </cell>
          <cell r="H38">
            <v>2</v>
          </cell>
          <cell r="I38">
            <v>15</v>
          </cell>
          <cell r="J38">
            <v>1</v>
          </cell>
          <cell r="M38">
            <v>16</v>
          </cell>
        </row>
        <row r="39">
          <cell r="C39">
            <v>1375</v>
          </cell>
          <cell r="D39" t="str">
            <v>KOTA BUKITTINGGI</v>
          </cell>
          <cell r="E39">
            <v>0.2</v>
          </cell>
          <cell r="F39">
            <v>20</v>
          </cell>
          <cell r="G39">
            <v>1</v>
          </cell>
          <cell r="H39">
            <v>3</v>
          </cell>
          <cell r="I39">
            <v>7</v>
          </cell>
          <cell r="J39">
            <v>17</v>
          </cell>
          <cell r="M39">
            <v>24</v>
          </cell>
        </row>
        <row r="40">
          <cell r="C40">
            <v>1376</v>
          </cell>
          <cell r="D40" t="str">
            <v>KOTA PAYAKUMBUH</v>
          </cell>
          <cell r="E40">
            <v>0.2</v>
          </cell>
          <cell r="F40">
            <v>19</v>
          </cell>
          <cell r="G40">
            <v>1</v>
          </cell>
          <cell r="H40">
            <v>3</v>
          </cell>
          <cell r="I40">
            <v>57</v>
          </cell>
          <cell r="J40">
            <v>16</v>
          </cell>
          <cell r="M40">
            <v>73</v>
          </cell>
        </row>
        <row r="41">
          <cell r="D41" t="str">
            <v>KOTA PARIAMAN</v>
          </cell>
          <cell r="E41">
            <v>0.2</v>
          </cell>
          <cell r="F41">
            <v>21</v>
          </cell>
          <cell r="G41">
            <v>1</v>
          </cell>
          <cell r="H41">
            <v>3</v>
          </cell>
          <cell r="I41">
            <v>63</v>
          </cell>
          <cell r="J41">
            <v>8</v>
          </cell>
          <cell r="L41">
            <v>71</v>
          </cell>
          <cell r="M41">
            <v>71</v>
          </cell>
        </row>
        <row r="42">
          <cell r="D42" t="str">
            <v>PESISIR SELATAN</v>
          </cell>
          <cell r="F42">
            <v>18</v>
          </cell>
          <cell r="G42">
            <v>0</v>
          </cell>
          <cell r="K42">
            <v>8</v>
          </cell>
          <cell r="M42">
            <v>8</v>
          </cell>
          <cell r="Q42">
            <v>1</v>
          </cell>
        </row>
        <row r="43">
          <cell r="C43">
            <v>1377</v>
          </cell>
          <cell r="D43" t="str">
            <v>SOLOK</v>
          </cell>
          <cell r="F43">
            <v>18</v>
          </cell>
          <cell r="G43">
            <v>0</v>
          </cell>
          <cell r="K43">
            <v>8</v>
          </cell>
          <cell r="M43">
            <v>8</v>
          </cell>
          <cell r="O43">
            <v>1</v>
          </cell>
          <cell r="Q43">
            <v>1</v>
          </cell>
        </row>
        <row r="44">
          <cell r="B44" t="str">
            <v>SUMATERA BARAT Total</v>
          </cell>
          <cell r="D44">
            <v>13</v>
          </cell>
          <cell r="G44">
            <v>5</v>
          </cell>
          <cell r="H44">
            <v>32</v>
          </cell>
          <cell r="I44">
            <v>191</v>
          </cell>
          <cell r="J44">
            <v>181</v>
          </cell>
          <cell r="K44">
            <v>16</v>
          </cell>
          <cell r="L44">
            <v>185</v>
          </cell>
          <cell r="M44">
            <v>388</v>
          </cell>
          <cell r="N44">
            <v>0</v>
          </cell>
          <cell r="O44">
            <v>4</v>
          </cell>
          <cell r="P44">
            <v>1</v>
          </cell>
          <cell r="Q44">
            <v>6</v>
          </cell>
        </row>
        <row r="45">
          <cell r="A45">
            <v>14</v>
          </cell>
          <cell r="B45" t="str">
            <v>RIAU</v>
          </cell>
          <cell r="C45">
            <v>1401</v>
          </cell>
          <cell r="D45" t="str">
            <v>KUANTAN SINGINGI</v>
          </cell>
          <cell r="E45">
            <v>0.3</v>
          </cell>
          <cell r="F45">
            <v>24</v>
          </cell>
          <cell r="G45">
            <v>0</v>
          </cell>
          <cell r="H45">
            <v>1</v>
          </cell>
          <cell r="I45">
            <v>12</v>
          </cell>
          <cell r="J45">
            <v>1</v>
          </cell>
          <cell r="M45">
            <v>13</v>
          </cell>
          <cell r="P45">
            <v>0</v>
          </cell>
          <cell r="Q45">
            <v>0</v>
          </cell>
        </row>
        <row r="46">
          <cell r="C46">
            <v>1403</v>
          </cell>
          <cell r="D46" t="str">
            <v>INDRAGIRI HILIR</v>
          </cell>
          <cell r="E46">
            <v>0.2</v>
          </cell>
          <cell r="F46">
            <v>24</v>
          </cell>
          <cell r="G46">
            <v>0</v>
          </cell>
          <cell r="H46">
            <v>1</v>
          </cell>
          <cell r="I46">
            <v>4</v>
          </cell>
          <cell r="J46">
            <v>2</v>
          </cell>
          <cell r="M46">
            <v>6</v>
          </cell>
          <cell r="Q46">
            <v>0</v>
          </cell>
        </row>
        <row r="47">
          <cell r="C47">
            <v>1408</v>
          </cell>
          <cell r="D47" t="str">
            <v>BENGKALIS</v>
          </cell>
          <cell r="E47">
            <v>0.3</v>
          </cell>
          <cell r="F47">
            <v>23</v>
          </cell>
          <cell r="G47">
            <v>0</v>
          </cell>
          <cell r="H47">
            <v>1</v>
          </cell>
          <cell r="J47">
            <v>15</v>
          </cell>
          <cell r="M47">
            <v>15</v>
          </cell>
          <cell r="Q47">
            <v>0</v>
          </cell>
        </row>
        <row r="48">
          <cell r="C48">
            <v>1471</v>
          </cell>
          <cell r="D48" t="str">
            <v>KOTA PEKANBARU</v>
          </cell>
          <cell r="E48">
            <v>0.2</v>
          </cell>
          <cell r="F48">
            <v>24</v>
          </cell>
          <cell r="G48">
            <v>1</v>
          </cell>
          <cell r="H48">
            <v>12</v>
          </cell>
          <cell r="I48">
            <v>21</v>
          </cell>
          <cell r="J48">
            <v>37</v>
          </cell>
          <cell r="M48">
            <v>58</v>
          </cell>
          <cell r="Q48">
            <v>0</v>
          </cell>
        </row>
        <row r="49">
          <cell r="C49">
            <v>1473</v>
          </cell>
          <cell r="D49" t="str">
            <v>KOTA DUMAI</v>
          </cell>
          <cell r="E49">
            <v>0.3</v>
          </cell>
          <cell r="F49">
            <v>23</v>
          </cell>
          <cell r="G49">
            <v>1</v>
          </cell>
          <cell r="H49">
            <v>5</v>
          </cell>
          <cell r="I49">
            <v>18</v>
          </cell>
          <cell r="J49">
            <v>14</v>
          </cell>
          <cell r="M49">
            <v>32</v>
          </cell>
          <cell r="Q49">
            <v>0</v>
          </cell>
        </row>
        <row r="50">
          <cell r="B50" t="str">
            <v>RIAU Total</v>
          </cell>
          <cell r="D50">
            <v>5</v>
          </cell>
          <cell r="G50">
            <v>2</v>
          </cell>
          <cell r="H50">
            <v>20</v>
          </cell>
          <cell r="I50">
            <v>55</v>
          </cell>
          <cell r="J50">
            <v>69</v>
          </cell>
          <cell r="K50">
            <v>0</v>
          </cell>
          <cell r="M50">
            <v>124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</row>
        <row r="51">
          <cell r="A51">
            <v>15</v>
          </cell>
          <cell r="B51" t="str">
            <v>JAMBI</v>
          </cell>
          <cell r="C51">
            <v>1571</v>
          </cell>
          <cell r="D51" t="str">
            <v>KOTA JAMBI</v>
          </cell>
          <cell r="E51">
            <v>0.2</v>
          </cell>
          <cell r="F51">
            <v>25</v>
          </cell>
          <cell r="G51">
            <v>1</v>
          </cell>
          <cell r="H51">
            <v>8</v>
          </cell>
          <cell r="I51">
            <v>37</v>
          </cell>
          <cell r="J51">
            <v>24</v>
          </cell>
          <cell r="M51">
            <v>61</v>
          </cell>
          <cell r="P51">
            <v>0</v>
          </cell>
          <cell r="Q51">
            <v>0</v>
          </cell>
        </row>
        <row r="52">
          <cell r="C52">
            <v>1572</v>
          </cell>
          <cell r="D52" t="str">
            <v>KOTA SUNGAI PENUH</v>
          </cell>
          <cell r="E52" t="str">
            <v>(blank)</v>
          </cell>
          <cell r="F52">
            <v>25</v>
          </cell>
          <cell r="G52">
            <v>0</v>
          </cell>
          <cell r="H52">
            <v>1</v>
          </cell>
          <cell r="I52">
            <v>19</v>
          </cell>
          <cell r="M52">
            <v>19</v>
          </cell>
          <cell r="Q52">
            <v>0</v>
          </cell>
        </row>
        <row r="53">
          <cell r="B53" t="str">
            <v>JAMBI Total</v>
          </cell>
          <cell r="D53">
            <v>2</v>
          </cell>
          <cell r="G53">
            <v>1</v>
          </cell>
          <cell r="H53">
            <v>9</v>
          </cell>
          <cell r="I53">
            <v>56</v>
          </cell>
          <cell r="J53">
            <v>24</v>
          </cell>
          <cell r="K53">
            <v>0</v>
          </cell>
          <cell r="M53">
            <v>80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</row>
        <row r="54">
          <cell r="A54">
            <v>16</v>
          </cell>
          <cell r="B54" t="str">
            <v>SUMATERA SELATAN</v>
          </cell>
          <cell r="C54">
            <v>1601</v>
          </cell>
          <cell r="D54" t="str">
            <v>OGAN KOMERING ULU</v>
          </cell>
          <cell r="E54">
            <v>0.2</v>
          </cell>
          <cell r="F54">
            <v>27</v>
          </cell>
          <cell r="G54">
            <v>0</v>
          </cell>
          <cell r="H54">
            <v>2</v>
          </cell>
          <cell r="I54">
            <v>5</v>
          </cell>
          <cell r="J54">
            <v>20</v>
          </cell>
          <cell r="M54">
            <v>25</v>
          </cell>
          <cell r="P54">
            <v>0</v>
          </cell>
          <cell r="Q54">
            <v>0</v>
          </cell>
        </row>
        <row r="55">
          <cell r="C55">
            <v>1602</v>
          </cell>
          <cell r="D55" t="str">
            <v>OGAN KOMERING ILIR</v>
          </cell>
          <cell r="E55">
            <v>0.2</v>
          </cell>
          <cell r="F55">
            <v>27</v>
          </cell>
          <cell r="G55">
            <v>0</v>
          </cell>
          <cell r="H55">
            <v>1</v>
          </cell>
          <cell r="J55">
            <v>25</v>
          </cell>
          <cell r="M55">
            <v>25</v>
          </cell>
          <cell r="Q55">
            <v>0</v>
          </cell>
        </row>
        <row r="56">
          <cell r="C56">
            <v>1603</v>
          </cell>
          <cell r="D56" t="str">
            <v>MUARA ENIM</v>
          </cell>
          <cell r="E56">
            <v>0.2</v>
          </cell>
          <cell r="F56">
            <v>26</v>
          </cell>
          <cell r="G56">
            <v>0</v>
          </cell>
          <cell r="H56">
            <v>1</v>
          </cell>
          <cell r="J56">
            <v>7</v>
          </cell>
          <cell r="M56">
            <v>7</v>
          </cell>
          <cell r="Q56">
            <v>0</v>
          </cell>
        </row>
        <row r="57">
          <cell r="C57">
            <v>1671</v>
          </cell>
          <cell r="D57" t="str">
            <v>KOTA PALEMBANG</v>
          </cell>
          <cell r="E57">
            <v>0.2</v>
          </cell>
          <cell r="F57">
            <v>27</v>
          </cell>
          <cell r="G57">
            <v>1</v>
          </cell>
          <cell r="H57">
            <v>16</v>
          </cell>
          <cell r="I57">
            <v>59</v>
          </cell>
          <cell r="J57">
            <v>48</v>
          </cell>
          <cell r="M57">
            <v>107</v>
          </cell>
          <cell r="Q57">
            <v>0</v>
          </cell>
        </row>
        <row r="58">
          <cell r="C58">
            <v>1672</v>
          </cell>
          <cell r="D58" t="str">
            <v>KOTA PRABUMULIH</v>
          </cell>
          <cell r="E58">
            <v>0.3</v>
          </cell>
          <cell r="F58">
            <v>26</v>
          </cell>
          <cell r="G58">
            <v>1</v>
          </cell>
          <cell r="H58">
            <v>6</v>
          </cell>
          <cell r="I58">
            <v>11</v>
          </cell>
          <cell r="J58">
            <v>26</v>
          </cell>
          <cell r="M58">
            <v>37</v>
          </cell>
          <cell r="Q58">
            <v>0</v>
          </cell>
        </row>
        <row r="59">
          <cell r="C59">
            <v>1673</v>
          </cell>
          <cell r="D59" t="str">
            <v>KOTA PAGAR ALAM</v>
          </cell>
          <cell r="E59">
            <v>0.2</v>
          </cell>
          <cell r="F59">
            <v>28</v>
          </cell>
          <cell r="G59">
            <v>1</v>
          </cell>
          <cell r="H59">
            <v>5</v>
          </cell>
          <cell r="I59">
            <v>6</v>
          </cell>
          <cell r="J59">
            <v>29</v>
          </cell>
          <cell r="M59">
            <v>35</v>
          </cell>
          <cell r="Q59">
            <v>0</v>
          </cell>
        </row>
        <row r="60">
          <cell r="C60">
            <v>1674</v>
          </cell>
          <cell r="D60" t="str">
            <v>KOTA LUBUKLINGGAU</v>
          </cell>
          <cell r="E60">
            <v>0.3</v>
          </cell>
          <cell r="F60">
            <v>29</v>
          </cell>
          <cell r="G60">
            <v>1</v>
          </cell>
          <cell r="H60">
            <v>8</v>
          </cell>
          <cell r="I60">
            <v>56</v>
          </cell>
          <cell r="J60">
            <v>16</v>
          </cell>
          <cell r="M60">
            <v>72</v>
          </cell>
          <cell r="Q60">
            <v>0</v>
          </cell>
        </row>
        <row r="61">
          <cell r="B61" t="str">
            <v>SUMATERA SELATAN Total</v>
          </cell>
          <cell r="D61">
            <v>7</v>
          </cell>
          <cell r="G61">
            <v>4</v>
          </cell>
          <cell r="H61">
            <v>39</v>
          </cell>
          <cell r="I61">
            <v>137</v>
          </cell>
          <cell r="J61">
            <v>171</v>
          </cell>
          <cell r="K61">
            <v>0</v>
          </cell>
          <cell r="M61">
            <v>308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</row>
        <row r="62">
          <cell r="A62">
            <v>17</v>
          </cell>
          <cell r="B62" t="str">
            <v>BENGKULU</v>
          </cell>
          <cell r="C62">
            <v>1701</v>
          </cell>
          <cell r="D62" t="str">
            <v>BENGKULU SELATAN</v>
          </cell>
          <cell r="E62">
            <v>0.2</v>
          </cell>
          <cell r="F62">
            <v>30</v>
          </cell>
          <cell r="G62">
            <v>0</v>
          </cell>
          <cell r="H62">
            <v>1</v>
          </cell>
          <cell r="I62">
            <v>4</v>
          </cell>
          <cell r="J62">
            <v>7</v>
          </cell>
          <cell r="M62">
            <v>11</v>
          </cell>
          <cell r="P62">
            <v>0</v>
          </cell>
          <cell r="Q62">
            <v>0</v>
          </cell>
        </row>
        <row r="63">
          <cell r="C63">
            <v>1702</v>
          </cell>
          <cell r="D63" t="str">
            <v>REJANG LEBONG</v>
          </cell>
          <cell r="E63">
            <v>0.2</v>
          </cell>
          <cell r="F63">
            <v>30</v>
          </cell>
          <cell r="G63">
            <v>1</v>
          </cell>
          <cell r="H63">
            <v>5</v>
          </cell>
          <cell r="I63">
            <v>51</v>
          </cell>
          <cell r="J63">
            <v>2</v>
          </cell>
          <cell r="M63">
            <v>53</v>
          </cell>
          <cell r="Q63">
            <v>1</v>
          </cell>
        </row>
        <row r="64">
          <cell r="C64">
            <v>1771</v>
          </cell>
          <cell r="D64" t="str">
            <v>KOTA BENGKULU</v>
          </cell>
          <cell r="E64">
            <v>0.2</v>
          </cell>
          <cell r="F64">
            <v>31</v>
          </cell>
          <cell r="G64">
            <v>1</v>
          </cell>
          <cell r="H64">
            <v>8</v>
          </cell>
          <cell r="I64">
            <v>45</v>
          </cell>
          <cell r="J64">
            <v>22</v>
          </cell>
          <cell r="M64">
            <v>67</v>
          </cell>
          <cell r="Q64">
            <v>0</v>
          </cell>
        </row>
        <row r="65">
          <cell r="D65" t="str">
            <v>KAUR</v>
          </cell>
          <cell r="F65">
            <v>31</v>
          </cell>
          <cell r="G65">
            <v>0</v>
          </cell>
          <cell r="K65">
            <v>8</v>
          </cell>
          <cell r="M65">
            <v>8</v>
          </cell>
          <cell r="Q65">
            <v>1</v>
          </cell>
        </row>
        <row r="66">
          <cell r="B66" t="str">
            <v>BENGKULU Total</v>
          </cell>
          <cell r="D66">
            <v>4</v>
          </cell>
          <cell r="G66">
            <v>2</v>
          </cell>
          <cell r="H66">
            <v>14</v>
          </cell>
          <cell r="I66">
            <v>100</v>
          </cell>
          <cell r="J66">
            <v>31</v>
          </cell>
          <cell r="K66">
            <v>8</v>
          </cell>
          <cell r="L66">
            <v>0</v>
          </cell>
          <cell r="M66">
            <v>139</v>
          </cell>
          <cell r="N66">
            <v>0</v>
          </cell>
          <cell r="O66">
            <v>0</v>
          </cell>
          <cell r="P66">
            <v>0</v>
          </cell>
          <cell r="Q66">
            <v>2</v>
          </cell>
        </row>
        <row r="67">
          <cell r="A67">
            <v>18</v>
          </cell>
          <cell r="B67" t="str">
            <v>LAMPUNG</v>
          </cell>
          <cell r="C67">
            <v>1806</v>
          </cell>
          <cell r="D67" t="str">
            <v>LAMPUNG UTARA</v>
          </cell>
          <cell r="E67">
            <v>0.2</v>
          </cell>
          <cell r="F67">
            <v>32</v>
          </cell>
          <cell r="G67">
            <v>0</v>
          </cell>
          <cell r="H67">
            <v>1</v>
          </cell>
          <cell r="I67">
            <v>4</v>
          </cell>
          <cell r="J67">
            <v>9</v>
          </cell>
          <cell r="M67">
            <v>13</v>
          </cell>
          <cell r="P67">
            <v>0</v>
          </cell>
          <cell r="Q67">
            <v>1</v>
          </cell>
        </row>
        <row r="68">
          <cell r="C68">
            <v>1810</v>
          </cell>
          <cell r="D68" t="str">
            <v>PRINGSEWU</v>
          </cell>
          <cell r="E68">
            <v>0.2</v>
          </cell>
          <cell r="F68">
            <v>33</v>
          </cell>
          <cell r="G68">
            <v>0</v>
          </cell>
          <cell r="H68">
            <v>2</v>
          </cell>
          <cell r="J68">
            <v>20</v>
          </cell>
          <cell r="M68">
            <v>20</v>
          </cell>
          <cell r="Q68">
            <v>0</v>
          </cell>
        </row>
        <row r="69">
          <cell r="C69">
            <v>1871</v>
          </cell>
          <cell r="D69" t="str">
            <v>KOTA BANDAR LAMPUNG</v>
          </cell>
          <cell r="E69">
            <v>0.2</v>
          </cell>
          <cell r="F69">
            <v>33</v>
          </cell>
          <cell r="G69">
            <v>1</v>
          </cell>
          <cell r="H69">
            <v>13</v>
          </cell>
          <cell r="I69">
            <v>69</v>
          </cell>
          <cell r="J69">
            <v>29</v>
          </cell>
          <cell r="M69">
            <v>98</v>
          </cell>
          <cell r="Q69">
            <v>0</v>
          </cell>
        </row>
        <row r="70">
          <cell r="C70">
            <v>1872</v>
          </cell>
          <cell r="D70" t="str">
            <v>KOTA METRO</v>
          </cell>
          <cell r="E70">
            <v>0.2</v>
          </cell>
          <cell r="F70">
            <v>32</v>
          </cell>
          <cell r="G70">
            <v>1</v>
          </cell>
          <cell r="H70">
            <v>5</v>
          </cell>
          <cell r="J70">
            <v>22</v>
          </cell>
          <cell r="M70">
            <v>22</v>
          </cell>
          <cell r="Q70">
            <v>0</v>
          </cell>
        </row>
        <row r="71">
          <cell r="B71" t="str">
            <v>LAMPUNG Total</v>
          </cell>
          <cell r="D71">
            <v>0</v>
          </cell>
          <cell r="E71">
            <v>0.8</v>
          </cell>
          <cell r="G71">
            <v>2</v>
          </cell>
          <cell r="H71">
            <v>21</v>
          </cell>
          <cell r="I71">
            <v>73</v>
          </cell>
          <cell r="J71">
            <v>80</v>
          </cell>
          <cell r="K71">
            <v>0</v>
          </cell>
          <cell r="M71">
            <v>153</v>
          </cell>
          <cell r="N71">
            <v>0</v>
          </cell>
          <cell r="O71">
            <v>0</v>
          </cell>
          <cell r="P71">
            <v>0</v>
          </cell>
          <cell r="Q71">
            <v>1</v>
          </cell>
        </row>
        <row r="72">
          <cell r="A72">
            <v>19</v>
          </cell>
          <cell r="B72" t="str">
            <v>BANGKA BELITUNG</v>
          </cell>
          <cell r="C72">
            <v>1901</v>
          </cell>
          <cell r="D72" t="str">
            <v>BANGKA</v>
          </cell>
          <cell r="E72">
            <v>0.2</v>
          </cell>
          <cell r="F72">
            <v>34</v>
          </cell>
          <cell r="G72">
            <v>0</v>
          </cell>
          <cell r="H72">
            <v>2</v>
          </cell>
          <cell r="J72">
            <v>13</v>
          </cell>
          <cell r="M72">
            <v>13</v>
          </cell>
          <cell r="P72">
            <v>0</v>
          </cell>
          <cell r="Q72">
            <v>0</v>
          </cell>
        </row>
        <row r="73">
          <cell r="C73">
            <v>1902</v>
          </cell>
          <cell r="D73" t="str">
            <v>BELITUNG</v>
          </cell>
          <cell r="E73">
            <v>0.3</v>
          </cell>
          <cell r="F73">
            <v>35</v>
          </cell>
          <cell r="G73">
            <v>0</v>
          </cell>
          <cell r="H73">
            <v>1</v>
          </cell>
          <cell r="I73">
            <v>7</v>
          </cell>
          <cell r="J73">
            <v>5</v>
          </cell>
          <cell r="M73">
            <v>12</v>
          </cell>
          <cell r="O73">
            <v>1</v>
          </cell>
          <cell r="Q73">
            <v>1</v>
          </cell>
        </row>
        <row r="74">
          <cell r="C74">
            <v>1903</v>
          </cell>
          <cell r="D74" t="str">
            <v>BANGKA BARAT</v>
          </cell>
          <cell r="E74">
            <v>0.2</v>
          </cell>
          <cell r="F74">
            <v>34</v>
          </cell>
          <cell r="G74">
            <v>0</v>
          </cell>
          <cell r="H74">
            <v>1</v>
          </cell>
          <cell r="I74">
            <v>4</v>
          </cell>
          <cell r="J74">
            <v>3</v>
          </cell>
          <cell r="M74">
            <v>7</v>
          </cell>
          <cell r="Q74">
            <v>0</v>
          </cell>
        </row>
        <row r="75">
          <cell r="C75">
            <v>1906</v>
          </cell>
          <cell r="D75" t="str">
            <v>BELITUNG TIMUR</v>
          </cell>
          <cell r="E75">
            <v>0.3</v>
          </cell>
          <cell r="F75">
            <v>35</v>
          </cell>
          <cell r="G75">
            <v>1</v>
          </cell>
          <cell r="H75">
            <v>2</v>
          </cell>
          <cell r="I75">
            <v>4</v>
          </cell>
          <cell r="J75">
            <v>13</v>
          </cell>
          <cell r="M75">
            <v>17</v>
          </cell>
          <cell r="Q75">
            <v>1</v>
          </cell>
        </row>
        <row r="76">
          <cell r="C76">
            <v>1971</v>
          </cell>
          <cell r="D76" t="str">
            <v>KOTA PANGKAL PINANG</v>
          </cell>
          <cell r="E76">
            <v>0.2</v>
          </cell>
          <cell r="F76">
            <v>34</v>
          </cell>
          <cell r="G76">
            <v>1</v>
          </cell>
          <cell r="H76">
            <v>5</v>
          </cell>
          <cell r="I76">
            <v>8</v>
          </cell>
          <cell r="J76">
            <v>28</v>
          </cell>
          <cell r="M76">
            <v>36</v>
          </cell>
          <cell r="Q76">
            <v>0</v>
          </cell>
        </row>
        <row r="77">
          <cell r="B77" t="str">
            <v>BANGKA BELITUNG Total</v>
          </cell>
          <cell r="D77">
            <v>5</v>
          </cell>
          <cell r="G77">
            <v>2</v>
          </cell>
          <cell r="H77">
            <v>5</v>
          </cell>
          <cell r="I77">
            <v>23</v>
          </cell>
          <cell r="J77">
            <v>62</v>
          </cell>
          <cell r="K77">
            <v>0</v>
          </cell>
          <cell r="M77">
            <v>85</v>
          </cell>
          <cell r="N77">
            <v>0</v>
          </cell>
          <cell r="O77">
            <v>1</v>
          </cell>
          <cell r="P77">
            <v>0</v>
          </cell>
          <cell r="Q77">
            <v>2</v>
          </cell>
        </row>
        <row r="78">
          <cell r="A78">
            <v>21</v>
          </cell>
          <cell r="B78" t="str">
            <v>KEPULAUAN RIAU</v>
          </cell>
          <cell r="C78">
            <v>2101</v>
          </cell>
          <cell r="D78" t="str">
            <v>KARIMUN</v>
          </cell>
          <cell r="E78">
            <v>0.3</v>
          </cell>
          <cell r="F78">
            <v>36</v>
          </cell>
          <cell r="G78">
            <v>1</v>
          </cell>
          <cell r="H78">
            <v>4</v>
          </cell>
          <cell r="I78">
            <v>7</v>
          </cell>
          <cell r="J78">
            <v>15</v>
          </cell>
          <cell r="M78">
            <v>22</v>
          </cell>
          <cell r="P78">
            <v>0</v>
          </cell>
          <cell r="Q78">
            <v>0</v>
          </cell>
        </row>
        <row r="79">
          <cell r="C79">
            <v>2102</v>
          </cell>
          <cell r="D79" t="str">
            <v>BINTAN</v>
          </cell>
          <cell r="E79">
            <v>0.3</v>
          </cell>
          <cell r="F79">
            <v>36</v>
          </cell>
          <cell r="G79">
            <v>0</v>
          </cell>
          <cell r="H79">
            <v>1</v>
          </cell>
          <cell r="J79">
            <v>5</v>
          </cell>
          <cell r="M79">
            <v>5</v>
          </cell>
          <cell r="Q79">
            <v>0</v>
          </cell>
        </row>
        <row r="80">
          <cell r="C80">
            <v>2171</v>
          </cell>
          <cell r="D80" t="str">
            <v>KOTA BATAM</v>
          </cell>
          <cell r="E80">
            <v>0.2</v>
          </cell>
          <cell r="F80">
            <v>37</v>
          </cell>
          <cell r="G80">
            <v>1</v>
          </cell>
          <cell r="H80">
            <v>12</v>
          </cell>
          <cell r="J80">
            <v>64</v>
          </cell>
          <cell r="M80">
            <v>64</v>
          </cell>
          <cell r="Q80">
            <v>0</v>
          </cell>
        </row>
        <row r="81">
          <cell r="C81">
            <v>2172</v>
          </cell>
          <cell r="D81" t="str">
            <v>KOTA TANJUNG PINANG</v>
          </cell>
          <cell r="E81">
            <v>0.2</v>
          </cell>
          <cell r="F81">
            <v>37</v>
          </cell>
          <cell r="G81">
            <v>0</v>
          </cell>
          <cell r="H81">
            <v>4</v>
          </cell>
          <cell r="I81">
            <v>6</v>
          </cell>
          <cell r="J81">
            <v>12</v>
          </cell>
          <cell r="M81">
            <v>18</v>
          </cell>
          <cell r="Q81">
            <v>0</v>
          </cell>
        </row>
        <row r="82">
          <cell r="B82" t="str">
            <v>KEPULAUAN RIAU Total</v>
          </cell>
          <cell r="D82">
            <v>4</v>
          </cell>
          <cell r="G82">
            <v>2</v>
          </cell>
          <cell r="H82">
            <v>21</v>
          </cell>
          <cell r="I82">
            <v>13</v>
          </cell>
          <cell r="J82">
            <v>96</v>
          </cell>
          <cell r="K82">
            <v>0</v>
          </cell>
          <cell r="M82">
            <v>109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A83">
            <v>31</v>
          </cell>
          <cell r="B83" t="str">
            <v>DKI JAKARTA</v>
          </cell>
          <cell r="C83">
            <v>3101</v>
          </cell>
          <cell r="D83" t="str">
            <v>KEPULAUAN SERIBU</v>
          </cell>
          <cell r="E83">
            <v>0.3</v>
          </cell>
          <cell r="F83">
            <v>38</v>
          </cell>
          <cell r="G83">
            <v>0</v>
          </cell>
          <cell r="H83">
            <v>2</v>
          </cell>
          <cell r="J83">
            <v>6</v>
          </cell>
          <cell r="M83">
            <v>6</v>
          </cell>
          <cell r="P83">
            <v>0</v>
          </cell>
          <cell r="Q83">
            <v>0</v>
          </cell>
        </row>
        <row r="84">
          <cell r="C84">
            <v>3171</v>
          </cell>
          <cell r="D84" t="str">
            <v>JAKARTA SELATAN</v>
          </cell>
          <cell r="E84">
            <v>0.3</v>
          </cell>
          <cell r="F84">
            <v>39</v>
          </cell>
          <cell r="G84">
            <v>1</v>
          </cell>
          <cell r="H84">
            <v>10</v>
          </cell>
          <cell r="I84">
            <v>10</v>
          </cell>
          <cell r="J84">
            <v>55</v>
          </cell>
          <cell r="M84">
            <v>65</v>
          </cell>
          <cell r="Q84">
            <v>0</v>
          </cell>
        </row>
        <row r="85">
          <cell r="C85">
            <v>3172</v>
          </cell>
          <cell r="D85" t="str">
            <v>JAKARTA TIMUR</v>
          </cell>
          <cell r="E85">
            <v>0.3</v>
          </cell>
          <cell r="F85">
            <v>40</v>
          </cell>
          <cell r="G85">
            <v>1</v>
          </cell>
          <cell r="H85">
            <v>10</v>
          </cell>
          <cell r="I85">
            <v>9</v>
          </cell>
          <cell r="J85">
            <v>56</v>
          </cell>
          <cell r="M85">
            <v>65</v>
          </cell>
          <cell r="Q85">
            <v>0</v>
          </cell>
        </row>
        <row r="86">
          <cell r="C86">
            <v>3173</v>
          </cell>
          <cell r="D86" t="str">
            <v>JAKARTA PUSAT</v>
          </cell>
          <cell r="E86">
            <v>0.3</v>
          </cell>
          <cell r="F86">
            <v>41</v>
          </cell>
          <cell r="G86">
            <v>1</v>
          </cell>
          <cell r="H86">
            <v>8</v>
          </cell>
          <cell r="I86">
            <v>7</v>
          </cell>
          <cell r="J86">
            <v>37</v>
          </cell>
          <cell r="M86">
            <v>44</v>
          </cell>
          <cell r="Q86">
            <v>0</v>
          </cell>
        </row>
        <row r="87">
          <cell r="C87">
            <v>3174</v>
          </cell>
          <cell r="D87" t="str">
            <v>JAKARTA BARAT</v>
          </cell>
          <cell r="E87">
            <v>0.3</v>
          </cell>
          <cell r="F87">
            <v>38</v>
          </cell>
          <cell r="G87">
            <v>1</v>
          </cell>
          <cell r="H87">
            <v>8</v>
          </cell>
          <cell r="I87">
            <v>10</v>
          </cell>
          <cell r="J87">
            <v>46</v>
          </cell>
          <cell r="M87">
            <v>56</v>
          </cell>
          <cell r="Q87">
            <v>0</v>
          </cell>
        </row>
        <row r="88">
          <cell r="C88">
            <v>3175</v>
          </cell>
          <cell r="D88" t="str">
            <v>JAKARTA UTARA</v>
          </cell>
          <cell r="E88">
            <v>0.3</v>
          </cell>
          <cell r="F88">
            <v>41</v>
          </cell>
          <cell r="G88">
            <v>0</v>
          </cell>
          <cell r="H88">
            <v>6</v>
          </cell>
          <cell r="I88">
            <v>9</v>
          </cell>
          <cell r="J88">
            <v>22</v>
          </cell>
          <cell r="M88">
            <v>31</v>
          </cell>
          <cell r="Q88">
            <v>0</v>
          </cell>
        </row>
        <row r="89">
          <cell r="B89" t="str">
            <v>DKI JAKARTA Total</v>
          </cell>
          <cell r="D89">
            <v>6</v>
          </cell>
          <cell r="G89">
            <v>4</v>
          </cell>
          <cell r="H89">
            <v>44</v>
          </cell>
          <cell r="I89">
            <v>45</v>
          </cell>
          <cell r="J89">
            <v>222</v>
          </cell>
          <cell r="K89">
            <v>0</v>
          </cell>
          <cell r="M89">
            <v>267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</row>
        <row r="90">
          <cell r="A90">
            <v>32</v>
          </cell>
          <cell r="B90" t="str">
            <v>JAWA BARAT</v>
          </cell>
          <cell r="C90">
            <v>3201</v>
          </cell>
          <cell r="D90" t="str">
            <v>BOGOR</v>
          </cell>
          <cell r="E90">
            <v>0.2</v>
          </cell>
          <cell r="F90">
            <v>42</v>
          </cell>
          <cell r="G90">
            <v>1</v>
          </cell>
          <cell r="H90">
            <v>17</v>
          </cell>
          <cell r="I90">
            <v>9</v>
          </cell>
          <cell r="J90">
            <v>176</v>
          </cell>
          <cell r="M90">
            <v>185</v>
          </cell>
          <cell r="O90">
            <v>1</v>
          </cell>
          <cell r="P90">
            <v>1</v>
          </cell>
          <cell r="Q90">
            <v>1</v>
          </cell>
        </row>
        <row r="91">
          <cell r="C91">
            <v>3202</v>
          </cell>
          <cell r="D91" t="str">
            <v>SUKABUMI</v>
          </cell>
          <cell r="E91">
            <v>0.2</v>
          </cell>
          <cell r="F91">
            <v>43</v>
          </cell>
          <cell r="G91">
            <v>1</v>
          </cell>
          <cell r="H91">
            <v>6</v>
          </cell>
          <cell r="I91">
            <v>40</v>
          </cell>
          <cell r="J91">
            <v>18</v>
          </cell>
          <cell r="M91">
            <v>58</v>
          </cell>
          <cell r="O91">
            <v>1</v>
          </cell>
          <cell r="Q91">
            <v>1</v>
          </cell>
        </row>
        <row r="92">
          <cell r="C92">
            <v>3203</v>
          </cell>
          <cell r="D92" t="str">
            <v>CIANJUR</v>
          </cell>
          <cell r="E92">
            <v>0.2</v>
          </cell>
          <cell r="F92">
            <v>44</v>
          </cell>
          <cell r="G92">
            <v>1</v>
          </cell>
          <cell r="H92">
            <v>3</v>
          </cell>
          <cell r="I92">
            <v>3</v>
          </cell>
          <cell r="J92">
            <v>22</v>
          </cell>
          <cell r="M92">
            <v>25</v>
          </cell>
        </row>
        <row r="93">
          <cell r="C93">
            <v>3204</v>
          </cell>
          <cell r="D93" t="str">
            <v>BANDUNG</v>
          </cell>
          <cell r="E93">
            <v>0.2</v>
          </cell>
          <cell r="F93">
            <v>45</v>
          </cell>
          <cell r="G93">
            <v>1</v>
          </cell>
          <cell r="H93">
            <v>20</v>
          </cell>
          <cell r="I93">
            <v>118</v>
          </cell>
          <cell r="J93">
            <v>53</v>
          </cell>
          <cell r="M93">
            <v>171</v>
          </cell>
        </row>
        <row r="94">
          <cell r="C94">
            <v>3205</v>
          </cell>
          <cell r="D94" t="str">
            <v>GARUT</v>
          </cell>
          <cell r="E94">
            <v>0.2</v>
          </cell>
          <cell r="F94">
            <v>46</v>
          </cell>
          <cell r="G94">
            <v>1</v>
          </cell>
          <cell r="H94">
            <v>6</v>
          </cell>
          <cell r="I94">
            <v>55</v>
          </cell>
          <cell r="J94">
            <v>16</v>
          </cell>
          <cell r="M94">
            <v>71</v>
          </cell>
          <cell r="O94">
            <v>2</v>
          </cell>
          <cell r="Q94">
            <v>1</v>
          </cell>
        </row>
        <row r="95">
          <cell r="C95">
            <v>3206</v>
          </cell>
          <cell r="D95" t="str">
            <v>TASIKMALAYA</v>
          </cell>
          <cell r="E95">
            <v>0.2</v>
          </cell>
          <cell r="F95">
            <v>47</v>
          </cell>
          <cell r="G95">
            <v>0</v>
          </cell>
          <cell r="H95">
            <v>4</v>
          </cell>
          <cell r="I95">
            <v>10</v>
          </cell>
          <cell r="J95">
            <v>25</v>
          </cell>
          <cell r="M95">
            <v>35</v>
          </cell>
          <cell r="O95" t="str">
            <v xml:space="preserve"> </v>
          </cell>
        </row>
        <row r="96">
          <cell r="C96">
            <v>3207</v>
          </cell>
          <cell r="D96" t="str">
            <v>CIAMIS</v>
          </cell>
          <cell r="E96">
            <v>0.2</v>
          </cell>
          <cell r="F96">
            <v>48</v>
          </cell>
          <cell r="G96">
            <v>1</v>
          </cell>
          <cell r="H96">
            <v>3</v>
          </cell>
          <cell r="J96">
            <v>29</v>
          </cell>
          <cell r="M96">
            <v>29</v>
          </cell>
        </row>
        <row r="97">
          <cell r="C97">
            <v>3208</v>
          </cell>
          <cell r="D97" t="str">
            <v>KUNINGAN</v>
          </cell>
          <cell r="E97">
            <v>0.2</v>
          </cell>
          <cell r="F97">
            <v>49</v>
          </cell>
          <cell r="G97">
            <v>1</v>
          </cell>
          <cell r="H97">
            <v>3</v>
          </cell>
          <cell r="I97">
            <v>8</v>
          </cell>
          <cell r="J97">
            <v>33</v>
          </cell>
          <cell r="M97">
            <v>41</v>
          </cell>
        </row>
        <row r="98">
          <cell r="C98">
            <v>3209</v>
          </cell>
          <cell r="D98" t="str">
            <v>CIREBON</v>
          </cell>
          <cell r="E98">
            <v>0.2</v>
          </cell>
          <cell r="F98">
            <v>50</v>
          </cell>
          <cell r="G98">
            <v>1</v>
          </cell>
          <cell r="H98">
            <v>18</v>
          </cell>
          <cell r="I98">
            <v>49</v>
          </cell>
          <cell r="J98">
            <v>146</v>
          </cell>
          <cell r="M98">
            <v>195</v>
          </cell>
          <cell r="O98">
            <v>1</v>
          </cell>
        </row>
        <row r="99">
          <cell r="C99">
            <v>3210</v>
          </cell>
          <cell r="D99" t="str">
            <v>MAJALENGKA</v>
          </cell>
          <cell r="E99">
            <v>0.2</v>
          </cell>
          <cell r="F99">
            <v>51</v>
          </cell>
          <cell r="G99">
            <v>1</v>
          </cell>
          <cell r="H99">
            <v>4</v>
          </cell>
          <cell r="I99">
            <v>10</v>
          </cell>
          <cell r="J99">
            <v>47</v>
          </cell>
          <cell r="M99">
            <v>57</v>
          </cell>
        </row>
        <row r="100">
          <cell r="C100">
            <v>3211</v>
          </cell>
          <cell r="D100" t="str">
            <v>SUMEDANG</v>
          </cell>
          <cell r="E100">
            <v>0.2</v>
          </cell>
          <cell r="F100">
            <v>52</v>
          </cell>
          <cell r="G100">
            <v>1</v>
          </cell>
          <cell r="H100">
            <v>3</v>
          </cell>
          <cell r="J100">
            <v>36</v>
          </cell>
          <cell r="M100">
            <v>36</v>
          </cell>
        </row>
        <row r="101">
          <cell r="C101">
            <v>3212</v>
          </cell>
          <cell r="D101" t="str">
            <v>INDRAMAYU</v>
          </cell>
          <cell r="E101">
            <v>0.2</v>
          </cell>
          <cell r="F101">
            <v>53</v>
          </cell>
          <cell r="G101">
            <v>1</v>
          </cell>
          <cell r="H101">
            <v>4</v>
          </cell>
          <cell r="I101">
            <v>7</v>
          </cell>
          <cell r="J101">
            <v>44</v>
          </cell>
          <cell r="M101">
            <v>51</v>
          </cell>
          <cell r="Q101">
            <v>1</v>
          </cell>
        </row>
        <row r="102">
          <cell r="C102">
            <v>3213</v>
          </cell>
          <cell r="D102" t="str">
            <v>SUBANG</v>
          </cell>
          <cell r="E102">
            <v>0.2</v>
          </cell>
          <cell r="F102">
            <v>54</v>
          </cell>
          <cell r="G102">
            <v>0</v>
          </cell>
          <cell r="H102">
            <v>3</v>
          </cell>
          <cell r="I102">
            <v>14</v>
          </cell>
          <cell r="J102">
            <v>9</v>
          </cell>
          <cell r="M102">
            <v>23</v>
          </cell>
        </row>
        <row r="103">
          <cell r="C103">
            <v>3214</v>
          </cell>
          <cell r="D103" t="str">
            <v>PURWAKARTA</v>
          </cell>
          <cell r="E103">
            <v>0.2</v>
          </cell>
          <cell r="F103">
            <v>55</v>
          </cell>
          <cell r="G103">
            <v>1</v>
          </cell>
          <cell r="H103">
            <v>4</v>
          </cell>
          <cell r="I103">
            <v>6</v>
          </cell>
          <cell r="J103">
            <v>42</v>
          </cell>
          <cell r="M103">
            <v>48</v>
          </cell>
        </row>
        <row r="104">
          <cell r="C104">
            <v>3215</v>
          </cell>
          <cell r="D104" t="str">
            <v>KARAWANG</v>
          </cell>
          <cell r="E104">
            <v>0.2</v>
          </cell>
          <cell r="F104">
            <v>54</v>
          </cell>
          <cell r="G104">
            <v>1</v>
          </cell>
          <cell r="H104">
            <v>7</v>
          </cell>
          <cell r="I104">
            <v>52</v>
          </cell>
          <cell r="J104">
            <v>15</v>
          </cell>
          <cell r="M104">
            <v>67</v>
          </cell>
          <cell r="Q104">
            <v>1</v>
          </cell>
        </row>
        <row r="105">
          <cell r="C105">
            <v>3216</v>
          </cell>
          <cell r="D105" t="str">
            <v>BEKASI</v>
          </cell>
          <cell r="E105">
            <v>0.2</v>
          </cell>
          <cell r="F105">
            <v>56</v>
          </cell>
          <cell r="G105">
            <v>1</v>
          </cell>
          <cell r="H105">
            <v>7</v>
          </cell>
          <cell r="I105">
            <v>7</v>
          </cell>
          <cell r="J105">
            <v>53</v>
          </cell>
          <cell r="M105">
            <v>60</v>
          </cell>
        </row>
        <row r="106">
          <cell r="C106">
            <v>3217</v>
          </cell>
          <cell r="D106" t="str">
            <v>BANDUNG BARAT</v>
          </cell>
          <cell r="E106">
            <v>0.2</v>
          </cell>
          <cell r="F106">
            <v>57</v>
          </cell>
          <cell r="G106">
            <v>1</v>
          </cell>
          <cell r="H106">
            <v>4</v>
          </cell>
          <cell r="I106">
            <v>30</v>
          </cell>
          <cell r="J106">
            <v>14</v>
          </cell>
          <cell r="M106">
            <v>44</v>
          </cell>
        </row>
        <row r="107">
          <cell r="C107">
            <v>3271</v>
          </cell>
          <cell r="D107" t="str">
            <v>KOTA BOGOR</v>
          </cell>
          <cell r="E107">
            <v>0.2</v>
          </cell>
          <cell r="F107">
            <v>58</v>
          </cell>
          <cell r="G107">
            <v>1</v>
          </cell>
          <cell r="H107">
            <v>6</v>
          </cell>
          <cell r="I107">
            <v>44</v>
          </cell>
          <cell r="J107">
            <v>24</v>
          </cell>
          <cell r="M107">
            <v>68</v>
          </cell>
          <cell r="N107">
            <v>1</v>
          </cell>
          <cell r="Q107">
            <v>1</v>
          </cell>
        </row>
        <row r="108">
          <cell r="C108">
            <v>3272</v>
          </cell>
          <cell r="D108" t="str">
            <v>KOTA SUKABUMI</v>
          </cell>
          <cell r="E108">
            <v>0.2</v>
          </cell>
          <cell r="F108">
            <v>43</v>
          </cell>
          <cell r="G108">
            <v>0</v>
          </cell>
          <cell r="H108">
            <v>7</v>
          </cell>
          <cell r="I108">
            <v>5</v>
          </cell>
          <cell r="J108">
            <v>28</v>
          </cell>
          <cell r="M108">
            <v>33</v>
          </cell>
        </row>
        <row r="109">
          <cell r="C109">
            <v>3273</v>
          </cell>
          <cell r="D109" t="str">
            <v>KOTA BANDUNG</v>
          </cell>
          <cell r="E109">
            <v>0.2</v>
          </cell>
          <cell r="F109">
            <v>59</v>
          </cell>
          <cell r="G109">
            <v>1</v>
          </cell>
          <cell r="H109">
            <v>30</v>
          </cell>
          <cell r="I109">
            <v>129</v>
          </cell>
          <cell r="J109">
            <v>22</v>
          </cell>
          <cell r="M109">
            <v>151</v>
          </cell>
          <cell r="N109">
            <v>1</v>
          </cell>
          <cell r="Q109">
            <v>1</v>
          </cell>
        </row>
        <row r="110">
          <cell r="C110">
            <v>3274</v>
          </cell>
          <cell r="D110" t="str">
            <v>KOTA CIREBON</v>
          </cell>
          <cell r="E110">
            <v>0.2</v>
          </cell>
          <cell r="F110">
            <v>50</v>
          </cell>
          <cell r="G110">
            <v>0</v>
          </cell>
          <cell r="H110">
            <v>5</v>
          </cell>
          <cell r="J110">
            <v>22</v>
          </cell>
          <cell r="M110">
            <v>22</v>
          </cell>
        </row>
        <row r="111">
          <cell r="C111">
            <v>3275</v>
          </cell>
          <cell r="D111" t="str">
            <v>KOTA BEKASI</v>
          </cell>
          <cell r="E111">
            <v>0.2</v>
          </cell>
          <cell r="F111">
            <v>60</v>
          </cell>
          <cell r="G111">
            <v>1</v>
          </cell>
          <cell r="H111">
            <v>12</v>
          </cell>
          <cell r="I111">
            <v>26</v>
          </cell>
          <cell r="J111">
            <v>30</v>
          </cell>
          <cell r="M111">
            <v>56</v>
          </cell>
          <cell r="Q111">
            <v>1</v>
          </cell>
        </row>
        <row r="112">
          <cell r="C112">
            <v>3276</v>
          </cell>
          <cell r="D112" t="str">
            <v>KOTA DEPOK</v>
          </cell>
          <cell r="E112">
            <v>0.2</v>
          </cell>
          <cell r="F112">
            <v>61</v>
          </cell>
          <cell r="G112">
            <v>1</v>
          </cell>
          <cell r="H112">
            <v>6</v>
          </cell>
          <cell r="I112">
            <v>46</v>
          </cell>
          <cell r="J112">
            <v>17</v>
          </cell>
          <cell r="M112">
            <v>63</v>
          </cell>
          <cell r="Q112">
            <v>1</v>
          </cell>
        </row>
        <row r="113">
          <cell r="C113">
            <v>3277</v>
          </cell>
          <cell r="D113" t="str">
            <v>KOTA CIMAHI</v>
          </cell>
          <cell r="E113">
            <v>0.2</v>
          </cell>
          <cell r="F113">
            <v>45</v>
          </cell>
          <cell r="G113">
            <v>0</v>
          </cell>
          <cell r="H113">
            <v>3</v>
          </cell>
          <cell r="I113">
            <v>6</v>
          </cell>
          <cell r="J113">
            <v>9</v>
          </cell>
          <cell r="M113">
            <v>15</v>
          </cell>
          <cell r="Q113">
            <v>1</v>
          </cell>
        </row>
        <row r="114">
          <cell r="C114">
            <v>3278</v>
          </cell>
          <cell r="D114" t="str">
            <v>KOTA TASIKMALAYA</v>
          </cell>
          <cell r="E114">
            <v>0.2</v>
          </cell>
          <cell r="F114">
            <v>47</v>
          </cell>
          <cell r="G114">
            <v>1</v>
          </cell>
          <cell r="H114">
            <v>8</v>
          </cell>
          <cell r="I114">
            <v>30</v>
          </cell>
          <cell r="J114">
            <v>39</v>
          </cell>
          <cell r="M114">
            <v>69</v>
          </cell>
          <cell r="O114">
            <v>2</v>
          </cell>
        </row>
        <row r="115">
          <cell r="C115">
            <v>3279</v>
          </cell>
          <cell r="D115" t="str">
            <v>KOTA BANJAR</v>
          </cell>
          <cell r="E115">
            <v>0.2</v>
          </cell>
          <cell r="F115">
            <v>48</v>
          </cell>
          <cell r="G115">
            <v>0</v>
          </cell>
          <cell r="H115">
            <v>4</v>
          </cell>
          <cell r="I115">
            <v>16</v>
          </cell>
          <cell r="J115">
            <v>8</v>
          </cell>
          <cell r="M115">
            <v>24</v>
          </cell>
        </row>
        <row r="116">
          <cell r="B116" t="str">
            <v>JAWA BARAT Total</v>
          </cell>
          <cell r="D116">
            <v>26</v>
          </cell>
          <cell r="G116">
            <v>20</v>
          </cell>
          <cell r="H116">
            <v>197</v>
          </cell>
          <cell r="I116">
            <v>720</v>
          </cell>
          <cell r="J116">
            <v>977</v>
          </cell>
          <cell r="K116">
            <v>0</v>
          </cell>
          <cell r="M116">
            <v>1697</v>
          </cell>
          <cell r="N116">
            <v>2</v>
          </cell>
          <cell r="O116">
            <v>7</v>
          </cell>
          <cell r="P116">
            <v>1</v>
          </cell>
          <cell r="Q116">
            <v>10</v>
          </cell>
        </row>
        <row r="117">
          <cell r="A117">
            <v>33</v>
          </cell>
          <cell r="B117" t="str">
            <v>JAWA TENGAH</v>
          </cell>
          <cell r="C117">
            <v>3301</v>
          </cell>
          <cell r="D117" t="str">
            <v>CILACAP</v>
          </cell>
          <cell r="E117">
            <v>0.2</v>
          </cell>
          <cell r="F117">
            <v>62</v>
          </cell>
          <cell r="G117">
            <v>0</v>
          </cell>
          <cell r="H117">
            <v>3</v>
          </cell>
          <cell r="J117">
            <v>15</v>
          </cell>
          <cell r="M117">
            <v>15</v>
          </cell>
          <cell r="P117">
            <v>0</v>
          </cell>
        </row>
        <row r="118">
          <cell r="C118">
            <v>3302</v>
          </cell>
          <cell r="D118" t="str">
            <v>BANYUMAS</v>
          </cell>
          <cell r="E118">
            <v>0.2</v>
          </cell>
          <cell r="F118">
            <v>62</v>
          </cell>
          <cell r="G118">
            <v>1</v>
          </cell>
          <cell r="H118">
            <v>8</v>
          </cell>
          <cell r="I118">
            <v>53</v>
          </cell>
          <cell r="J118">
            <v>32</v>
          </cell>
          <cell r="M118">
            <v>85</v>
          </cell>
          <cell r="O118">
            <v>13</v>
          </cell>
          <cell r="Q118">
            <v>0</v>
          </cell>
        </row>
        <row r="119">
          <cell r="C119">
            <v>3303</v>
          </cell>
          <cell r="D119" t="str">
            <v>PURBALINGGA</v>
          </cell>
          <cell r="E119">
            <v>0.2</v>
          </cell>
          <cell r="F119">
            <v>63</v>
          </cell>
          <cell r="G119">
            <v>1</v>
          </cell>
          <cell r="H119">
            <v>3</v>
          </cell>
          <cell r="I119">
            <v>42</v>
          </cell>
          <cell r="J119">
            <v>2</v>
          </cell>
          <cell r="M119">
            <v>44</v>
          </cell>
          <cell r="O119">
            <v>14</v>
          </cell>
          <cell r="Q119">
            <v>0</v>
          </cell>
        </row>
        <row r="120">
          <cell r="C120">
            <v>3304</v>
          </cell>
          <cell r="D120" t="str">
            <v>BANJARNEGARA</v>
          </cell>
          <cell r="E120">
            <v>0.2</v>
          </cell>
          <cell r="F120">
            <v>63</v>
          </cell>
          <cell r="G120">
            <v>0</v>
          </cell>
          <cell r="H120">
            <v>1</v>
          </cell>
          <cell r="J120">
            <v>13</v>
          </cell>
          <cell r="M120">
            <v>13</v>
          </cell>
        </row>
        <row r="121">
          <cell r="C121">
            <v>3305</v>
          </cell>
          <cell r="D121" t="str">
            <v>KEBUMEN</v>
          </cell>
          <cell r="E121">
            <v>0.2</v>
          </cell>
          <cell r="F121">
            <v>64</v>
          </cell>
          <cell r="G121">
            <v>1</v>
          </cell>
          <cell r="H121">
            <v>3</v>
          </cell>
          <cell r="I121">
            <v>19</v>
          </cell>
          <cell r="J121">
            <v>35</v>
          </cell>
          <cell r="M121">
            <v>54</v>
          </cell>
          <cell r="N121">
            <v>1</v>
          </cell>
          <cell r="O121">
            <v>24</v>
          </cell>
          <cell r="Q121">
            <v>0</v>
          </cell>
        </row>
        <row r="122">
          <cell r="C122">
            <v>3306</v>
          </cell>
          <cell r="D122" t="str">
            <v>PURWOREJO</v>
          </cell>
          <cell r="E122">
            <v>0.2</v>
          </cell>
          <cell r="F122">
            <v>65</v>
          </cell>
          <cell r="G122">
            <v>1</v>
          </cell>
          <cell r="H122">
            <v>1</v>
          </cell>
          <cell r="J122">
            <v>27</v>
          </cell>
          <cell r="M122">
            <v>27</v>
          </cell>
        </row>
        <row r="123">
          <cell r="C123">
            <v>3307</v>
          </cell>
          <cell r="D123" t="str">
            <v>WONOSOBO</v>
          </cell>
          <cell r="E123">
            <v>0.2</v>
          </cell>
          <cell r="F123">
            <v>66</v>
          </cell>
          <cell r="G123">
            <v>0</v>
          </cell>
          <cell r="H123">
            <v>1</v>
          </cell>
          <cell r="J123">
            <v>20</v>
          </cell>
          <cell r="M123">
            <v>20</v>
          </cell>
        </row>
        <row r="124">
          <cell r="C124">
            <v>3308</v>
          </cell>
          <cell r="D124" t="str">
            <v>MAGELANG</v>
          </cell>
          <cell r="E124">
            <v>0.2</v>
          </cell>
          <cell r="F124">
            <v>67</v>
          </cell>
          <cell r="G124">
            <v>1</v>
          </cell>
          <cell r="H124">
            <v>2</v>
          </cell>
          <cell r="I124">
            <v>27</v>
          </cell>
          <cell r="M124">
            <v>27</v>
          </cell>
          <cell r="N124">
            <v>1</v>
          </cell>
          <cell r="O124">
            <v>3</v>
          </cell>
          <cell r="Q124">
            <v>1</v>
          </cell>
        </row>
        <row r="125">
          <cell r="C125">
            <v>3309</v>
          </cell>
          <cell r="D125" t="str">
            <v>BOYOLALI</v>
          </cell>
          <cell r="E125">
            <v>0.2</v>
          </cell>
          <cell r="F125">
            <v>68</v>
          </cell>
          <cell r="G125">
            <v>1</v>
          </cell>
          <cell r="H125">
            <v>5</v>
          </cell>
          <cell r="I125">
            <v>55</v>
          </cell>
          <cell r="J125">
            <v>6</v>
          </cell>
          <cell r="M125">
            <v>61</v>
          </cell>
          <cell r="O125">
            <v>22</v>
          </cell>
          <cell r="Q125">
            <v>1</v>
          </cell>
        </row>
        <row r="126">
          <cell r="C126">
            <v>3310</v>
          </cell>
          <cell r="D126" t="str">
            <v>KLATEN</v>
          </cell>
          <cell r="E126">
            <v>0.2</v>
          </cell>
          <cell r="F126">
            <v>69</v>
          </cell>
          <cell r="G126">
            <v>1</v>
          </cell>
          <cell r="H126">
            <v>15</v>
          </cell>
          <cell r="I126">
            <v>58</v>
          </cell>
          <cell r="J126">
            <v>154</v>
          </cell>
          <cell r="M126">
            <v>212</v>
          </cell>
          <cell r="O126">
            <v>1</v>
          </cell>
        </row>
        <row r="127">
          <cell r="C127">
            <v>3311</v>
          </cell>
          <cell r="D127" t="str">
            <v>SUKOHARJO</v>
          </cell>
          <cell r="E127">
            <v>0.2</v>
          </cell>
          <cell r="F127">
            <v>70</v>
          </cell>
          <cell r="G127">
            <v>1</v>
          </cell>
          <cell r="H127">
            <v>6</v>
          </cell>
          <cell r="I127">
            <v>71</v>
          </cell>
          <cell r="J127">
            <v>12</v>
          </cell>
          <cell r="M127">
            <v>83</v>
          </cell>
          <cell r="O127">
            <v>15</v>
          </cell>
          <cell r="Q127">
            <v>1</v>
          </cell>
        </row>
        <row r="128">
          <cell r="C128">
            <v>3312</v>
          </cell>
          <cell r="D128" t="str">
            <v>WONOGIRI</v>
          </cell>
          <cell r="E128">
            <v>0.2</v>
          </cell>
          <cell r="F128">
            <v>71</v>
          </cell>
          <cell r="G128">
            <v>1</v>
          </cell>
          <cell r="H128">
            <v>2</v>
          </cell>
          <cell r="I128">
            <v>26</v>
          </cell>
          <cell r="M128">
            <v>26</v>
          </cell>
          <cell r="N128">
            <v>1</v>
          </cell>
          <cell r="O128">
            <v>7</v>
          </cell>
          <cell r="Q128">
            <v>1</v>
          </cell>
        </row>
        <row r="129">
          <cell r="C129">
            <v>3313</v>
          </cell>
          <cell r="D129" t="str">
            <v>KARANGANYAR</v>
          </cell>
          <cell r="E129">
            <v>0.2</v>
          </cell>
          <cell r="F129">
            <v>72</v>
          </cell>
          <cell r="G129">
            <v>1</v>
          </cell>
          <cell r="H129">
            <v>5</v>
          </cell>
          <cell r="I129">
            <v>43</v>
          </cell>
          <cell r="J129">
            <v>8</v>
          </cell>
          <cell r="M129">
            <v>51</v>
          </cell>
          <cell r="O129">
            <v>15</v>
          </cell>
          <cell r="Q129">
            <v>1</v>
          </cell>
        </row>
        <row r="130">
          <cell r="C130">
            <v>3314</v>
          </cell>
          <cell r="D130" t="str">
            <v>SRAGEN</v>
          </cell>
          <cell r="E130">
            <v>0.2</v>
          </cell>
          <cell r="F130">
            <v>72</v>
          </cell>
          <cell r="G130">
            <v>0</v>
          </cell>
          <cell r="H130">
            <v>2</v>
          </cell>
          <cell r="I130">
            <v>16</v>
          </cell>
          <cell r="M130">
            <v>16</v>
          </cell>
          <cell r="O130">
            <v>2</v>
          </cell>
          <cell r="Q130">
            <v>1</v>
          </cell>
        </row>
        <row r="131">
          <cell r="C131">
            <v>3315</v>
          </cell>
          <cell r="D131" t="str">
            <v>GROBOGAN</v>
          </cell>
          <cell r="E131">
            <v>0.2</v>
          </cell>
          <cell r="F131">
            <v>80</v>
          </cell>
          <cell r="G131">
            <v>0</v>
          </cell>
          <cell r="H131">
            <v>1</v>
          </cell>
          <cell r="I131">
            <v>14</v>
          </cell>
          <cell r="J131">
            <v>3</v>
          </cell>
          <cell r="M131">
            <v>17</v>
          </cell>
          <cell r="O131">
            <v>3</v>
          </cell>
          <cell r="Q131">
            <v>1</v>
          </cell>
        </row>
        <row r="132">
          <cell r="C132">
            <v>3316</v>
          </cell>
          <cell r="D132" t="str">
            <v>BLORA</v>
          </cell>
          <cell r="E132">
            <v>0.2</v>
          </cell>
          <cell r="F132">
            <v>75</v>
          </cell>
          <cell r="G132">
            <v>1</v>
          </cell>
          <cell r="H132">
            <v>2</v>
          </cell>
          <cell r="I132">
            <v>25</v>
          </cell>
          <cell r="J132">
            <v>20</v>
          </cell>
          <cell r="M132">
            <v>45</v>
          </cell>
          <cell r="O132">
            <v>1</v>
          </cell>
        </row>
        <row r="133">
          <cell r="C133">
            <v>3317</v>
          </cell>
          <cell r="D133" t="str">
            <v>REMBANG</v>
          </cell>
          <cell r="E133">
            <v>0.2</v>
          </cell>
          <cell r="F133">
            <v>76</v>
          </cell>
          <cell r="G133">
            <v>1</v>
          </cell>
          <cell r="H133">
            <v>2</v>
          </cell>
          <cell r="I133">
            <v>40</v>
          </cell>
          <cell r="J133">
            <v>14</v>
          </cell>
          <cell r="M133">
            <v>54</v>
          </cell>
        </row>
        <row r="134">
          <cell r="C134">
            <v>3318</v>
          </cell>
          <cell r="D134" t="str">
            <v>PATI</v>
          </cell>
          <cell r="E134">
            <v>0.2</v>
          </cell>
          <cell r="F134">
            <v>77</v>
          </cell>
          <cell r="G134">
            <v>1</v>
          </cell>
          <cell r="H134">
            <v>4</v>
          </cell>
          <cell r="I134">
            <v>35</v>
          </cell>
          <cell r="J134">
            <v>66</v>
          </cell>
          <cell r="M134">
            <v>101</v>
          </cell>
          <cell r="O134">
            <v>1</v>
          </cell>
        </row>
        <row r="135">
          <cell r="C135">
            <v>3319</v>
          </cell>
          <cell r="D135" t="str">
            <v>KUDUS</v>
          </cell>
          <cell r="E135">
            <v>0.2</v>
          </cell>
          <cell r="F135">
            <v>78</v>
          </cell>
          <cell r="G135">
            <v>1</v>
          </cell>
          <cell r="H135">
            <v>6</v>
          </cell>
          <cell r="I135">
            <v>83</v>
          </cell>
          <cell r="J135">
            <v>3</v>
          </cell>
          <cell r="M135">
            <v>86</v>
          </cell>
        </row>
        <row r="136">
          <cell r="C136">
            <v>3320</v>
          </cell>
          <cell r="D136" t="str">
            <v>JEPARA</v>
          </cell>
          <cell r="E136">
            <v>0.2</v>
          </cell>
          <cell r="F136">
            <v>79</v>
          </cell>
          <cell r="G136">
            <v>1</v>
          </cell>
          <cell r="H136">
            <v>7</v>
          </cell>
          <cell r="I136">
            <v>69</v>
          </cell>
          <cell r="J136">
            <v>17</v>
          </cell>
          <cell r="M136">
            <v>86</v>
          </cell>
          <cell r="O136">
            <v>8</v>
          </cell>
        </row>
        <row r="137">
          <cell r="C137">
            <v>3321</v>
          </cell>
          <cell r="D137" t="str">
            <v>DEMAK</v>
          </cell>
          <cell r="E137">
            <v>0.2</v>
          </cell>
          <cell r="F137">
            <v>78</v>
          </cell>
          <cell r="G137">
            <v>0</v>
          </cell>
          <cell r="H137">
            <v>1</v>
          </cell>
          <cell r="I137">
            <v>13</v>
          </cell>
          <cell r="J137">
            <v>6</v>
          </cell>
          <cell r="M137">
            <v>19</v>
          </cell>
          <cell r="Q137">
            <v>1</v>
          </cell>
        </row>
        <row r="138">
          <cell r="C138">
            <v>3322</v>
          </cell>
          <cell r="D138" t="str">
            <v>SEMARANG</v>
          </cell>
          <cell r="E138">
            <v>0.2</v>
          </cell>
          <cell r="F138">
            <v>80</v>
          </cell>
          <cell r="G138">
            <v>0</v>
          </cell>
          <cell r="H138">
            <v>3</v>
          </cell>
          <cell r="I138">
            <v>30</v>
          </cell>
          <cell r="J138">
            <v>1</v>
          </cell>
          <cell r="M138">
            <v>31</v>
          </cell>
          <cell r="N138">
            <v>1</v>
          </cell>
        </row>
        <row r="139">
          <cell r="C139">
            <v>3323</v>
          </cell>
          <cell r="D139" t="str">
            <v>TEMANGGUNG</v>
          </cell>
          <cell r="E139">
            <v>0.2</v>
          </cell>
          <cell r="F139">
            <v>66</v>
          </cell>
          <cell r="G139">
            <v>1</v>
          </cell>
          <cell r="H139">
            <v>2</v>
          </cell>
          <cell r="J139">
            <v>41</v>
          </cell>
          <cell r="M139">
            <v>41</v>
          </cell>
        </row>
        <row r="140">
          <cell r="C140">
            <v>3324</v>
          </cell>
          <cell r="D140" t="str">
            <v>KENDAL</v>
          </cell>
          <cell r="E140">
            <v>0.2</v>
          </cell>
          <cell r="F140">
            <v>81</v>
          </cell>
          <cell r="G140">
            <v>1</v>
          </cell>
          <cell r="H140">
            <v>4</v>
          </cell>
          <cell r="I140">
            <v>33</v>
          </cell>
          <cell r="J140">
            <v>24</v>
          </cell>
          <cell r="M140">
            <v>57</v>
          </cell>
          <cell r="N140">
            <v>1</v>
          </cell>
          <cell r="O140">
            <v>3</v>
          </cell>
        </row>
        <row r="141">
          <cell r="C141">
            <v>3325</v>
          </cell>
          <cell r="D141" t="str">
            <v>BATANG</v>
          </cell>
          <cell r="E141">
            <v>0.2</v>
          </cell>
          <cell r="F141">
            <v>82</v>
          </cell>
          <cell r="G141">
            <v>1</v>
          </cell>
          <cell r="H141">
            <v>2</v>
          </cell>
          <cell r="I141">
            <v>19</v>
          </cell>
          <cell r="J141">
            <v>20</v>
          </cell>
          <cell r="M141">
            <v>39</v>
          </cell>
          <cell r="O141">
            <v>16</v>
          </cell>
        </row>
        <row r="142">
          <cell r="C142">
            <v>3326</v>
          </cell>
          <cell r="D142" t="str">
            <v>PEKALONGAN</v>
          </cell>
          <cell r="E142">
            <v>0.2</v>
          </cell>
          <cell r="F142">
            <v>83</v>
          </cell>
          <cell r="G142">
            <v>1</v>
          </cell>
          <cell r="H142">
            <v>8</v>
          </cell>
          <cell r="I142">
            <v>38</v>
          </cell>
          <cell r="J142">
            <v>81</v>
          </cell>
          <cell r="M142">
            <v>119</v>
          </cell>
          <cell r="O142">
            <v>1</v>
          </cell>
          <cell r="Q142">
            <v>1</v>
          </cell>
        </row>
        <row r="143">
          <cell r="C143">
            <v>3327</v>
          </cell>
          <cell r="D143" t="str">
            <v>PEMALANG</v>
          </cell>
          <cell r="E143">
            <v>0.2</v>
          </cell>
          <cell r="F143">
            <v>84</v>
          </cell>
          <cell r="G143">
            <v>1</v>
          </cell>
          <cell r="H143">
            <v>4</v>
          </cell>
          <cell r="I143">
            <v>36</v>
          </cell>
          <cell r="J143">
            <v>43</v>
          </cell>
          <cell r="M143">
            <v>79</v>
          </cell>
        </row>
        <row r="144">
          <cell r="C144">
            <v>3328</v>
          </cell>
          <cell r="D144" t="str">
            <v>TEGAL</v>
          </cell>
          <cell r="E144">
            <v>0.2</v>
          </cell>
          <cell r="F144">
            <v>85</v>
          </cell>
          <cell r="G144">
            <v>1</v>
          </cell>
          <cell r="H144">
            <v>7</v>
          </cell>
          <cell r="I144">
            <v>101</v>
          </cell>
          <cell r="J144">
            <v>15</v>
          </cell>
          <cell r="M144">
            <v>116</v>
          </cell>
          <cell r="Q144">
            <v>1</v>
          </cell>
        </row>
        <row r="145">
          <cell r="C145">
            <v>3329</v>
          </cell>
          <cell r="D145" t="str">
            <v>BREBES</v>
          </cell>
          <cell r="E145">
            <v>0.2</v>
          </cell>
          <cell r="F145">
            <v>86</v>
          </cell>
          <cell r="G145">
            <v>1</v>
          </cell>
          <cell r="H145">
            <v>2</v>
          </cell>
          <cell r="I145">
            <v>11</v>
          </cell>
          <cell r="J145">
            <v>27</v>
          </cell>
          <cell r="M145">
            <v>38</v>
          </cell>
          <cell r="Q145">
            <v>1</v>
          </cell>
        </row>
        <row r="146">
          <cell r="C146">
            <v>3371</v>
          </cell>
          <cell r="D146" t="str">
            <v>KOTA MAGELANG</v>
          </cell>
          <cell r="E146">
            <v>0.2</v>
          </cell>
          <cell r="F146">
            <v>67</v>
          </cell>
          <cell r="G146">
            <v>0</v>
          </cell>
          <cell r="H146">
            <v>3</v>
          </cell>
          <cell r="J146">
            <v>17</v>
          </cell>
          <cell r="M146">
            <v>17</v>
          </cell>
        </row>
        <row r="147">
          <cell r="C147">
            <v>3372</v>
          </cell>
          <cell r="D147" t="str">
            <v>KOTA SURAKARTA</v>
          </cell>
          <cell r="E147">
            <v>0.2</v>
          </cell>
          <cell r="F147">
            <v>73</v>
          </cell>
          <cell r="G147">
            <v>1</v>
          </cell>
          <cell r="H147">
            <v>5</v>
          </cell>
          <cell r="J147">
            <v>51</v>
          </cell>
          <cell r="M147">
            <v>51</v>
          </cell>
        </row>
        <row r="148">
          <cell r="C148">
            <v>3373</v>
          </cell>
          <cell r="D148" t="str">
            <v>KOTA SALATIGA</v>
          </cell>
          <cell r="E148">
            <v>0.2</v>
          </cell>
          <cell r="F148">
            <v>68</v>
          </cell>
          <cell r="G148">
            <v>0</v>
          </cell>
          <cell r="H148">
            <v>4</v>
          </cell>
          <cell r="I148">
            <v>11</v>
          </cell>
          <cell r="J148">
            <v>11</v>
          </cell>
          <cell r="M148">
            <v>22</v>
          </cell>
        </row>
        <row r="149">
          <cell r="C149">
            <v>3374</v>
          </cell>
          <cell r="D149" t="str">
            <v>KOTA SEMARANG</v>
          </cell>
          <cell r="E149">
            <v>0.2</v>
          </cell>
          <cell r="F149">
            <v>80</v>
          </cell>
          <cell r="G149">
            <v>1</v>
          </cell>
          <cell r="H149">
            <v>16</v>
          </cell>
          <cell r="I149">
            <v>140</v>
          </cell>
          <cell r="J149">
            <v>37</v>
          </cell>
          <cell r="M149">
            <v>177</v>
          </cell>
        </row>
        <row r="150">
          <cell r="C150">
            <v>3375</v>
          </cell>
          <cell r="D150" t="str">
            <v>KOTA PEKALONGAN</v>
          </cell>
          <cell r="E150">
            <v>0.2</v>
          </cell>
          <cell r="F150">
            <v>88</v>
          </cell>
          <cell r="G150">
            <v>1</v>
          </cell>
          <cell r="H150">
            <v>4</v>
          </cell>
          <cell r="I150">
            <v>44</v>
          </cell>
          <cell r="J150">
            <v>3</v>
          </cell>
          <cell r="M150">
            <v>47</v>
          </cell>
          <cell r="N150">
            <v>1</v>
          </cell>
          <cell r="O150">
            <v>2</v>
          </cell>
        </row>
        <row r="151">
          <cell r="C151">
            <v>3376</v>
          </cell>
          <cell r="D151" t="str">
            <v>KOTA TEGAL</v>
          </cell>
          <cell r="E151">
            <v>0.2</v>
          </cell>
          <cell r="F151">
            <v>89</v>
          </cell>
          <cell r="G151">
            <v>1</v>
          </cell>
          <cell r="H151">
            <v>4</v>
          </cell>
          <cell r="I151">
            <v>27</v>
          </cell>
          <cell r="M151">
            <v>27</v>
          </cell>
          <cell r="Q151">
            <v>1</v>
          </cell>
        </row>
        <row r="152">
          <cell r="B152" t="str">
            <v>JAWA TENGAH Total</v>
          </cell>
          <cell r="D152">
            <v>35</v>
          </cell>
          <cell r="G152">
            <v>26</v>
          </cell>
          <cell r="H152">
            <v>148</v>
          </cell>
          <cell r="I152">
            <v>1179</v>
          </cell>
          <cell r="J152">
            <v>824</v>
          </cell>
          <cell r="K152">
            <v>0</v>
          </cell>
          <cell r="M152">
            <v>2003</v>
          </cell>
          <cell r="N152">
            <v>6</v>
          </cell>
          <cell r="O152">
            <v>151</v>
          </cell>
          <cell r="P152">
            <v>0</v>
          </cell>
          <cell r="Q152">
            <v>12</v>
          </cell>
        </row>
        <row r="153">
          <cell r="A153">
            <v>34</v>
          </cell>
          <cell r="B153" t="str">
            <v>D.I. YOGYAKARTA</v>
          </cell>
          <cell r="C153">
            <v>3401</v>
          </cell>
          <cell r="D153" t="str">
            <v>KULON PROGO</v>
          </cell>
          <cell r="E153">
            <v>0.2</v>
          </cell>
          <cell r="F153">
            <v>90</v>
          </cell>
          <cell r="G153">
            <v>0</v>
          </cell>
          <cell r="H153">
            <v>1</v>
          </cell>
          <cell r="I153">
            <v>4</v>
          </cell>
          <cell r="J153">
            <v>4</v>
          </cell>
          <cell r="M153">
            <v>8</v>
          </cell>
          <cell r="O153">
            <v>1</v>
          </cell>
          <cell r="P153">
            <v>1</v>
          </cell>
          <cell r="Q153">
            <v>1</v>
          </cell>
        </row>
        <row r="154">
          <cell r="C154">
            <v>3402</v>
          </cell>
          <cell r="D154" t="str">
            <v>BANTUL</v>
          </cell>
          <cell r="E154">
            <v>0.2</v>
          </cell>
          <cell r="F154">
            <v>90</v>
          </cell>
          <cell r="G154">
            <v>1</v>
          </cell>
          <cell r="H154">
            <v>12</v>
          </cell>
          <cell r="I154">
            <v>14</v>
          </cell>
          <cell r="J154">
            <v>36</v>
          </cell>
          <cell r="M154">
            <v>50</v>
          </cell>
          <cell r="O154">
            <v>2</v>
          </cell>
          <cell r="Q154">
            <v>1</v>
          </cell>
        </row>
        <row r="155">
          <cell r="C155">
            <v>3404</v>
          </cell>
          <cell r="D155" t="str">
            <v>SLEMAN</v>
          </cell>
          <cell r="E155">
            <v>0.2</v>
          </cell>
          <cell r="F155">
            <v>91</v>
          </cell>
          <cell r="G155">
            <v>1</v>
          </cell>
          <cell r="H155">
            <v>15</v>
          </cell>
          <cell r="I155">
            <v>46</v>
          </cell>
          <cell r="J155">
            <v>29</v>
          </cell>
          <cell r="M155">
            <v>75</v>
          </cell>
          <cell r="N155">
            <v>2</v>
          </cell>
          <cell r="O155">
            <v>1</v>
          </cell>
          <cell r="Q155">
            <v>0</v>
          </cell>
        </row>
        <row r="156">
          <cell r="D156" t="str">
            <v>KOTA YOGYAKARTA</v>
          </cell>
          <cell r="E156">
            <v>0.2</v>
          </cell>
          <cell r="F156">
            <v>92</v>
          </cell>
          <cell r="G156">
            <v>1</v>
          </cell>
          <cell r="H156">
            <v>14</v>
          </cell>
          <cell r="I156">
            <v>39</v>
          </cell>
          <cell r="J156">
            <v>6</v>
          </cell>
          <cell r="M156">
            <v>45</v>
          </cell>
          <cell r="O156">
            <v>1</v>
          </cell>
          <cell r="Q156">
            <v>0</v>
          </cell>
        </row>
        <row r="157">
          <cell r="C157">
            <v>3471</v>
          </cell>
          <cell r="D157" t="str">
            <v>GUNUNG KIDUL</v>
          </cell>
          <cell r="F157">
            <v>91</v>
          </cell>
          <cell r="G157">
            <v>0</v>
          </cell>
          <cell r="K157">
            <v>19</v>
          </cell>
          <cell r="M157">
            <v>19</v>
          </cell>
          <cell r="O157">
            <v>2</v>
          </cell>
          <cell r="Q157">
            <v>1</v>
          </cell>
        </row>
        <row r="158">
          <cell r="B158" t="str">
            <v>D.I. YOGYAKARTA Total</v>
          </cell>
          <cell r="D158">
            <v>5</v>
          </cell>
          <cell r="G158">
            <v>3</v>
          </cell>
          <cell r="H158">
            <v>42</v>
          </cell>
          <cell r="I158">
            <v>103</v>
          </cell>
          <cell r="J158">
            <v>75</v>
          </cell>
          <cell r="K158">
            <v>19</v>
          </cell>
          <cell r="L158">
            <v>0</v>
          </cell>
          <cell r="M158">
            <v>197</v>
          </cell>
          <cell r="N158">
            <v>2</v>
          </cell>
          <cell r="O158">
            <v>7</v>
          </cell>
          <cell r="P158">
            <v>1</v>
          </cell>
          <cell r="Q158">
            <v>3</v>
          </cell>
        </row>
        <row r="159">
          <cell r="A159">
            <v>35</v>
          </cell>
          <cell r="B159" t="str">
            <v>JAWA TIMUR</v>
          </cell>
          <cell r="C159">
            <v>3501</v>
          </cell>
          <cell r="D159" t="str">
            <v>PACITAN</v>
          </cell>
          <cell r="E159">
            <v>0.2</v>
          </cell>
          <cell r="F159">
            <v>93</v>
          </cell>
          <cell r="G159">
            <v>1</v>
          </cell>
          <cell r="H159">
            <v>1</v>
          </cell>
          <cell r="J159">
            <v>25</v>
          </cell>
          <cell r="M159">
            <v>25</v>
          </cell>
          <cell r="P159">
            <v>1</v>
          </cell>
        </row>
        <row r="160">
          <cell r="C160">
            <v>3502</v>
          </cell>
          <cell r="D160" t="str">
            <v>PONOROGO</v>
          </cell>
          <cell r="E160">
            <v>0.2</v>
          </cell>
          <cell r="F160">
            <v>94</v>
          </cell>
          <cell r="G160">
            <v>1</v>
          </cell>
          <cell r="H160">
            <v>2</v>
          </cell>
          <cell r="I160">
            <v>14</v>
          </cell>
          <cell r="J160">
            <v>23</v>
          </cell>
          <cell r="M160">
            <v>37</v>
          </cell>
        </row>
        <row r="161">
          <cell r="C161">
            <v>3503</v>
          </cell>
          <cell r="D161" t="str">
            <v>TRENGGALEK</v>
          </cell>
          <cell r="E161">
            <v>0.2</v>
          </cell>
          <cell r="F161">
            <v>95</v>
          </cell>
          <cell r="G161">
            <v>0</v>
          </cell>
          <cell r="H161">
            <v>1</v>
          </cell>
          <cell r="J161">
            <v>13</v>
          </cell>
          <cell r="M161">
            <v>13</v>
          </cell>
        </row>
        <row r="162">
          <cell r="C162">
            <v>3504</v>
          </cell>
          <cell r="D162" t="str">
            <v>TULUNGAGUNG</v>
          </cell>
          <cell r="E162">
            <v>0.2</v>
          </cell>
          <cell r="F162">
            <v>95</v>
          </cell>
          <cell r="G162">
            <v>1</v>
          </cell>
          <cell r="H162">
            <v>5</v>
          </cell>
          <cell r="I162">
            <v>41</v>
          </cell>
          <cell r="J162">
            <v>40</v>
          </cell>
          <cell r="M162">
            <v>81</v>
          </cell>
          <cell r="O162">
            <v>1</v>
          </cell>
          <cell r="Q162">
            <v>1</v>
          </cell>
        </row>
        <row r="163">
          <cell r="C163">
            <v>3505</v>
          </cell>
          <cell r="D163" t="str">
            <v>BLITAR</v>
          </cell>
          <cell r="E163">
            <v>0.2</v>
          </cell>
          <cell r="F163">
            <v>96</v>
          </cell>
          <cell r="G163">
            <v>1</v>
          </cell>
          <cell r="H163">
            <v>3</v>
          </cell>
          <cell r="I163">
            <v>35</v>
          </cell>
          <cell r="J163">
            <v>2</v>
          </cell>
          <cell r="M163">
            <v>37</v>
          </cell>
          <cell r="O163">
            <v>5</v>
          </cell>
          <cell r="Q163">
            <v>1</v>
          </cell>
        </row>
        <row r="164">
          <cell r="C164">
            <v>3506</v>
          </cell>
          <cell r="D164" t="str">
            <v>KEDIRI</v>
          </cell>
          <cell r="E164">
            <v>0.2</v>
          </cell>
          <cell r="F164">
            <v>97</v>
          </cell>
          <cell r="G164">
            <v>1</v>
          </cell>
          <cell r="H164">
            <v>4</v>
          </cell>
          <cell r="I164">
            <v>26</v>
          </cell>
          <cell r="J164">
            <v>32</v>
          </cell>
          <cell r="M164">
            <v>58</v>
          </cell>
        </row>
        <row r="165">
          <cell r="C165">
            <v>3507</v>
          </cell>
          <cell r="D165" t="str">
            <v>MALANG</v>
          </cell>
          <cell r="E165">
            <v>0.2</v>
          </cell>
          <cell r="F165">
            <v>98</v>
          </cell>
          <cell r="G165">
            <v>1</v>
          </cell>
          <cell r="H165">
            <v>7</v>
          </cell>
          <cell r="J165">
            <v>98</v>
          </cell>
          <cell r="M165">
            <v>98</v>
          </cell>
          <cell r="O165">
            <v>1</v>
          </cell>
          <cell r="Q165">
            <v>0</v>
          </cell>
        </row>
        <row r="166">
          <cell r="C166">
            <v>3508</v>
          </cell>
          <cell r="D166" t="str">
            <v>LUMAJANG</v>
          </cell>
          <cell r="E166">
            <v>0.2</v>
          </cell>
          <cell r="F166">
            <v>99</v>
          </cell>
          <cell r="G166">
            <v>0</v>
          </cell>
          <cell r="H166">
            <v>1</v>
          </cell>
          <cell r="I166">
            <v>11</v>
          </cell>
          <cell r="J166">
            <v>1</v>
          </cell>
          <cell r="M166">
            <v>12</v>
          </cell>
          <cell r="Q166">
            <v>1</v>
          </cell>
        </row>
        <row r="167">
          <cell r="C167">
            <v>3509</v>
          </cell>
          <cell r="D167" t="str">
            <v>JEMBER</v>
          </cell>
          <cell r="E167">
            <v>0.2</v>
          </cell>
          <cell r="F167">
            <v>99</v>
          </cell>
          <cell r="G167">
            <v>1</v>
          </cell>
          <cell r="H167">
            <v>5</v>
          </cell>
          <cell r="J167">
            <v>37</v>
          </cell>
          <cell r="M167">
            <v>37</v>
          </cell>
        </row>
        <row r="168">
          <cell r="C168">
            <v>3510</v>
          </cell>
          <cell r="D168" t="str">
            <v>BANYUWANGI</v>
          </cell>
          <cell r="E168">
            <v>0.2</v>
          </cell>
          <cell r="F168">
            <v>100</v>
          </cell>
          <cell r="G168">
            <v>1</v>
          </cell>
          <cell r="H168">
            <v>5</v>
          </cell>
          <cell r="I168">
            <v>24</v>
          </cell>
          <cell r="J168">
            <v>21</v>
          </cell>
          <cell r="M168">
            <v>45</v>
          </cell>
          <cell r="Q168">
            <v>0</v>
          </cell>
        </row>
        <row r="169">
          <cell r="C169">
            <v>3511</v>
          </cell>
          <cell r="D169" t="str">
            <v>BONDOWOSO</v>
          </cell>
          <cell r="E169">
            <v>0.2</v>
          </cell>
          <cell r="F169">
            <v>101</v>
          </cell>
          <cell r="G169">
            <v>0</v>
          </cell>
          <cell r="H169">
            <v>1</v>
          </cell>
          <cell r="I169">
            <v>3</v>
          </cell>
          <cell r="J169">
            <v>8</v>
          </cell>
          <cell r="M169">
            <v>11</v>
          </cell>
          <cell r="O169">
            <v>1</v>
          </cell>
          <cell r="Q169">
            <v>0</v>
          </cell>
        </row>
        <row r="170">
          <cell r="C170">
            <v>3512</v>
          </cell>
          <cell r="D170" t="str">
            <v>SITUBONDO</v>
          </cell>
          <cell r="E170">
            <v>0.2</v>
          </cell>
          <cell r="F170">
            <v>101</v>
          </cell>
          <cell r="G170">
            <v>1</v>
          </cell>
          <cell r="H170">
            <v>4</v>
          </cell>
          <cell r="I170">
            <v>15</v>
          </cell>
          <cell r="J170">
            <v>15</v>
          </cell>
          <cell r="M170">
            <v>30</v>
          </cell>
          <cell r="O170">
            <v>1</v>
          </cell>
        </row>
        <row r="171">
          <cell r="C171">
            <v>3513</v>
          </cell>
          <cell r="D171" t="str">
            <v>PROBOLINGGO</v>
          </cell>
          <cell r="E171">
            <v>0.2</v>
          </cell>
          <cell r="F171">
            <v>102</v>
          </cell>
          <cell r="G171">
            <v>1</v>
          </cell>
          <cell r="H171">
            <v>3</v>
          </cell>
          <cell r="I171">
            <v>3</v>
          </cell>
          <cell r="J171">
            <v>44</v>
          </cell>
          <cell r="M171">
            <v>47</v>
          </cell>
        </row>
        <row r="172">
          <cell r="C172">
            <v>3514</v>
          </cell>
          <cell r="D172" t="str">
            <v>PASURUAN</v>
          </cell>
          <cell r="E172">
            <v>0.2</v>
          </cell>
          <cell r="F172">
            <v>103</v>
          </cell>
          <cell r="G172">
            <v>1</v>
          </cell>
          <cell r="H172">
            <v>6</v>
          </cell>
          <cell r="I172">
            <v>25</v>
          </cell>
          <cell r="J172">
            <v>66</v>
          </cell>
          <cell r="M172">
            <v>91</v>
          </cell>
          <cell r="N172">
            <v>2</v>
          </cell>
        </row>
        <row r="173">
          <cell r="C173">
            <v>3515</v>
          </cell>
          <cell r="D173" t="str">
            <v>SIDOARJO</v>
          </cell>
          <cell r="E173">
            <v>0.2</v>
          </cell>
          <cell r="F173">
            <v>104</v>
          </cell>
          <cell r="G173">
            <v>1</v>
          </cell>
          <cell r="H173">
            <v>15</v>
          </cell>
          <cell r="I173">
            <v>95</v>
          </cell>
          <cell r="J173">
            <v>200</v>
          </cell>
          <cell r="M173">
            <v>295</v>
          </cell>
        </row>
        <row r="174">
          <cell r="C174">
            <v>3516</v>
          </cell>
          <cell r="D174" t="str">
            <v>MOJOKERTO</v>
          </cell>
          <cell r="E174">
            <v>0.2</v>
          </cell>
          <cell r="F174">
            <v>105</v>
          </cell>
          <cell r="G174">
            <v>1</v>
          </cell>
          <cell r="H174">
            <v>6</v>
          </cell>
          <cell r="I174">
            <v>30</v>
          </cell>
          <cell r="J174">
            <v>70</v>
          </cell>
          <cell r="M174">
            <v>100</v>
          </cell>
          <cell r="O174">
            <v>1</v>
          </cell>
          <cell r="Q174">
            <v>0</v>
          </cell>
        </row>
        <row r="175">
          <cell r="C175">
            <v>3517</v>
          </cell>
          <cell r="D175" t="str">
            <v>JOMBANG</v>
          </cell>
          <cell r="E175">
            <v>0.2</v>
          </cell>
          <cell r="F175">
            <v>106</v>
          </cell>
          <cell r="G175">
            <v>1</v>
          </cell>
          <cell r="H175">
            <v>7</v>
          </cell>
          <cell r="I175">
            <v>85</v>
          </cell>
          <cell r="J175">
            <v>28</v>
          </cell>
          <cell r="M175">
            <v>113</v>
          </cell>
          <cell r="O175">
            <v>7</v>
          </cell>
          <cell r="Q175">
            <v>1</v>
          </cell>
        </row>
        <row r="176">
          <cell r="C176">
            <v>3518</v>
          </cell>
          <cell r="D176" t="str">
            <v>NGANJUK</v>
          </cell>
          <cell r="E176">
            <v>0.2</v>
          </cell>
          <cell r="F176">
            <v>107</v>
          </cell>
          <cell r="G176">
            <v>1</v>
          </cell>
          <cell r="H176">
            <v>3</v>
          </cell>
          <cell r="J176">
            <v>50</v>
          </cell>
          <cell r="M176">
            <v>50</v>
          </cell>
        </row>
        <row r="177">
          <cell r="C177">
            <v>3519</v>
          </cell>
          <cell r="D177" t="str">
            <v>MADIUN</v>
          </cell>
          <cell r="E177">
            <v>0.2</v>
          </cell>
          <cell r="F177">
            <v>116</v>
          </cell>
          <cell r="G177">
            <v>0</v>
          </cell>
          <cell r="H177">
            <v>1</v>
          </cell>
          <cell r="J177">
            <v>14</v>
          </cell>
          <cell r="M177">
            <v>14</v>
          </cell>
        </row>
        <row r="178">
          <cell r="C178">
            <v>3520</v>
          </cell>
          <cell r="D178" t="str">
            <v>MAGETAN</v>
          </cell>
          <cell r="E178">
            <v>0.2</v>
          </cell>
          <cell r="F178">
            <v>108</v>
          </cell>
          <cell r="G178">
            <v>1</v>
          </cell>
          <cell r="H178">
            <v>3</v>
          </cell>
          <cell r="J178">
            <v>42</v>
          </cell>
          <cell r="M178">
            <v>42</v>
          </cell>
        </row>
        <row r="179">
          <cell r="C179">
            <v>3522</v>
          </cell>
          <cell r="D179" t="str">
            <v>BOJONEGORO</v>
          </cell>
          <cell r="E179">
            <v>0.2</v>
          </cell>
          <cell r="F179">
            <v>109</v>
          </cell>
          <cell r="G179">
            <v>1</v>
          </cell>
          <cell r="H179">
            <v>1</v>
          </cell>
          <cell r="I179">
            <v>9</v>
          </cell>
          <cell r="J179">
            <v>9</v>
          </cell>
          <cell r="M179">
            <v>18</v>
          </cell>
        </row>
        <row r="180">
          <cell r="C180">
            <v>3523</v>
          </cell>
          <cell r="D180" t="str">
            <v>TUBAN</v>
          </cell>
          <cell r="E180">
            <v>0.2</v>
          </cell>
          <cell r="F180">
            <v>109</v>
          </cell>
          <cell r="G180">
            <v>0</v>
          </cell>
          <cell r="H180">
            <v>1</v>
          </cell>
          <cell r="I180">
            <v>13</v>
          </cell>
          <cell r="J180">
            <v>4</v>
          </cell>
          <cell r="M180">
            <v>17</v>
          </cell>
        </row>
        <row r="181">
          <cell r="C181">
            <v>3524</v>
          </cell>
          <cell r="D181" t="str">
            <v>LAMONGAN</v>
          </cell>
          <cell r="E181">
            <v>0.2</v>
          </cell>
          <cell r="F181">
            <v>110</v>
          </cell>
          <cell r="G181">
            <v>1</v>
          </cell>
          <cell r="H181">
            <v>2</v>
          </cell>
          <cell r="I181">
            <v>8</v>
          </cell>
          <cell r="J181">
            <v>29</v>
          </cell>
          <cell r="M181">
            <v>37</v>
          </cell>
          <cell r="Q181">
            <v>0</v>
          </cell>
        </row>
        <row r="182">
          <cell r="C182">
            <v>3525</v>
          </cell>
          <cell r="D182" t="str">
            <v>GRESIK</v>
          </cell>
          <cell r="E182">
            <v>0.2</v>
          </cell>
          <cell r="F182">
            <v>111</v>
          </cell>
          <cell r="G182">
            <v>1</v>
          </cell>
          <cell r="H182">
            <v>5</v>
          </cell>
          <cell r="I182">
            <v>28</v>
          </cell>
          <cell r="J182">
            <v>75</v>
          </cell>
          <cell r="M182">
            <v>103</v>
          </cell>
          <cell r="O182">
            <v>1</v>
          </cell>
        </row>
        <row r="183">
          <cell r="C183">
            <v>3526</v>
          </cell>
          <cell r="D183" t="str">
            <v>BANGKALAN</v>
          </cell>
          <cell r="E183">
            <v>0.2</v>
          </cell>
          <cell r="F183">
            <v>112</v>
          </cell>
          <cell r="G183">
            <v>0</v>
          </cell>
          <cell r="H183">
            <v>1</v>
          </cell>
          <cell r="J183">
            <v>13</v>
          </cell>
          <cell r="M183">
            <v>13</v>
          </cell>
        </row>
        <row r="184">
          <cell r="C184">
            <v>3528</v>
          </cell>
          <cell r="D184" t="str">
            <v>PAMEKASAN</v>
          </cell>
          <cell r="E184">
            <v>0.2</v>
          </cell>
          <cell r="F184">
            <v>112</v>
          </cell>
          <cell r="G184">
            <v>1</v>
          </cell>
          <cell r="H184">
            <v>1</v>
          </cell>
          <cell r="I184">
            <v>9</v>
          </cell>
          <cell r="J184">
            <v>9</v>
          </cell>
          <cell r="M184">
            <v>18</v>
          </cell>
          <cell r="O184">
            <v>1</v>
          </cell>
          <cell r="Q184">
            <v>1</v>
          </cell>
        </row>
        <row r="185">
          <cell r="C185">
            <v>3529</v>
          </cell>
          <cell r="D185" t="str">
            <v>SUMENEP</v>
          </cell>
          <cell r="E185">
            <v>0.2</v>
          </cell>
          <cell r="F185">
            <v>112</v>
          </cell>
          <cell r="G185">
            <v>0</v>
          </cell>
          <cell r="H185">
            <v>2</v>
          </cell>
          <cell r="I185">
            <v>20</v>
          </cell>
          <cell r="J185">
            <v>3</v>
          </cell>
          <cell r="M185">
            <v>23</v>
          </cell>
          <cell r="Q185">
            <v>1</v>
          </cell>
        </row>
        <row r="186">
          <cell r="C186">
            <v>3571</v>
          </cell>
          <cell r="D186" t="str">
            <v>KOTA KEDIRI</v>
          </cell>
          <cell r="E186">
            <v>0.2</v>
          </cell>
          <cell r="F186">
            <v>113</v>
          </cell>
          <cell r="G186">
            <v>1</v>
          </cell>
          <cell r="H186">
            <v>3</v>
          </cell>
          <cell r="J186">
            <v>46</v>
          </cell>
          <cell r="M186">
            <v>46</v>
          </cell>
        </row>
        <row r="187">
          <cell r="C187">
            <v>3572</v>
          </cell>
          <cell r="D187" t="str">
            <v>KOTA BLITAR</v>
          </cell>
          <cell r="E187">
            <v>0.2</v>
          </cell>
          <cell r="F187">
            <v>96</v>
          </cell>
          <cell r="G187">
            <v>0</v>
          </cell>
          <cell r="H187">
            <v>3</v>
          </cell>
          <cell r="J187">
            <v>21</v>
          </cell>
          <cell r="M187">
            <v>21</v>
          </cell>
          <cell r="O187">
            <v>1</v>
          </cell>
        </row>
        <row r="188">
          <cell r="C188">
            <v>3573</v>
          </cell>
          <cell r="D188" t="str">
            <v>KOTA MALANG</v>
          </cell>
          <cell r="E188">
            <v>0.2</v>
          </cell>
          <cell r="F188">
            <v>114</v>
          </cell>
          <cell r="G188">
            <v>1</v>
          </cell>
          <cell r="H188">
            <v>5</v>
          </cell>
          <cell r="I188">
            <v>50</v>
          </cell>
          <cell r="J188">
            <v>7</v>
          </cell>
          <cell r="M188">
            <v>57</v>
          </cell>
        </row>
        <row r="189">
          <cell r="C189">
            <v>3574</v>
          </cell>
          <cell r="D189" t="str">
            <v>KOTA PROBOLINGGO</v>
          </cell>
          <cell r="E189">
            <v>0.2</v>
          </cell>
          <cell r="F189">
            <v>102</v>
          </cell>
          <cell r="G189">
            <v>0</v>
          </cell>
          <cell r="H189">
            <v>5</v>
          </cell>
          <cell r="I189">
            <v>13</v>
          </cell>
          <cell r="J189">
            <v>16</v>
          </cell>
          <cell r="M189">
            <v>29</v>
          </cell>
        </row>
        <row r="190">
          <cell r="C190">
            <v>3575</v>
          </cell>
          <cell r="D190" t="str">
            <v>KOTA PASURUAN</v>
          </cell>
          <cell r="E190">
            <v>0.2</v>
          </cell>
          <cell r="F190">
            <v>115</v>
          </cell>
          <cell r="G190">
            <v>1</v>
          </cell>
          <cell r="H190">
            <v>3</v>
          </cell>
          <cell r="I190">
            <v>24</v>
          </cell>
          <cell r="J190">
            <v>10</v>
          </cell>
          <cell r="M190">
            <v>34</v>
          </cell>
          <cell r="Q190">
            <v>0</v>
          </cell>
        </row>
        <row r="191">
          <cell r="C191">
            <v>3576</v>
          </cell>
          <cell r="D191" t="str">
            <v>KOTA MOJOKERTO</v>
          </cell>
          <cell r="E191">
            <v>0.3</v>
          </cell>
          <cell r="F191">
            <v>105</v>
          </cell>
          <cell r="G191">
            <v>0</v>
          </cell>
          <cell r="H191">
            <v>2</v>
          </cell>
          <cell r="I191">
            <v>6</v>
          </cell>
          <cell r="J191">
            <v>12</v>
          </cell>
          <cell r="M191">
            <v>18</v>
          </cell>
        </row>
        <row r="192">
          <cell r="C192">
            <v>3577</v>
          </cell>
          <cell r="D192" t="str">
            <v>KOTA MADIUN</v>
          </cell>
          <cell r="E192">
            <v>0.2</v>
          </cell>
          <cell r="F192">
            <v>116</v>
          </cell>
          <cell r="G192">
            <v>1</v>
          </cell>
          <cell r="H192">
            <v>3</v>
          </cell>
          <cell r="J192">
            <v>27</v>
          </cell>
          <cell r="M192">
            <v>27</v>
          </cell>
        </row>
        <row r="193">
          <cell r="C193">
            <v>3578</v>
          </cell>
          <cell r="D193" t="str">
            <v>KOTA SURABAYA</v>
          </cell>
          <cell r="E193">
            <v>0.2</v>
          </cell>
          <cell r="F193">
            <v>117</v>
          </cell>
          <cell r="G193">
            <v>1</v>
          </cell>
          <cell r="H193">
            <v>31</v>
          </cell>
          <cell r="I193">
            <v>31</v>
          </cell>
          <cell r="J193">
            <v>132</v>
          </cell>
          <cell r="M193">
            <v>163</v>
          </cell>
        </row>
        <row r="194">
          <cell r="C194">
            <v>3579</v>
          </cell>
          <cell r="D194" t="str">
            <v>KOTA BATU</v>
          </cell>
          <cell r="E194">
            <v>0.2</v>
          </cell>
          <cell r="F194">
            <v>98</v>
          </cell>
          <cell r="G194">
            <v>0</v>
          </cell>
          <cell r="H194">
            <v>3</v>
          </cell>
          <cell r="I194">
            <v>3</v>
          </cell>
          <cell r="J194">
            <v>21</v>
          </cell>
          <cell r="M194">
            <v>24</v>
          </cell>
          <cell r="O194">
            <v>1</v>
          </cell>
          <cell r="Q194">
            <v>1</v>
          </cell>
        </row>
        <row r="195">
          <cell r="B195" t="str">
            <v>JAWA TIMUR Total</v>
          </cell>
          <cell r="D195">
            <v>36</v>
          </cell>
          <cell r="G195">
            <v>25</v>
          </cell>
          <cell r="H195">
            <v>154</v>
          </cell>
          <cell r="I195">
            <v>621</v>
          </cell>
          <cell r="J195">
            <v>1263</v>
          </cell>
          <cell r="K195">
            <v>0</v>
          </cell>
          <cell r="M195">
            <v>1884</v>
          </cell>
          <cell r="N195">
            <v>2</v>
          </cell>
          <cell r="O195">
            <v>21</v>
          </cell>
          <cell r="P195">
            <v>1</v>
          </cell>
          <cell r="Q195">
            <v>7</v>
          </cell>
        </row>
        <row r="196">
          <cell r="A196">
            <v>36</v>
          </cell>
          <cell r="B196" t="str">
            <v>BANTEN</v>
          </cell>
          <cell r="C196">
            <v>3601</v>
          </cell>
          <cell r="D196" t="str">
            <v>PANDEGLANG</v>
          </cell>
          <cell r="E196">
            <v>0.2</v>
          </cell>
          <cell r="F196">
            <v>119</v>
          </cell>
          <cell r="G196">
            <v>0</v>
          </cell>
          <cell r="H196">
            <v>2</v>
          </cell>
          <cell r="I196">
            <v>4</v>
          </cell>
          <cell r="J196">
            <v>9</v>
          </cell>
          <cell r="M196">
            <v>13</v>
          </cell>
          <cell r="P196">
            <v>1</v>
          </cell>
          <cell r="Q196">
            <v>1</v>
          </cell>
        </row>
        <row r="197">
          <cell r="C197">
            <v>3602</v>
          </cell>
          <cell r="D197" t="str">
            <v>LEBAK</v>
          </cell>
          <cell r="E197">
            <v>0.2</v>
          </cell>
          <cell r="F197">
            <v>119</v>
          </cell>
          <cell r="G197">
            <v>0</v>
          </cell>
          <cell r="H197">
            <v>1</v>
          </cell>
          <cell r="I197">
            <v>6</v>
          </cell>
          <cell r="J197">
            <v>9</v>
          </cell>
          <cell r="M197">
            <v>15</v>
          </cell>
          <cell r="Q197">
            <v>1</v>
          </cell>
        </row>
        <row r="198">
          <cell r="C198">
            <v>3603</v>
          </cell>
          <cell r="D198" t="str">
            <v>TANGERANG</v>
          </cell>
          <cell r="E198">
            <v>0.2</v>
          </cell>
          <cell r="F198">
            <v>120</v>
          </cell>
          <cell r="G198">
            <v>1</v>
          </cell>
          <cell r="H198">
            <v>10</v>
          </cell>
          <cell r="I198">
            <v>59</v>
          </cell>
          <cell r="J198">
            <v>37</v>
          </cell>
          <cell r="M198">
            <v>96</v>
          </cell>
          <cell r="Q198">
            <v>1</v>
          </cell>
        </row>
        <row r="199">
          <cell r="C199">
            <v>3671</v>
          </cell>
          <cell r="D199" t="str">
            <v>KOTA TANGERANG</v>
          </cell>
          <cell r="E199">
            <v>0.2</v>
          </cell>
          <cell r="F199">
            <v>121</v>
          </cell>
          <cell r="G199">
            <v>1</v>
          </cell>
          <cell r="H199">
            <v>13</v>
          </cell>
          <cell r="I199">
            <v>47</v>
          </cell>
          <cell r="J199">
            <v>57</v>
          </cell>
          <cell r="M199">
            <v>104</v>
          </cell>
        </row>
        <row r="200">
          <cell r="C200">
            <v>3672</v>
          </cell>
          <cell r="D200" t="str">
            <v>KOTA CILEGON</v>
          </cell>
          <cell r="E200">
            <v>0.2</v>
          </cell>
          <cell r="F200">
            <v>118</v>
          </cell>
          <cell r="G200">
            <v>1</v>
          </cell>
          <cell r="H200">
            <v>8</v>
          </cell>
          <cell r="I200">
            <v>10</v>
          </cell>
          <cell r="J200">
            <v>33</v>
          </cell>
          <cell r="M200">
            <v>43</v>
          </cell>
          <cell r="Q200">
            <v>0</v>
          </cell>
        </row>
        <row r="201">
          <cell r="C201">
            <v>3673</v>
          </cell>
          <cell r="D201" t="str">
            <v>KOTA SERANG</v>
          </cell>
          <cell r="E201">
            <v>0.2</v>
          </cell>
          <cell r="F201">
            <v>119</v>
          </cell>
          <cell r="G201">
            <v>1</v>
          </cell>
          <cell r="H201">
            <v>6</v>
          </cell>
          <cell r="I201">
            <v>16</v>
          </cell>
          <cell r="J201">
            <v>50</v>
          </cell>
          <cell r="M201">
            <v>66</v>
          </cell>
          <cell r="Q201">
            <v>1</v>
          </cell>
        </row>
        <row r="202">
          <cell r="C202">
            <v>3674</v>
          </cell>
          <cell r="D202" t="str">
            <v>KOTA TANGERANG SELATAN</v>
          </cell>
          <cell r="E202">
            <v>0.2</v>
          </cell>
          <cell r="F202">
            <v>120</v>
          </cell>
          <cell r="G202">
            <v>0</v>
          </cell>
          <cell r="H202">
            <v>4</v>
          </cell>
          <cell r="I202">
            <v>33</v>
          </cell>
          <cell r="J202">
            <v>2</v>
          </cell>
          <cell r="M202">
            <v>35</v>
          </cell>
          <cell r="O202">
            <v>1</v>
          </cell>
        </row>
        <row r="203">
          <cell r="B203" t="str">
            <v>BANTEN Total</v>
          </cell>
          <cell r="D203">
            <v>7</v>
          </cell>
          <cell r="G203">
            <v>4</v>
          </cell>
          <cell r="H203">
            <v>44</v>
          </cell>
          <cell r="I203">
            <v>175</v>
          </cell>
          <cell r="J203">
            <v>197</v>
          </cell>
          <cell r="K203">
            <v>0</v>
          </cell>
          <cell r="M203">
            <v>372</v>
          </cell>
          <cell r="N203">
            <v>0</v>
          </cell>
          <cell r="O203">
            <v>1</v>
          </cell>
          <cell r="P203">
            <v>1</v>
          </cell>
          <cell r="Q203">
            <v>4</v>
          </cell>
        </row>
        <row r="204">
          <cell r="A204">
            <v>51</v>
          </cell>
          <cell r="B204" t="str">
            <v>BALI</v>
          </cell>
          <cell r="C204">
            <v>5103</v>
          </cell>
          <cell r="D204" t="str">
            <v>BADUNG</v>
          </cell>
          <cell r="E204">
            <v>0.3</v>
          </cell>
          <cell r="F204">
            <v>122</v>
          </cell>
          <cell r="G204">
            <v>0</v>
          </cell>
          <cell r="H204">
            <v>2</v>
          </cell>
          <cell r="I204">
            <v>11</v>
          </cell>
          <cell r="M204">
            <v>11</v>
          </cell>
          <cell r="P204">
            <v>2</v>
          </cell>
          <cell r="Q204">
            <v>1</v>
          </cell>
        </row>
        <row r="205">
          <cell r="C205">
            <v>5104</v>
          </cell>
          <cell r="D205" t="str">
            <v>GIANYAR</v>
          </cell>
          <cell r="E205">
            <v>0.2</v>
          </cell>
          <cell r="F205">
            <v>123</v>
          </cell>
          <cell r="G205">
            <v>0</v>
          </cell>
          <cell r="H205">
            <v>2</v>
          </cell>
          <cell r="I205">
            <v>17</v>
          </cell>
          <cell r="M205">
            <v>17</v>
          </cell>
          <cell r="Q205">
            <v>1</v>
          </cell>
        </row>
        <row r="206">
          <cell r="C206">
            <v>5105</v>
          </cell>
          <cell r="D206" t="str">
            <v>KLUNGKUNG</v>
          </cell>
          <cell r="E206">
            <v>0.2</v>
          </cell>
          <cell r="F206">
            <v>123</v>
          </cell>
          <cell r="G206">
            <v>1</v>
          </cell>
          <cell r="H206">
            <v>2</v>
          </cell>
          <cell r="I206">
            <v>30</v>
          </cell>
          <cell r="M206">
            <v>30</v>
          </cell>
          <cell r="Q206">
            <v>1</v>
          </cell>
        </row>
        <row r="207">
          <cell r="C207">
            <v>5108</v>
          </cell>
          <cell r="D207" t="str">
            <v>BULELENG</v>
          </cell>
          <cell r="E207">
            <v>0.2</v>
          </cell>
          <cell r="F207">
            <v>122</v>
          </cell>
          <cell r="G207">
            <v>0</v>
          </cell>
          <cell r="H207">
            <v>1</v>
          </cell>
          <cell r="I207">
            <v>28</v>
          </cell>
          <cell r="J207">
            <v>1</v>
          </cell>
          <cell r="M207">
            <v>29</v>
          </cell>
          <cell r="Q207">
            <v>1</v>
          </cell>
        </row>
        <row r="208">
          <cell r="C208">
            <v>5171</v>
          </cell>
          <cell r="D208" t="str">
            <v>KOTA DENPASAR</v>
          </cell>
          <cell r="E208">
            <v>0.2</v>
          </cell>
          <cell r="F208">
            <v>122</v>
          </cell>
          <cell r="G208">
            <v>1</v>
          </cell>
          <cell r="H208">
            <v>4</v>
          </cell>
          <cell r="I208">
            <v>43</v>
          </cell>
          <cell r="M208">
            <v>43</v>
          </cell>
          <cell r="Q208">
            <v>1</v>
          </cell>
        </row>
        <row r="209">
          <cell r="B209" t="str">
            <v>BALI Total</v>
          </cell>
          <cell r="D209">
            <v>5</v>
          </cell>
          <cell r="G209">
            <v>2</v>
          </cell>
          <cell r="H209">
            <v>11</v>
          </cell>
          <cell r="I209">
            <v>129</v>
          </cell>
          <cell r="J209">
            <v>1</v>
          </cell>
          <cell r="K209">
            <v>0</v>
          </cell>
          <cell r="M209">
            <v>130</v>
          </cell>
          <cell r="N209">
            <v>0</v>
          </cell>
          <cell r="O209">
            <v>0</v>
          </cell>
          <cell r="P209">
            <v>2</v>
          </cell>
          <cell r="Q209">
            <v>5</v>
          </cell>
        </row>
        <row r="210">
          <cell r="A210">
            <v>52</v>
          </cell>
          <cell r="B210" t="str">
            <v>NUSA TENGGARA BARAT</v>
          </cell>
          <cell r="C210">
            <v>5201</v>
          </cell>
          <cell r="D210" t="str">
            <v>LOMBOK BARAT</v>
          </cell>
          <cell r="E210">
            <v>0.2</v>
          </cell>
          <cell r="F210">
            <v>124</v>
          </cell>
          <cell r="G210">
            <v>0</v>
          </cell>
          <cell r="H210">
            <v>2</v>
          </cell>
          <cell r="J210">
            <v>18</v>
          </cell>
          <cell r="M210">
            <v>18</v>
          </cell>
          <cell r="N210">
            <v>1</v>
          </cell>
          <cell r="O210">
            <v>1</v>
          </cell>
          <cell r="P210">
            <v>0</v>
          </cell>
          <cell r="Q210">
            <v>0</v>
          </cell>
        </row>
        <row r="211">
          <cell r="C211">
            <v>5202</v>
          </cell>
          <cell r="D211" t="str">
            <v>LOMBOK TENGAH</v>
          </cell>
          <cell r="E211">
            <v>0.2</v>
          </cell>
          <cell r="F211">
            <v>125</v>
          </cell>
          <cell r="G211">
            <v>1</v>
          </cell>
          <cell r="H211">
            <v>2</v>
          </cell>
          <cell r="I211">
            <v>2</v>
          </cell>
          <cell r="J211">
            <v>21</v>
          </cell>
          <cell r="M211">
            <v>23</v>
          </cell>
          <cell r="O211">
            <v>1</v>
          </cell>
          <cell r="Q211">
            <v>1</v>
          </cell>
        </row>
        <row r="212">
          <cell r="C212">
            <v>5203</v>
          </cell>
          <cell r="D212" t="str">
            <v>LOMBOK TIMUR</v>
          </cell>
          <cell r="E212">
            <v>0.2</v>
          </cell>
          <cell r="F212">
            <v>126</v>
          </cell>
          <cell r="G212">
            <v>1</v>
          </cell>
          <cell r="H212">
            <v>6</v>
          </cell>
          <cell r="J212">
            <v>44</v>
          </cell>
          <cell r="M212">
            <v>44</v>
          </cell>
          <cell r="O212">
            <v>4</v>
          </cell>
          <cell r="Q212">
            <v>1</v>
          </cell>
        </row>
        <row r="213">
          <cell r="C213">
            <v>5204</v>
          </cell>
          <cell r="D213" t="str">
            <v>SUMBAWA</v>
          </cell>
          <cell r="E213">
            <v>0.2</v>
          </cell>
          <cell r="F213">
            <v>126</v>
          </cell>
          <cell r="G213">
            <v>0</v>
          </cell>
          <cell r="H213">
            <v>2</v>
          </cell>
          <cell r="I213">
            <v>6</v>
          </cell>
          <cell r="J213">
            <v>10</v>
          </cell>
          <cell r="M213">
            <v>16</v>
          </cell>
          <cell r="O213">
            <v>1</v>
          </cell>
          <cell r="Q213">
            <v>1</v>
          </cell>
        </row>
        <row r="214">
          <cell r="C214">
            <v>5271</v>
          </cell>
          <cell r="D214" t="str">
            <v>KOTA MATARAM</v>
          </cell>
          <cell r="E214">
            <v>0.2</v>
          </cell>
          <cell r="F214">
            <v>124</v>
          </cell>
          <cell r="G214">
            <v>1</v>
          </cell>
          <cell r="H214">
            <v>6</v>
          </cell>
          <cell r="I214">
            <v>15</v>
          </cell>
          <cell r="J214">
            <v>35</v>
          </cell>
          <cell r="M214">
            <v>50</v>
          </cell>
          <cell r="O214">
            <v>2</v>
          </cell>
          <cell r="Q214">
            <v>1</v>
          </cell>
        </row>
        <row r="215">
          <cell r="C215">
            <v>5272</v>
          </cell>
          <cell r="D215" t="str">
            <v>KOTA BIMA</v>
          </cell>
          <cell r="E215">
            <v>0.2</v>
          </cell>
          <cell r="F215">
            <v>127</v>
          </cell>
          <cell r="G215">
            <v>1</v>
          </cell>
          <cell r="H215">
            <v>5</v>
          </cell>
          <cell r="I215">
            <v>10</v>
          </cell>
          <cell r="J215">
            <v>28</v>
          </cell>
          <cell r="M215">
            <v>38</v>
          </cell>
          <cell r="O215">
            <v>5</v>
          </cell>
          <cell r="Q215">
            <v>0</v>
          </cell>
        </row>
        <row r="216">
          <cell r="D216" t="str">
            <v>KAB BIMA</v>
          </cell>
          <cell r="F216">
            <v>127</v>
          </cell>
          <cell r="G216">
            <v>0</v>
          </cell>
          <cell r="K216">
            <v>26</v>
          </cell>
          <cell r="M216">
            <v>26</v>
          </cell>
          <cell r="Q216">
            <v>0</v>
          </cell>
        </row>
        <row r="217">
          <cell r="B217" t="str">
            <v>NUSA TENGGARA BARAT Total</v>
          </cell>
          <cell r="D217">
            <v>7</v>
          </cell>
          <cell r="G217">
            <v>4</v>
          </cell>
          <cell r="H217">
            <v>23</v>
          </cell>
          <cell r="I217">
            <v>33</v>
          </cell>
          <cell r="J217">
            <v>156</v>
          </cell>
          <cell r="K217">
            <v>26</v>
          </cell>
          <cell r="L217">
            <v>0</v>
          </cell>
          <cell r="M217">
            <v>215</v>
          </cell>
          <cell r="N217">
            <v>1</v>
          </cell>
          <cell r="O217">
            <v>14</v>
          </cell>
          <cell r="P217">
            <v>0</v>
          </cell>
          <cell r="Q217">
            <v>4</v>
          </cell>
        </row>
        <row r="218">
          <cell r="A218">
            <v>53</v>
          </cell>
          <cell r="B218" t="str">
            <v>NUSA TENGGARA TIMUR</v>
          </cell>
          <cell r="C218">
            <v>5301</v>
          </cell>
          <cell r="D218" t="str">
            <v>SUMBA BARAT</v>
          </cell>
          <cell r="E218">
            <v>0.2</v>
          </cell>
          <cell r="F218">
            <v>129</v>
          </cell>
          <cell r="G218">
            <v>0</v>
          </cell>
          <cell r="H218">
            <v>1</v>
          </cell>
          <cell r="I218">
            <v>6</v>
          </cell>
          <cell r="J218">
            <v>5</v>
          </cell>
          <cell r="M218">
            <v>11</v>
          </cell>
          <cell r="P218">
            <v>2</v>
          </cell>
        </row>
        <row r="219">
          <cell r="C219">
            <v>5302</v>
          </cell>
          <cell r="D219" t="str">
            <v>SUMBA TIMUR</v>
          </cell>
          <cell r="E219">
            <v>0.2</v>
          </cell>
          <cell r="F219">
            <v>129</v>
          </cell>
          <cell r="G219">
            <v>1</v>
          </cell>
          <cell r="H219">
            <v>1</v>
          </cell>
          <cell r="I219">
            <v>2</v>
          </cell>
          <cell r="J219">
            <v>5</v>
          </cell>
          <cell r="M219">
            <v>7</v>
          </cell>
        </row>
        <row r="220">
          <cell r="C220">
            <v>5304</v>
          </cell>
          <cell r="D220" t="str">
            <v>TIMOR TENGAH SELATAN</v>
          </cell>
          <cell r="E220">
            <v>0.2</v>
          </cell>
          <cell r="F220">
            <v>128</v>
          </cell>
          <cell r="G220">
            <v>0</v>
          </cell>
          <cell r="H220">
            <v>1</v>
          </cell>
          <cell r="I220">
            <v>9</v>
          </cell>
          <cell r="J220">
            <v>4</v>
          </cell>
          <cell r="M220">
            <v>13</v>
          </cell>
          <cell r="Q220">
            <v>0</v>
          </cell>
        </row>
        <row r="221">
          <cell r="C221">
            <v>5306</v>
          </cell>
          <cell r="D221" t="str">
            <v>BELU</v>
          </cell>
          <cell r="E221">
            <v>0.2</v>
          </cell>
          <cell r="F221">
            <v>128</v>
          </cell>
          <cell r="G221">
            <v>0</v>
          </cell>
          <cell r="H221">
            <v>1</v>
          </cell>
          <cell r="I221">
            <v>1</v>
          </cell>
          <cell r="J221">
            <v>3</v>
          </cell>
          <cell r="M221">
            <v>4</v>
          </cell>
        </row>
        <row r="222">
          <cell r="C222">
            <v>5310</v>
          </cell>
          <cell r="D222" t="str">
            <v>SIKKA</v>
          </cell>
          <cell r="E222">
            <v>0.2</v>
          </cell>
          <cell r="F222">
            <v>130</v>
          </cell>
          <cell r="G222">
            <v>0</v>
          </cell>
          <cell r="H222">
            <v>1</v>
          </cell>
          <cell r="I222">
            <v>4</v>
          </cell>
          <cell r="J222">
            <v>3</v>
          </cell>
          <cell r="M222">
            <v>7</v>
          </cell>
        </row>
        <row r="223">
          <cell r="C223">
            <v>5311</v>
          </cell>
          <cell r="D223" t="str">
            <v>ENDE</v>
          </cell>
          <cell r="E223">
            <v>0.2</v>
          </cell>
          <cell r="F223">
            <v>130</v>
          </cell>
          <cell r="G223">
            <v>1</v>
          </cell>
          <cell r="H223">
            <v>1</v>
          </cell>
          <cell r="I223">
            <v>2</v>
          </cell>
          <cell r="J223">
            <v>3</v>
          </cell>
          <cell r="M223">
            <v>5</v>
          </cell>
        </row>
        <row r="224">
          <cell r="C224">
            <v>5312</v>
          </cell>
          <cell r="D224" t="str">
            <v>NGADA</v>
          </cell>
          <cell r="E224">
            <v>0.2</v>
          </cell>
          <cell r="F224">
            <v>130</v>
          </cell>
          <cell r="G224">
            <v>0</v>
          </cell>
          <cell r="H224">
            <v>1</v>
          </cell>
          <cell r="I224">
            <v>9</v>
          </cell>
          <cell r="J224">
            <v>8</v>
          </cell>
          <cell r="M224">
            <v>17</v>
          </cell>
          <cell r="Q224">
            <v>1</v>
          </cell>
        </row>
        <row r="225">
          <cell r="C225">
            <v>5313</v>
          </cell>
          <cell r="D225" t="str">
            <v>MANGGARAI</v>
          </cell>
          <cell r="E225">
            <v>0.2</v>
          </cell>
          <cell r="F225">
            <v>130</v>
          </cell>
          <cell r="G225">
            <v>0</v>
          </cell>
          <cell r="H225">
            <v>1</v>
          </cell>
          <cell r="I225">
            <v>1</v>
          </cell>
          <cell r="J225">
            <v>10</v>
          </cell>
          <cell r="M225">
            <v>11</v>
          </cell>
        </row>
        <row r="226">
          <cell r="C226">
            <v>5371</v>
          </cell>
          <cell r="D226" t="str">
            <v>KOTA KUPANG</v>
          </cell>
          <cell r="E226">
            <v>0.2</v>
          </cell>
          <cell r="F226">
            <v>128</v>
          </cell>
          <cell r="G226">
            <v>1</v>
          </cell>
          <cell r="H226">
            <v>4</v>
          </cell>
          <cell r="I226">
            <v>34</v>
          </cell>
          <cell r="J226">
            <v>15</v>
          </cell>
          <cell r="M226">
            <v>49</v>
          </cell>
          <cell r="Q226">
            <v>1</v>
          </cell>
        </row>
        <row r="227">
          <cell r="B227" t="str">
            <v>NUSA TENGGARA TIMUR Total</v>
          </cell>
          <cell r="D227">
            <v>9</v>
          </cell>
          <cell r="G227">
            <v>3</v>
          </cell>
          <cell r="H227">
            <v>12</v>
          </cell>
          <cell r="I227">
            <v>68</v>
          </cell>
          <cell r="J227">
            <v>56</v>
          </cell>
          <cell r="K227">
            <v>0</v>
          </cell>
          <cell r="M227">
            <v>124</v>
          </cell>
          <cell r="N227">
            <v>0</v>
          </cell>
          <cell r="O227">
            <v>0</v>
          </cell>
          <cell r="P227">
            <v>2</v>
          </cell>
          <cell r="Q227">
            <v>2</v>
          </cell>
        </row>
        <row r="228">
          <cell r="A228">
            <v>61</v>
          </cell>
          <cell r="B228" t="str">
            <v>KALIMANTAN BARAT</v>
          </cell>
          <cell r="C228">
            <v>6101</v>
          </cell>
          <cell r="D228" t="str">
            <v>SAMBAS</v>
          </cell>
          <cell r="E228">
            <v>0.2</v>
          </cell>
          <cell r="F228">
            <v>134</v>
          </cell>
          <cell r="G228">
            <v>0</v>
          </cell>
          <cell r="H228">
            <v>1</v>
          </cell>
          <cell r="J228">
            <v>18</v>
          </cell>
          <cell r="M228">
            <v>18</v>
          </cell>
          <cell r="P228">
            <v>1</v>
          </cell>
        </row>
        <row r="229">
          <cell r="C229">
            <v>6102</v>
          </cell>
          <cell r="D229" t="str">
            <v>BENGKAYANG</v>
          </cell>
          <cell r="E229">
            <v>0.2</v>
          </cell>
          <cell r="F229">
            <v>131</v>
          </cell>
          <cell r="G229">
            <v>1</v>
          </cell>
          <cell r="H229">
            <v>1</v>
          </cell>
          <cell r="I229">
            <v>3</v>
          </cell>
          <cell r="J229">
            <v>3</v>
          </cell>
          <cell r="M229">
            <v>6</v>
          </cell>
          <cell r="Q229">
            <v>1</v>
          </cell>
        </row>
        <row r="230">
          <cell r="C230">
            <v>6106</v>
          </cell>
          <cell r="D230" t="str">
            <v>KETAPANG</v>
          </cell>
          <cell r="E230">
            <v>0.2</v>
          </cell>
          <cell r="F230">
            <v>132</v>
          </cell>
          <cell r="G230">
            <v>1</v>
          </cell>
          <cell r="H230">
            <v>1</v>
          </cell>
          <cell r="I230">
            <v>4</v>
          </cell>
          <cell r="J230">
            <v>5</v>
          </cell>
          <cell r="M230">
            <v>9</v>
          </cell>
          <cell r="Q230">
            <v>1</v>
          </cell>
        </row>
        <row r="231">
          <cell r="C231">
            <v>6171</v>
          </cell>
          <cell r="D231" t="str">
            <v>KOTA PONTIANAK</v>
          </cell>
          <cell r="E231">
            <v>0.2</v>
          </cell>
          <cell r="F231">
            <v>133</v>
          </cell>
          <cell r="G231">
            <v>1</v>
          </cell>
          <cell r="H231">
            <v>6</v>
          </cell>
          <cell r="I231">
            <v>4</v>
          </cell>
          <cell r="J231">
            <v>25</v>
          </cell>
          <cell r="M231">
            <v>29</v>
          </cell>
          <cell r="Q231">
            <v>1</v>
          </cell>
        </row>
        <row r="232">
          <cell r="C232">
            <v>6172</v>
          </cell>
          <cell r="D232" t="str">
            <v>KOTA SINGKAWANG</v>
          </cell>
          <cell r="E232">
            <v>0.2</v>
          </cell>
          <cell r="F232">
            <v>134</v>
          </cell>
          <cell r="G232">
            <v>1</v>
          </cell>
          <cell r="H232">
            <v>5</v>
          </cell>
          <cell r="J232">
            <v>26</v>
          </cell>
          <cell r="M232">
            <v>26</v>
          </cell>
        </row>
        <row r="233">
          <cell r="D233" t="str">
            <v>KAB. LANDAK</v>
          </cell>
          <cell r="F233">
            <v>135</v>
          </cell>
          <cell r="G233">
            <v>1</v>
          </cell>
          <cell r="K233">
            <v>17</v>
          </cell>
          <cell r="M233">
            <v>17</v>
          </cell>
          <cell r="Q233">
            <v>1</v>
          </cell>
        </row>
        <row r="234">
          <cell r="B234" t="str">
            <v>KALIMANTAN BARAT Total</v>
          </cell>
          <cell r="D234">
            <v>6</v>
          </cell>
          <cell r="G234">
            <v>5</v>
          </cell>
          <cell r="H234">
            <v>14</v>
          </cell>
          <cell r="I234">
            <v>11</v>
          </cell>
          <cell r="J234">
            <v>77</v>
          </cell>
          <cell r="K234">
            <v>17</v>
          </cell>
          <cell r="L234">
            <v>0</v>
          </cell>
          <cell r="M234">
            <v>105</v>
          </cell>
          <cell r="N234">
            <v>0</v>
          </cell>
          <cell r="O234">
            <v>0</v>
          </cell>
          <cell r="P234">
            <v>1</v>
          </cell>
          <cell r="Q234">
            <v>4</v>
          </cell>
        </row>
        <row r="235">
          <cell r="A235">
            <v>62</v>
          </cell>
          <cell r="B235" t="str">
            <v>KALIMANTAN TENGAH</v>
          </cell>
          <cell r="C235">
            <v>6202</v>
          </cell>
          <cell r="D235" t="str">
            <v>KOTAWARINGIN TIMUR</v>
          </cell>
          <cell r="E235">
            <v>0.2</v>
          </cell>
          <cell r="F235">
            <v>136</v>
          </cell>
          <cell r="G235">
            <v>0</v>
          </cell>
          <cell r="H235">
            <v>1</v>
          </cell>
          <cell r="J235">
            <v>7</v>
          </cell>
          <cell r="M235">
            <v>7</v>
          </cell>
          <cell r="P235">
            <v>0</v>
          </cell>
        </row>
        <row r="236">
          <cell r="C236">
            <v>6271</v>
          </cell>
          <cell r="D236" t="str">
            <v>KOTA PALANGKA RAYA</v>
          </cell>
          <cell r="E236">
            <v>0.2</v>
          </cell>
          <cell r="F236">
            <v>136</v>
          </cell>
          <cell r="G236">
            <v>1</v>
          </cell>
          <cell r="H236">
            <v>5</v>
          </cell>
          <cell r="I236">
            <v>9</v>
          </cell>
          <cell r="J236">
            <v>21</v>
          </cell>
          <cell r="M236">
            <v>30</v>
          </cell>
          <cell r="Q236">
            <v>1</v>
          </cell>
        </row>
        <row r="237">
          <cell r="B237" t="str">
            <v>KALIMANTAN TENGAH Total</v>
          </cell>
          <cell r="D237">
            <v>2</v>
          </cell>
          <cell r="G237">
            <v>1</v>
          </cell>
          <cell r="H237">
            <v>6</v>
          </cell>
          <cell r="I237">
            <v>9</v>
          </cell>
          <cell r="J237">
            <v>28</v>
          </cell>
          <cell r="K237">
            <v>0</v>
          </cell>
          <cell r="M237">
            <v>37</v>
          </cell>
          <cell r="N237">
            <v>0</v>
          </cell>
          <cell r="O237">
            <v>0</v>
          </cell>
          <cell r="P237">
            <v>0</v>
          </cell>
          <cell r="Q237">
            <v>1</v>
          </cell>
        </row>
        <row r="238">
          <cell r="A238">
            <v>63</v>
          </cell>
          <cell r="B238" t="str">
            <v>KALIMANTAN SELATAN</v>
          </cell>
          <cell r="C238">
            <v>6301</v>
          </cell>
          <cell r="D238" t="str">
            <v>TANAH LAUT</v>
          </cell>
          <cell r="E238">
            <v>0.2</v>
          </cell>
          <cell r="F238">
            <v>137</v>
          </cell>
          <cell r="G238">
            <v>1</v>
          </cell>
          <cell r="H238">
            <v>1</v>
          </cell>
          <cell r="I238">
            <v>14</v>
          </cell>
          <cell r="J238">
            <v>6</v>
          </cell>
          <cell r="M238">
            <v>20</v>
          </cell>
          <cell r="O238">
            <v>1</v>
          </cell>
          <cell r="P238">
            <v>0</v>
          </cell>
          <cell r="Q238">
            <v>0</v>
          </cell>
        </row>
        <row r="239">
          <cell r="C239">
            <v>6302</v>
          </cell>
          <cell r="D239" t="str">
            <v>KOTA BARU</v>
          </cell>
          <cell r="E239">
            <v>0.3</v>
          </cell>
          <cell r="F239">
            <v>137</v>
          </cell>
          <cell r="G239">
            <v>0</v>
          </cell>
          <cell r="H239">
            <v>1</v>
          </cell>
          <cell r="J239">
            <v>21</v>
          </cell>
          <cell r="M239">
            <v>21</v>
          </cell>
        </row>
        <row r="240">
          <cell r="C240">
            <v>6303</v>
          </cell>
          <cell r="D240" t="str">
            <v>BANJAR</v>
          </cell>
          <cell r="E240">
            <v>0.2</v>
          </cell>
          <cell r="F240">
            <v>138</v>
          </cell>
          <cell r="G240">
            <v>1</v>
          </cell>
          <cell r="H240">
            <v>1</v>
          </cell>
          <cell r="I240">
            <v>9</v>
          </cell>
          <cell r="J240">
            <v>16</v>
          </cell>
          <cell r="M240">
            <v>25</v>
          </cell>
        </row>
        <row r="241">
          <cell r="C241">
            <v>6304</v>
          </cell>
          <cell r="D241" t="str">
            <v>BARITO KUALA</v>
          </cell>
          <cell r="E241">
            <v>0.2</v>
          </cell>
          <cell r="F241">
            <v>140</v>
          </cell>
          <cell r="G241">
            <v>0</v>
          </cell>
          <cell r="H241">
            <v>1</v>
          </cell>
          <cell r="I241">
            <v>3</v>
          </cell>
          <cell r="J241">
            <v>6</v>
          </cell>
          <cell r="M241">
            <v>9</v>
          </cell>
          <cell r="Q241">
            <v>1</v>
          </cell>
        </row>
        <row r="242">
          <cell r="C242">
            <v>6306</v>
          </cell>
          <cell r="D242" t="str">
            <v>HULU SUNGAI SELATAN</v>
          </cell>
          <cell r="E242">
            <v>0.2</v>
          </cell>
          <cell r="F242">
            <v>137</v>
          </cell>
          <cell r="G242">
            <v>0</v>
          </cell>
          <cell r="H242">
            <v>1</v>
          </cell>
          <cell r="I242">
            <v>18</v>
          </cell>
          <cell r="M242">
            <v>18</v>
          </cell>
          <cell r="Q242">
            <v>0</v>
          </cell>
        </row>
        <row r="243">
          <cell r="C243">
            <v>6307</v>
          </cell>
          <cell r="D243" t="str">
            <v>HULU SUNGAI TENGAH</v>
          </cell>
          <cell r="E243">
            <v>0.2</v>
          </cell>
          <cell r="F243">
            <v>139</v>
          </cell>
          <cell r="G243">
            <v>0</v>
          </cell>
          <cell r="H243">
            <v>1</v>
          </cell>
          <cell r="J243">
            <v>18</v>
          </cell>
          <cell r="M243">
            <v>18</v>
          </cell>
        </row>
        <row r="244">
          <cell r="C244">
            <v>6308</v>
          </cell>
          <cell r="D244" t="str">
            <v>HULU SUNGAI UTARA</v>
          </cell>
          <cell r="E244">
            <v>0.2</v>
          </cell>
          <cell r="F244">
            <v>139</v>
          </cell>
          <cell r="G244">
            <v>1</v>
          </cell>
          <cell r="H244">
            <v>1</v>
          </cell>
          <cell r="J244">
            <v>29</v>
          </cell>
          <cell r="M244">
            <v>29</v>
          </cell>
        </row>
        <row r="245">
          <cell r="C245">
            <v>6309</v>
          </cell>
          <cell r="D245" t="str">
            <v>TABALONG</v>
          </cell>
          <cell r="E245">
            <v>0.3</v>
          </cell>
          <cell r="F245">
            <v>139</v>
          </cell>
          <cell r="G245">
            <v>0</v>
          </cell>
          <cell r="H245">
            <v>2</v>
          </cell>
          <cell r="I245">
            <v>24</v>
          </cell>
          <cell r="J245">
            <v>1</v>
          </cell>
          <cell r="M245">
            <v>25</v>
          </cell>
          <cell r="N245">
            <v>1</v>
          </cell>
          <cell r="O245">
            <v>2</v>
          </cell>
          <cell r="Q245">
            <v>1</v>
          </cell>
        </row>
        <row r="246">
          <cell r="C246">
            <v>6371</v>
          </cell>
          <cell r="D246" t="str">
            <v>KOTA BANJARMASIN</v>
          </cell>
          <cell r="E246">
            <v>0.2</v>
          </cell>
          <cell r="F246">
            <v>140</v>
          </cell>
          <cell r="G246">
            <v>1</v>
          </cell>
          <cell r="H246">
            <v>5</v>
          </cell>
          <cell r="I246">
            <v>23</v>
          </cell>
          <cell r="J246">
            <v>27</v>
          </cell>
          <cell r="M246">
            <v>50</v>
          </cell>
          <cell r="O246">
            <v>1</v>
          </cell>
          <cell r="Q246">
            <v>1</v>
          </cell>
        </row>
        <row r="247">
          <cell r="C247">
            <v>6372</v>
          </cell>
          <cell r="D247" t="str">
            <v>KOTA BANJAR BARU</v>
          </cell>
          <cell r="E247">
            <v>0.2</v>
          </cell>
          <cell r="F247">
            <v>138</v>
          </cell>
          <cell r="G247">
            <v>0</v>
          </cell>
          <cell r="H247">
            <v>5</v>
          </cell>
          <cell r="J247">
            <v>20</v>
          </cell>
          <cell r="M247">
            <v>20</v>
          </cell>
        </row>
        <row r="248">
          <cell r="B248" t="str">
            <v>KALIMANTAN SELATAN Total</v>
          </cell>
          <cell r="D248">
            <v>10</v>
          </cell>
          <cell r="G248">
            <v>4</v>
          </cell>
          <cell r="H248">
            <v>19</v>
          </cell>
          <cell r="I248">
            <v>91</v>
          </cell>
          <cell r="J248">
            <v>144</v>
          </cell>
          <cell r="K248">
            <v>0</v>
          </cell>
          <cell r="M248">
            <v>235</v>
          </cell>
          <cell r="N248">
            <v>1</v>
          </cell>
          <cell r="O248">
            <v>4</v>
          </cell>
          <cell r="P248">
            <v>0</v>
          </cell>
          <cell r="Q248">
            <v>3</v>
          </cell>
        </row>
        <row r="249">
          <cell r="A249">
            <v>64</v>
          </cell>
          <cell r="B249" t="str">
            <v>KALIMANTAN TIMUR</v>
          </cell>
          <cell r="C249">
            <v>6401</v>
          </cell>
          <cell r="D249" t="str">
            <v>PASER</v>
          </cell>
          <cell r="E249">
            <v>0.3</v>
          </cell>
          <cell r="F249">
            <v>141</v>
          </cell>
          <cell r="G249">
            <v>0</v>
          </cell>
          <cell r="H249">
            <v>1</v>
          </cell>
          <cell r="J249">
            <v>14</v>
          </cell>
          <cell r="M249">
            <v>14</v>
          </cell>
          <cell r="P249">
            <v>1</v>
          </cell>
          <cell r="Q249">
            <v>1</v>
          </cell>
        </row>
        <row r="250">
          <cell r="C250">
            <v>6403</v>
          </cell>
          <cell r="D250" t="str">
            <v>KUTAI KARTANEGARA</v>
          </cell>
          <cell r="E250">
            <v>0.3</v>
          </cell>
          <cell r="F250">
            <v>142</v>
          </cell>
          <cell r="G250">
            <v>0</v>
          </cell>
          <cell r="H250">
            <v>2</v>
          </cell>
          <cell r="J250">
            <v>21</v>
          </cell>
          <cell r="M250">
            <v>21</v>
          </cell>
          <cell r="O250">
            <v>1</v>
          </cell>
          <cell r="Q250">
            <v>1</v>
          </cell>
        </row>
        <row r="251">
          <cell r="C251">
            <v>6405</v>
          </cell>
          <cell r="D251" t="str">
            <v>BERAU</v>
          </cell>
          <cell r="E251">
            <v>0.3</v>
          </cell>
          <cell r="F251">
            <v>143</v>
          </cell>
          <cell r="G251">
            <v>0</v>
          </cell>
          <cell r="H251">
            <v>1</v>
          </cell>
          <cell r="J251">
            <v>6</v>
          </cell>
          <cell r="M251">
            <v>6</v>
          </cell>
        </row>
        <row r="252">
          <cell r="C252">
            <v>6406</v>
          </cell>
          <cell r="D252" t="str">
            <v>MALINAU</v>
          </cell>
          <cell r="E252">
            <v>0.3</v>
          </cell>
          <cell r="F252">
            <v>143</v>
          </cell>
          <cell r="G252">
            <v>0</v>
          </cell>
          <cell r="H252">
            <v>1</v>
          </cell>
          <cell r="J252">
            <v>6</v>
          </cell>
          <cell r="M252">
            <v>6</v>
          </cell>
        </row>
        <row r="253">
          <cell r="C253">
            <v>6407</v>
          </cell>
          <cell r="D253" t="str">
            <v>BULONGAN</v>
          </cell>
          <cell r="E253">
            <v>0.3</v>
          </cell>
          <cell r="F253">
            <v>143</v>
          </cell>
          <cell r="G253">
            <v>0</v>
          </cell>
          <cell r="H253">
            <v>1</v>
          </cell>
          <cell r="J253">
            <v>3</v>
          </cell>
          <cell r="M253">
            <v>3</v>
          </cell>
        </row>
        <row r="254">
          <cell r="C254">
            <v>6408</v>
          </cell>
          <cell r="D254" t="str">
            <v>NUNUKAN</v>
          </cell>
          <cell r="E254">
            <v>0.3</v>
          </cell>
          <cell r="F254">
            <v>143</v>
          </cell>
          <cell r="G254">
            <v>0</v>
          </cell>
          <cell r="H254">
            <v>1</v>
          </cell>
          <cell r="J254">
            <v>8</v>
          </cell>
          <cell r="M254">
            <v>8</v>
          </cell>
        </row>
        <row r="255">
          <cell r="C255">
            <v>6471</v>
          </cell>
          <cell r="D255" t="str">
            <v>KOTA BALIKPAPAN</v>
          </cell>
          <cell r="E255">
            <v>0.3</v>
          </cell>
          <cell r="F255">
            <v>141</v>
          </cell>
          <cell r="G255">
            <v>1</v>
          </cell>
          <cell r="H255">
            <v>5</v>
          </cell>
          <cell r="J255">
            <v>27</v>
          </cell>
          <cell r="M255">
            <v>27</v>
          </cell>
        </row>
        <row r="256">
          <cell r="C256">
            <v>6472</v>
          </cell>
          <cell r="D256" t="str">
            <v>KOTA SAMARINDA</v>
          </cell>
          <cell r="E256">
            <v>0.3</v>
          </cell>
          <cell r="F256">
            <v>142</v>
          </cell>
          <cell r="G256">
            <v>1</v>
          </cell>
          <cell r="H256">
            <v>6</v>
          </cell>
          <cell r="J256">
            <v>53</v>
          </cell>
          <cell r="M256">
            <v>53</v>
          </cell>
        </row>
        <row r="257">
          <cell r="C257">
            <v>6473</v>
          </cell>
          <cell r="D257" t="str">
            <v>KOTA TARAKAN</v>
          </cell>
          <cell r="E257">
            <v>0.3</v>
          </cell>
          <cell r="F257">
            <v>143</v>
          </cell>
          <cell r="G257">
            <v>1</v>
          </cell>
          <cell r="H257">
            <v>4</v>
          </cell>
          <cell r="J257">
            <v>20</v>
          </cell>
          <cell r="M257">
            <v>20</v>
          </cell>
        </row>
        <row r="258">
          <cell r="C258">
            <v>6474</v>
          </cell>
          <cell r="D258" t="str">
            <v>KOTA BONTANG</v>
          </cell>
          <cell r="E258">
            <v>0.3</v>
          </cell>
          <cell r="F258">
            <v>142</v>
          </cell>
          <cell r="G258">
            <v>0</v>
          </cell>
          <cell r="H258">
            <v>3</v>
          </cell>
          <cell r="J258">
            <v>15</v>
          </cell>
          <cell r="M258">
            <v>15</v>
          </cell>
          <cell r="Q258">
            <v>1</v>
          </cell>
        </row>
        <row r="259">
          <cell r="B259" t="str">
            <v>KALIMANTAN TIMUR Total</v>
          </cell>
          <cell r="D259">
            <v>10</v>
          </cell>
          <cell r="G259">
            <v>3</v>
          </cell>
          <cell r="H259">
            <v>25</v>
          </cell>
          <cell r="I259">
            <v>0</v>
          </cell>
          <cell r="J259">
            <v>173</v>
          </cell>
          <cell r="K259">
            <v>0</v>
          </cell>
          <cell r="M259">
            <v>173</v>
          </cell>
          <cell r="N259">
            <v>0</v>
          </cell>
          <cell r="O259">
            <v>1</v>
          </cell>
          <cell r="P259">
            <v>1</v>
          </cell>
          <cell r="Q259">
            <v>3</v>
          </cell>
        </row>
        <row r="260">
          <cell r="A260">
            <v>71</v>
          </cell>
          <cell r="B260" t="str">
            <v>SULAWESI UTARA</v>
          </cell>
          <cell r="C260">
            <v>7102</v>
          </cell>
          <cell r="D260" t="str">
            <v>MINAHASA</v>
          </cell>
          <cell r="E260">
            <v>0.2</v>
          </cell>
          <cell r="F260">
            <v>144</v>
          </cell>
          <cell r="G260">
            <v>1</v>
          </cell>
          <cell r="H260">
            <v>5</v>
          </cell>
          <cell r="J260">
            <v>43</v>
          </cell>
          <cell r="M260">
            <v>43</v>
          </cell>
          <cell r="P260">
            <v>0</v>
          </cell>
        </row>
        <row r="261">
          <cell r="C261">
            <v>7103</v>
          </cell>
          <cell r="D261" t="str">
            <v>KEPULAUAN SANGIHE</v>
          </cell>
          <cell r="E261">
            <v>0.2</v>
          </cell>
          <cell r="F261">
            <v>145</v>
          </cell>
          <cell r="G261">
            <v>0</v>
          </cell>
          <cell r="H261">
            <v>3</v>
          </cell>
          <cell r="I261">
            <v>20</v>
          </cell>
          <cell r="J261">
            <v>2</v>
          </cell>
          <cell r="M261">
            <v>22</v>
          </cell>
        </row>
        <row r="262">
          <cell r="C262">
            <v>7106</v>
          </cell>
          <cell r="D262" t="str">
            <v>MINAHASA UTARA</v>
          </cell>
          <cell r="E262">
            <v>0.2</v>
          </cell>
          <cell r="F262">
            <v>146</v>
          </cell>
          <cell r="G262">
            <v>0</v>
          </cell>
          <cell r="H262">
            <v>1</v>
          </cell>
          <cell r="I262">
            <v>9</v>
          </cell>
          <cell r="M262">
            <v>9</v>
          </cell>
        </row>
        <row r="263">
          <cell r="C263">
            <v>7171</v>
          </cell>
          <cell r="D263" t="str">
            <v>KOTA MANADO</v>
          </cell>
          <cell r="E263">
            <v>0.2</v>
          </cell>
          <cell r="F263">
            <v>145</v>
          </cell>
          <cell r="G263">
            <v>1</v>
          </cell>
          <cell r="H263">
            <v>9</v>
          </cell>
          <cell r="I263">
            <v>46</v>
          </cell>
          <cell r="J263">
            <v>41</v>
          </cell>
          <cell r="M263">
            <v>87</v>
          </cell>
        </row>
        <row r="264">
          <cell r="C264">
            <v>7172</v>
          </cell>
          <cell r="D264" t="str">
            <v>KOTA BITUNG</v>
          </cell>
          <cell r="E264">
            <v>0.2</v>
          </cell>
          <cell r="F264">
            <v>146</v>
          </cell>
          <cell r="G264">
            <v>1</v>
          </cell>
          <cell r="H264">
            <v>8</v>
          </cell>
          <cell r="J264">
            <v>69</v>
          </cell>
          <cell r="M264">
            <v>69</v>
          </cell>
        </row>
        <row r="265">
          <cell r="C265">
            <v>7173</v>
          </cell>
          <cell r="D265" t="str">
            <v>KOTA TOMOHON</v>
          </cell>
          <cell r="E265">
            <v>0.3</v>
          </cell>
          <cell r="F265">
            <v>147</v>
          </cell>
          <cell r="G265">
            <v>1</v>
          </cell>
          <cell r="H265">
            <v>5</v>
          </cell>
          <cell r="I265">
            <v>23</v>
          </cell>
          <cell r="J265">
            <v>12</v>
          </cell>
          <cell r="M265">
            <v>35</v>
          </cell>
          <cell r="O265">
            <v>2</v>
          </cell>
          <cell r="Q265">
            <v>0</v>
          </cell>
        </row>
        <row r="266">
          <cell r="C266">
            <v>7174</v>
          </cell>
          <cell r="D266" t="str">
            <v>KOTA MOBAGU</v>
          </cell>
          <cell r="E266">
            <v>0.2</v>
          </cell>
          <cell r="F266">
            <v>148</v>
          </cell>
          <cell r="G266">
            <v>1</v>
          </cell>
          <cell r="H266">
            <v>4</v>
          </cell>
          <cell r="J266">
            <v>32</v>
          </cell>
          <cell r="M266">
            <v>32</v>
          </cell>
        </row>
        <row r="267">
          <cell r="B267" t="str">
            <v>SULAWESI UTARA Total</v>
          </cell>
          <cell r="D267">
            <v>7</v>
          </cell>
          <cell r="G267">
            <v>5</v>
          </cell>
          <cell r="H267">
            <v>35</v>
          </cell>
          <cell r="I267">
            <v>98</v>
          </cell>
          <cell r="J267">
            <v>199</v>
          </cell>
          <cell r="K267">
            <v>0</v>
          </cell>
          <cell r="M267">
            <v>297</v>
          </cell>
          <cell r="N267">
            <v>0</v>
          </cell>
          <cell r="O267">
            <v>2</v>
          </cell>
          <cell r="P267">
            <v>0</v>
          </cell>
          <cell r="Q267">
            <v>0</v>
          </cell>
        </row>
        <row r="268">
          <cell r="A268">
            <v>72</v>
          </cell>
          <cell r="B268" t="str">
            <v>SULAWESI TENGAH</v>
          </cell>
          <cell r="C268">
            <v>7204</v>
          </cell>
          <cell r="D268" t="str">
            <v>POSO</v>
          </cell>
          <cell r="E268">
            <v>0.2</v>
          </cell>
          <cell r="F268">
            <v>149</v>
          </cell>
          <cell r="G268">
            <v>0</v>
          </cell>
          <cell r="H268">
            <v>1</v>
          </cell>
          <cell r="J268">
            <v>4</v>
          </cell>
          <cell r="M268">
            <v>4</v>
          </cell>
          <cell r="P268">
            <v>0</v>
          </cell>
        </row>
        <row r="269">
          <cell r="C269">
            <v>7206</v>
          </cell>
          <cell r="D269" t="str">
            <v>TOLI-TOLI</v>
          </cell>
          <cell r="E269">
            <v>0.2</v>
          </cell>
          <cell r="F269">
            <v>149</v>
          </cell>
          <cell r="G269">
            <v>0</v>
          </cell>
          <cell r="H269">
            <v>1</v>
          </cell>
          <cell r="J269">
            <v>8</v>
          </cell>
          <cell r="M269">
            <v>8</v>
          </cell>
        </row>
        <row r="270">
          <cell r="C270">
            <v>7271</v>
          </cell>
          <cell r="D270" t="str">
            <v>KOTA PALU</v>
          </cell>
          <cell r="E270">
            <v>0.2</v>
          </cell>
          <cell r="F270">
            <v>149</v>
          </cell>
          <cell r="G270">
            <v>1</v>
          </cell>
          <cell r="H270">
            <v>4</v>
          </cell>
          <cell r="I270">
            <v>27</v>
          </cell>
          <cell r="J270">
            <v>16</v>
          </cell>
          <cell r="M270">
            <v>43</v>
          </cell>
          <cell r="O270">
            <v>3</v>
          </cell>
          <cell r="Q270">
            <v>1</v>
          </cell>
        </row>
        <row r="271">
          <cell r="B271" t="str">
            <v>SULAWESI TENGAH Total</v>
          </cell>
          <cell r="D271">
            <v>3</v>
          </cell>
          <cell r="G271">
            <v>1</v>
          </cell>
          <cell r="H271">
            <v>6</v>
          </cell>
          <cell r="I271">
            <v>27</v>
          </cell>
          <cell r="J271">
            <v>28</v>
          </cell>
          <cell r="K271">
            <v>0</v>
          </cell>
          <cell r="M271">
            <v>55</v>
          </cell>
          <cell r="N271">
            <v>0</v>
          </cell>
          <cell r="O271">
            <v>3</v>
          </cell>
          <cell r="P271">
            <v>0</v>
          </cell>
          <cell r="Q271">
            <v>1</v>
          </cell>
        </row>
        <row r="272">
          <cell r="A272">
            <v>73</v>
          </cell>
          <cell r="B272" t="str">
            <v>SULAWESI SELATAN</v>
          </cell>
          <cell r="C272">
            <v>7301</v>
          </cell>
          <cell r="D272" t="str">
            <v>SELAYAR</v>
          </cell>
          <cell r="E272">
            <v>0.3</v>
          </cell>
          <cell r="F272">
            <v>150</v>
          </cell>
          <cell r="G272">
            <v>0</v>
          </cell>
          <cell r="H272">
            <v>1</v>
          </cell>
          <cell r="I272">
            <v>2</v>
          </cell>
          <cell r="J272">
            <v>1</v>
          </cell>
          <cell r="M272">
            <v>3</v>
          </cell>
          <cell r="P272">
            <v>0</v>
          </cell>
          <cell r="Q272">
            <v>1</v>
          </cell>
        </row>
        <row r="273">
          <cell r="C273">
            <v>7302</v>
          </cell>
          <cell r="D273" t="str">
            <v>BULUKUMBA</v>
          </cell>
          <cell r="E273">
            <v>0.2</v>
          </cell>
          <cell r="F273">
            <v>150</v>
          </cell>
          <cell r="G273">
            <v>1</v>
          </cell>
          <cell r="H273">
            <v>1</v>
          </cell>
          <cell r="I273">
            <v>9</v>
          </cell>
          <cell r="M273">
            <v>9</v>
          </cell>
          <cell r="O273">
            <v>1</v>
          </cell>
          <cell r="Q273">
            <v>1</v>
          </cell>
        </row>
        <row r="274">
          <cell r="C274">
            <v>7303</v>
          </cell>
          <cell r="D274" t="str">
            <v>BANTAENG</v>
          </cell>
          <cell r="E274">
            <v>0.2</v>
          </cell>
          <cell r="F274">
            <v>150</v>
          </cell>
          <cell r="G274">
            <v>0</v>
          </cell>
          <cell r="H274">
            <v>1</v>
          </cell>
          <cell r="I274">
            <v>6</v>
          </cell>
          <cell r="J274">
            <v>3</v>
          </cell>
          <cell r="M274">
            <v>9</v>
          </cell>
          <cell r="O274">
            <v>3</v>
          </cell>
          <cell r="Q274">
            <v>1</v>
          </cell>
        </row>
        <row r="275">
          <cell r="C275">
            <v>7306</v>
          </cell>
          <cell r="D275" t="str">
            <v>GOWA</v>
          </cell>
          <cell r="E275">
            <v>0.2</v>
          </cell>
          <cell r="F275">
            <v>151</v>
          </cell>
          <cell r="G275">
            <v>1</v>
          </cell>
          <cell r="H275">
            <v>1</v>
          </cell>
          <cell r="I275">
            <v>3</v>
          </cell>
          <cell r="J275">
            <v>11</v>
          </cell>
          <cell r="M275">
            <v>14</v>
          </cell>
          <cell r="O275">
            <v>3</v>
          </cell>
          <cell r="Q275">
            <v>1</v>
          </cell>
        </row>
        <row r="276">
          <cell r="C276">
            <v>7307</v>
          </cell>
          <cell r="D276" t="str">
            <v>SINJAI</v>
          </cell>
          <cell r="E276">
            <v>0.2</v>
          </cell>
          <cell r="F276">
            <v>150</v>
          </cell>
          <cell r="G276">
            <v>0</v>
          </cell>
          <cell r="H276">
            <v>1</v>
          </cell>
          <cell r="I276">
            <v>6</v>
          </cell>
          <cell r="M276">
            <v>6</v>
          </cell>
        </row>
        <row r="277">
          <cell r="C277">
            <v>7308</v>
          </cell>
          <cell r="D277" t="str">
            <v>MAROS</v>
          </cell>
          <cell r="E277">
            <v>0.2</v>
          </cell>
          <cell r="F277">
            <v>153</v>
          </cell>
          <cell r="G277">
            <v>0</v>
          </cell>
          <cell r="H277">
            <v>1</v>
          </cell>
          <cell r="I277">
            <v>2</v>
          </cell>
          <cell r="J277">
            <v>5</v>
          </cell>
          <cell r="M277">
            <v>7</v>
          </cell>
        </row>
        <row r="278">
          <cell r="C278">
            <v>7311</v>
          </cell>
          <cell r="D278" t="str">
            <v>BONE</v>
          </cell>
          <cell r="E278">
            <v>0.2</v>
          </cell>
          <cell r="F278">
            <v>152</v>
          </cell>
          <cell r="G278">
            <v>0</v>
          </cell>
          <cell r="H278">
            <v>1</v>
          </cell>
          <cell r="I278">
            <v>8</v>
          </cell>
          <cell r="M278">
            <v>8</v>
          </cell>
          <cell r="N278">
            <v>1</v>
          </cell>
          <cell r="O278">
            <v>4</v>
          </cell>
          <cell r="Q278">
            <v>1</v>
          </cell>
        </row>
        <row r="279">
          <cell r="C279">
            <v>7313</v>
          </cell>
          <cell r="D279" t="str">
            <v>WAJO</v>
          </cell>
          <cell r="E279">
            <v>0.2</v>
          </cell>
          <cell r="F279">
            <v>152</v>
          </cell>
          <cell r="G279">
            <v>1</v>
          </cell>
          <cell r="H279">
            <v>1</v>
          </cell>
          <cell r="J279">
            <v>16</v>
          </cell>
          <cell r="M279">
            <v>16</v>
          </cell>
        </row>
        <row r="280">
          <cell r="C280">
            <v>7314</v>
          </cell>
          <cell r="D280" t="str">
            <v>SIDENRENG RAPPANG</v>
          </cell>
          <cell r="E280">
            <v>0.2</v>
          </cell>
          <cell r="F280">
            <v>154</v>
          </cell>
          <cell r="G280">
            <v>0</v>
          </cell>
          <cell r="H280">
            <v>1</v>
          </cell>
          <cell r="I280">
            <v>5</v>
          </cell>
          <cell r="J280">
            <v>7</v>
          </cell>
          <cell r="M280">
            <v>12</v>
          </cell>
          <cell r="N280">
            <v>1</v>
          </cell>
          <cell r="Q280">
            <v>0</v>
          </cell>
        </row>
        <row r="281">
          <cell r="C281">
            <v>7315</v>
          </cell>
          <cell r="D281" t="str">
            <v>PINRANG</v>
          </cell>
          <cell r="E281">
            <v>0.2</v>
          </cell>
          <cell r="F281">
            <v>154</v>
          </cell>
          <cell r="G281">
            <v>0</v>
          </cell>
          <cell r="H281">
            <v>1</v>
          </cell>
          <cell r="I281">
            <v>3</v>
          </cell>
          <cell r="J281">
            <v>3</v>
          </cell>
          <cell r="M281">
            <v>6</v>
          </cell>
        </row>
        <row r="282">
          <cell r="C282">
            <v>7318</v>
          </cell>
          <cell r="D282" t="str">
            <v>TANA TORAJA</v>
          </cell>
          <cell r="E282">
            <v>0.2</v>
          </cell>
          <cell r="F282">
            <v>155</v>
          </cell>
          <cell r="G282">
            <v>0</v>
          </cell>
          <cell r="H282">
            <v>2</v>
          </cell>
          <cell r="I282">
            <v>18</v>
          </cell>
          <cell r="M282">
            <v>18</v>
          </cell>
          <cell r="O282">
            <v>2</v>
          </cell>
          <cell r="Q282">
            <v>1</v>
          </cell>
        </row>
        <row r="283">
          <cell r="C283">
            <v>7371</v>
          </cell>
          <cell r="D283" t="str">
            <v>KOTA MAKASSAR</v>
          </cell>
          <cell r="E283">
            <v>0.2</v>
          </cell>
          <cell r="F283">
            <v>153</v>
          </cell>
          <cell r="G283">
            <v>1</v>
          </cell>
          <cell r="H283">
            <v>14</v>
          </cell>
          <cell r="I283">
            <v>44</v>
          </cell>
          <cell r="J283">
            <v>99</v>
          </cell>
          <cell r="M283">
            <v>143</v>
          </cell>
          <cell r="O283">
            <v>8</v>
          </cell>
        </row>
        <row r="284">
          <cell r="C284">
            <v>7372</v>
          </cell>
          <cell r="D284" t="str">
            <v>KOTA PARE-PARE</v>
          </cell>
          <cell r="E284">
            <v>0.2</v>
          </cell>
          <cell r="F284">
            <v>154</v>
          </cell>
          <cell r="G284">
            <v>1</v>
          </cell>
          <cell r="H284">
            <v>4</v>
          </cell>
          <cell r="I284">
            <v>7</v>
          </cell>
          <cell r="J284">
            <v>15</v>
          </cell>
          <cell r="M284">
            <v>22</v>
          </cell>
          <cell r="Q284">
            <v>1</v>
          </cell>
        </row>
        <row r="285">
          <cell r="C285">
            <v>7373</v>
          </cell>
          <cell r="D285" t="str">
            <v>KOTA PALOPO</v>
          </cell>
          <cell r="E285">
            <v>0.2</v>
          </cell>
          <cell r="F285">
            <v>155</v>
          </cell>
          <cell r="G285">
            <v>1</v>
          </cell>
          <cell r="H285">
            <v>9</v>
          </cell>
          <cell r="I285">
            <v>17</v>
          </cell>
          <cell r="J285">
            <v>31</v>
          </cell>
          <cell r="M285">
            <v>48</v>
          </cell>
          <cell r="O285">
            <v>3</v>
          </cell>
        </row>
        <row r="286">
          <cell r="D286" t="str">
            <v>TAKALAR</v>
          </cell>
          <cell r="F286">
            <v>151</v>
          </cell>
          <cell r="G286">
            <v>0</v>
          </cell>
          <cell r="K286">
            <v>8</v>
          </cell>
          <cell r="M286">
            <v>8</v>
          </cell>
          <cell r="Q286">
            <v>1</v>
          </cell>
        </row>
        <row r="287">
          <cell r="D287" t="str">
            <v>JENEPONTO</v>
          </cell>
          <cell r="F287">
            <v>151</v>
          </cell>
          <cell r="G287">
            <v>0</v>
          </cell>
          <cell r="K287">
            <v>23</v>
          </cell>
          <cell r="M287">
            <v>23</v>
          </cell>
          <cell r="Q287">
            <v>0</v>
          </cell>
        </row>
        <row r="288">
          <cell r="D288" t="str">
            <v>LUWU UTARA</v>
          </cell>
          <cell r="F288">
            <v>155</v>
          </cell>
          <cell r="G288">
            <v>0</v>
          </cell>
          <cell r="K288">
            <v>20</v>
          </cell>
          <cell r="M288">
            <v>20</v>
          </cell>
          <cell r="O288">
            <v>4</v>
          </cell>
          <cell r="Q288">
            <v>1</v>
          </cell>
        </row>
        <row r="289">
          <cell r="D289" t="str">
            <v>ENREKANG</v>
          </cell>
          <cell r="F289">
            <v>154</v>
          </cell>
          <cell r="G289">
            <v>0</v>
          </cell>
          <cell r="K289">
            <v>16</v>
          </cell>
          <cell r="M289">
            <v>16</v>
          </cell>
          <cell r="O289">
            <v>2</v>
          </cell>
          <cell r="Q289">
            <v>1</v>
          </cell>
        </row>
        <row r="290">
          <cell r="B290" t="str">
            <v>SULAWESI SELATAN Total</v>
          </cell>
          <cell r="D290">
            <v>18</v>
          </cell>
          <cell r="G290">
            <v>6</v>
          </cell>
          <cell r="H290">
            <v>39</v>
          </cell>
          <cell r="I290">
            <v>130</v>
          </cell>
          <cell r="J290">
            <v>191</v>
          </cell>
          <cell r="K290">
            <v>67</v>
          </cell>
          <cell r="L290">
            <v>0</v>
          </cell>
          <cell r="M290">
            <v>388</v>
          </cell>
          <cell r="N290">
            <v>2</v>
          </cell>
          <cell r="O290">
            <v>30</v>
          </cell>
          <cell r="P290">
            <v>0</v>
          </cell>
          <cell r="Q290">
            <v>10</v>
          </cell>
        </row>
        <row r="291">
          <cell r="A291">
            <v>74</v>
          </cell>
          <cell r="B291" t="str">
            <v>SULAWESI TENGGARA</v>
          </cell>
          <cell r="C291">
            <v>7402</v>
          </cell>
          <cell r="D291" t="str">
            <v>MUNA</v>
          </cell>
          <cell r="E291">
            <v>0.2</v>
          </cell>
          <cell r="F291">
            <v>157</v>
          </cell>
          <cell r="G291">
            <v>0</v>
          </cell>
          <cell r="H291">
            <v>1</v>
          </cell>
          <cell r="I291">
            <v>8</v>
          </cell>
          <cell r="M291">
            <v>8</v>
          </cell>
          <cell r="P291">
            <v>1</v>
          </cell>
          <cell r="Q291">
            <v>1</v>
          </cell>
        </row>
        <row r="292">
          <cell r="C292">
            <v>7404</v>
          </cell>
          <cell r="D292" t="str">
            <v>KOLAKA</v>
          </cell>
          <cell r="E292">
            <v>0.2</v>
          </cell>
          <cell r="F292">
            <v>156</v>
          </cell>
          <cell r="G292">
            <v>0</v>
          </cell>
          <cell r="H292">
            <v>2</v>
          </cell>
          <cell r="J292">
            <v>14</v>
          </cell>
          <cell r="M292">
            <v>14</v>
          </cell>
        </row>
        <row r="293">
          <cell r="C293">
            <v>7471</v>
          </cell>
          <cell r="D293" t="str">
            <v>KOTA KENDARI</v>
          </cell>
          <cell r="E293">
            <v>0.2</v>
          </cell>
          <cell r="F293">
            <v>156</v>
          </cell>
          <cell r="G293">
            <v>1</v>
          </cell>
          <cell r="H293">
            <v>10</v>
          </cell>
          <cell r="I293">
            <v>21</v>
          </cell>
          <cell r="J293">
            <v>43</v>
          </cell>
          <cell r="M293">
            <v>64</v>
          </cell>
          <cell r="N293">
            <v>2</v>
          </cell>
          <cell r="Q293">
            <v>0</v>
          </cell>
        </row>
        <row r="294">
          <cell r="C294">
            <v>7472</v>
          </cell>
          <cell r="D294" t="str">
            <v>KOTA BAU-BAU</v>
          </cell>
          <cell r="E294">
            <v>0.2</v>
          </cell>
          <cell r="F294">
            <v>157</v>
          </cell>
          <cell r="G294">
            <v>1</v>
          </cell>
          <cell r="H294">
            <v>6</v>
          </cell>
          <cell r="I294">
            <v>12</v>
          </cell>
          <cell r="J294">
            <v>29</v>
          </cell>
          <cell r="M294">
            <v>41</v>
          </cell>
          <cell r="Q294">
            <v>1</v>
          </cell>
        </row>
        <row r="295">
          <cell r="D295" t="str">
            <v>KOLAKA UTARA</v>
          </cell>
          <cell r="F295">
            <v>156</v>
          </cell>
          <cell r="G295">
            <v>0</v>
          </cell>
          <cell r="K295">
            <v>7</v>
          </cell>
          <cell r="M295">
            <v>7</v>
          </cell>
          <cell r="Q295">
            <v>1</v>
          </cell>
        </row>
        <row r="296">
          <cell r="D296" t="str">
            <v>KONAWE</v>
          </cell>
          <cell r="F296">
            <v>156</v>
          </cell>
          <cell r="G296">
            <v>0</v>
          </cell>
          <cell r="K296">
            <v>16</v>
          </cell>
          <cell r="M296">
            <v>16</v>
          </cell>
          <cell r="Q296">
            <v>1</v>
          </cell>
        </row>
        <row r="297">
          <cell r="D297" t="str">
            <v>BOMBANA</v>
          </cell>
          <cell r="F297">
            <v>156</v>
          </cell>
          <cell r="G297">
            <v>0</v>
          </cell>
          <cell r="K297">
            <v>17</v>
          </cell>
          <cell r="M297">
            <v>17</v>
          </cell>
          <cell r="Q297">
            <v>1</v>
          </cell>
        </row>
        <row r="298">
          <cell r="D298" t="str">
            <v>BUTON</v>
          </cell>
          <cell r="F298">
            <v>157</v>
          </cell>
          <cell r="G298">
            <v>0</v>
          </cell>
          <cell r="K298">
            <v>31</v>
          </cell>
          <cell r="M298">
            <v>31</v>
          </cell>
          <cell r="Q298">
            <v>1</v>
          </cell>
        </row>
        <row r="299">
          <cell r="B299" t="str">
            <v>SULAWESI TENGGARA Total</v>
          </cell>
          <cell r="D299">
            <v>8</v>
          </cell>
          <cell r="G299">
            <v>2</v>
          </cell>
          <cell r="H299">
            <v>19</v>
          </cell>
          <cell r="I299">
            <v>41</v>
          </cell>
          <cell r="J299">
            <v>86</v>
          </cell>
          <cell r="K299">
            <v>71</v>
          </cell>
          <cell r="L299">
            <v>0</v>
          </cell>
          <cell r="M299">
            <v>198</v>
          </cell>
          <cell r="N299">
            <v>2</v>
          </cell>
          <cell r="O299">
            <v>0</v>
          </cell>
          <cell r="P299">
            <v>1</v>
          </cell>
          <cell r="Q299">
            <v>6</v>
          </cell>
        </row>
        <row r="300">
          <cell r="A300">
            <v>75</v>
          </cell>
          <cell r="B300" t="str">
            <v>GORONTALO</v>
          </cell>
          <cell r="C300">
            <v>7502</v>
          </cell>
          <cell r="D300" t="str">
            <v>GORONTALO</v>
          </cell>
          <cell r="E300">
            <v>0.2</v>
          </cell>
          <cell r="F300">
            <v>158</v>
          </cell>
          <cell r="G300">
            <v>0</v>
          </cell>
          <cell r="H300">
            <v>2</v>
          </cell>
          <cell r="J300">
            <v>21</v>
          </cell>
          <cell r="M300">
            <v>21</v>
          </cell>
          <cell r="P300">
            <v>1</v>
          </cell>
        </row>
        <row r="301">
          <cell r="C301">
            <v>7571</v>
          </cell>
          <cell r="D301" t="str">
            <v>KOTA GORONTALO</v>
          </cell>
          <cell r="E301">
            <v>0.2</v>
          </cell>
          <cell r="F301">
            <v>158</v>
          </cell>
          <cell r="G301">
            <v>1</v>
          </cell>
          <cell r="H301">
            <v>6</v>
          </cell>
          <cell r="I301">
            <v>29</v>
          </cell>
          <cell r="J301">
            <v>20</v>
          </cell>
          <cell r="M301">
            <v>49</v>
          </cell>
          <cell r="O301">
            <v>3</v>
          </cell>
          <cell r="Q301">
            <v>1</v>
          </cell>
        </row>
        <row r="302">
          <cell r="B302" t="str">
            <v>GORONTALO Total</v>
          </cell>
          <cell r="D302">
            <v>2</v>
          </cell>
          <cell r="G302">
            <v>1</v>
          </cell>
          <cell r="H302">
            <v>8</v>
          </cell>
          <cell r="I302">
            <v>29</v>
          </cell>
          <cell r="J302">
            <v>41</v>
          </cell>
          <cell r="K302">
            <v>0</v>
          </cell>
          <cell r="M302">
            <v>70</v>
          </cell>
          <cell r="N302">
            <v>0</v>
          </cell>
          <cell r="O302">
            <v>3</v>
          </cell>
          <cell r="P302">
            <v>1</v>
          </cell>
          <cell r="Q302">
            <v>1</v>
          </cell>
        </row>
        <row r="303">
          <cell r="A303">
            <v>76</v>
          </cell>
          <cell r="B303" t="str">
            <v>SULAWESI BARAT</v>
          </cell>
          <cell r="C303">
            <v>7601</v>
          </cell>
          <cell r="D303" t="str">
            <v>MAJENE</v>
          </cell>
          <cell r="E303">
            <v>0.2</v>
          </cell>
          <cell r="F303">
            <v>159</v>
          </cell>
          <cell r="G303">
            <v>0</v>
          </cell>
          <cell r="H303">
            <v>1</v>
          </cell>
          <cell r="I303">
            <v>1</v>
          </cell>
          <cell r="J303">
            <v>3</v>
          </cell>
          <cell r="M303">
            <v>4</v>
          </cell>
          <cell r="P303">
            <v>1</v>
          </cell>
          <cell r="Q303">
            <v>1</v>
          </cell>
        </row>
        <row r="304">
          <cell r="C304">
            <v>7602</v>
          </cell>
          <cell r="D304" t="str">
            <v>POLEWALI MANDAR</v>
          </cell>
          <cell r="E304">
            <v>0.2</v>
          </cell>
          <cell r="F304">
            <v>159</v>
          </cell>
          <cell r="G304">
            <v>1</v>
          </cell>
          <cell r="H304">
            <v>1</v>
          </cell>
          <cell r="I304">
            <v>8</v>
          </cell>
          <cell r="J304">
            <v>1</v>
          </cell>
          <cell r="M304">
            <v>9</v>
          </cell>
          <cell r="O304">
            <v>2</v>
          </cell>
          <cell r="Q304">
            <v>1</v>
          </cell>
        </row>
        <row r="305">
          <cell r="D305" t="str">
            <v>MAMUJU</v>
          </cell>
          <cell r="F305">
            <v>159</v>
          </cell>
        </row>
        <row r="306">
          <cell r="B306" t="str">
            <v>SULAWESI BARAT Total</v>
          </cell>
          <cell r="D306">
            <v>3</v>
          </cell>
          <cell r="G306">
            <v>1</v>
          </cell>
          <cell r="H306">
            <v>2</v>
          </cell>
          <cell r="I306">
            <v>9</v>
          </cell>
          <cell r="J306">
            <v>4</v>
          </cell>
          <cell r="K306">
            <v>0</v>
          </cell>
          <cell r="M306">
            <v>13</v>
          </cell>
          <cell r="N306">
            <v>0</v>
          </cell>
          <cell r="O306">
            <v>2</v>
          </cell>
          <cell r="P306">
            <v>1</v>
          </cell>
          <cell r="Q306">
            <v>2</v>
          </cell>
        </row>
        <row r="307">
          <cell r="A307">
            <v>81</v>
          </cell>
          <cell r="B307" t="str">
            <v>MALUKU</v>
          </cell>
          <cell r="C307">
            <v>8103</v>
          </cell>
          <cell r="D307" t="str">
            <v>MALUKU TENGAH</v>
          </cell>
          <cell r="E307">
            <v>0.2</v>
          </cell>
          <cell r="F307">
            <v>160</v>
          </cell>
          <cell r="G307">
            <v>0</v>
          </cell>
          <cell r="H307">
            <v>1</v>
          </cell>
          <cell r="I307">
            <v>1</v>
          </cell>
          <cell r="J307">
            <v>4</v>
          </cell>
          <cell r="M307">
            <v>5</v>
          </cell>
          <cell r="P307">
            <v>0</v>
          </cell>
        </row>
        <row r="308">
          <cell r="C308">
            <v>8171</v>
          </cell>
          <cell r="D308" t="str">
            <v>KOTA AMBON</v>
          </cell>
          <cell r="E308">
            <v>0.2</v>
          </cell>
          <cell r="F308">
            <v>160</v>
          </cell>
          <cell r="G308">
            <v>1</v>
          </cell>
          <cell r="H308">
            <v>5</v>
          </cell>
          <cell r="I308">
            <v>31</v>
          </cell>
          <cell r="J308">
            <v>19</v>
          </cell>
          <cell r="M308">
            <v>50</v>
          </cell>
        </row>
        <row r="309">
          <cell r="C309">
            <v>8172</v>
          </cell>
          <cell r="D309" t="str">
            <v>KOTA TUAL</v>
          </cell>
          <cell r="E309">
            <v>0.2</v>
          </cell>
          <cell r="F309">
            <v>161</v>
          </cell>
          <cell r="G309">
            <v>1</v>
          </cell>
          <cell r="H309">
            <v>4</v>
          </cell>
          <cell r="I309">
            <v>5</v>
          </cell>
          <cell r="J309">
            <v>24</v>
          </cell>
          <cell r="M309">
            <v>29</v>
          </cell>
        </row>
        <row r="310">
          <cell r="B310" t="str">
            <v>MALUKU Total</v>
          </cell>
          <cell r="D310">
            <v>3</v>
          </cell>
          <cell r="G310">
            <v>2</v>
          </cell>
          <cell r="H310">
            <v>10</v>
          </cell>
          <cell r="I310">
            <v>37</v>
          </cell>
          <cell r="J310">
            <v>47</v>
          </cell>
          <cell r="K310">
            <v>0</v>
          </cell>
          <cell r="M310">
            <v>84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</row>
        <row r="311">
          <cell r="A311">
            <v>82</v>
          </cell>
          <cell r="B311" t="str">
            <v>MALUKU UTARA</v>
          </cell>
          <cell r="C311">
            <v>8271</v>
          </cell>
          <cell r="D311" t="str">
            <v>KOTA TERNATE</v>
          </cell>
          <cell r="E311">
            <v>0.2</v>
          </cell>
          <cell r="F311">
            <v>162</v>
          </cell>
          <cell r="G311">
            <v>1</v>
          </cell>
          <cell r="H311">
            <v>6</v>
          </cell>
          <cell r="I311">
            <v>19</v>
          </cell>
          <cell r="J311">
            <v>55</v>
          </cell>
          <cell r="M311">
            <v>74</v>
          </cell>
          <cell r="P311">
            <v>0</v>
          </cell>
        </row>
        <row r="312">
          <cell r="C312">
            <v>8272</v>
          </cell>
          <cell r="D312" t="str">
            <v>KOTA TIDORE KEPULAUAN</v>
          </cell>
          <cell r="E312">
            <v>0.2</v>
          </cell>
          <cell r="F312">
            <v>163</v>
          </cell>
          <cell r="G312">
            <v>1</v>
          </cell>
          <cell r="H312">
            <v>8</v>
          </cell>
          <cell r="I312">
            <v>16</v>
          </cell>
          <cell r="J312">
            <v>56</v>
          </cell>
          <cell r="M312">
            <v>72</v>
          </cell>
        </row>
        <row r="313">
          <cell r="B313" t="str">
            <v>MALUKU UTARA Total</v>
          </cell>
          <cell r="D313">
            <v>2</v>
          </cell>
          <cell r="G313">
            <v>2</v>
          </cell>
          <cell r="H313">
            <v>14</v>
          </cell>
          <cell r="I313">
            <v>35</v>
          </cell>
          <cell r="J313">
            <v>111</v>
          </cell>
          <cell r="K313">
            <v>0</v>
          </cell>
          <cell r="M313">
            <v>146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</row>
        <row r="314">
          <cell r="A314">
            <v>91</v>
          </cell>
          <cell r="B314" t="str">
            <v>IRIAN JAYA BARAT</v>
          </cell>
          <cell r="C314">
            <v>9105</v>
          </cell>
          <cell r="D314" t="str">
            <v>MANOKWARI</v>
          </cell>
          <cell r="E314">
            <v>0.3</v>
          </cell>
          <cell r="F314">
            <v>164</v>
          </cell>
          <cell r="G314">
            <v>0</v>
          </cell>
          <cell r="H314">
            <v>1</v>
          </cell>
          <cell r="J314">
            <v>10</v>
          </cell>
          <cell r="M314">
            <v>10</v>
          </cell>
          <cell r="P314">
            <v>0</v>
          </cell>
        </row>
        <row r="315">
          <cell r="C315">
            <v>9171</v>
          </cell>
          <cell r="D315" t="str">
            <v>KOTA SORONG</v>
          </cell>
          <cell r="E315">
            <v>0.2</v>
          </cell>
          <cell r="F315">
            <v>164</v>
          </cell>
          <cell r="G315">
            <v>1</v>
          </cell>
          <cell r="H315">
            <v>5</v>
          </cell>
          <cell r="I315">
            <v>1</v>
          </cell>
          <cell r="J315">
            <v>21</v>
          </cell>
          <cell r="M315">
            <v>22</v>
          </cell>
        </row>
        <row r="316">
          <cell r="B316" t="str">
            <v>IRIAN JAYA BARAT Total</v>
          </cell>
          <cell r="D316">
            <v>2</v>
          </cell>
          <cell r="G316">
            <v>1</v>
          </cell>
          <cell r="H316">
            <v>6</v>
          </cell>
          <cell r="I316">
            <v>1</v>
          </cell>
          <cell r="J316">
            <v>31</v>
          </cell>
          <cell r="K316">
            <v>0</v>
          </cell>
          <cell r="M316">
            <v>32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</row>
        <row r="317">
          <cell r="A317">
            <v>94</v>
          </cell>
          <cell r="B317" t="str">
            <v>PAPUA</v>
          </cell>
          <cell r="C317">
            <v>9471</v>
          </cell>
          <cell r="D317" t="str">
            <v>KOTA JAYAPURA</v>
          </cell>
          <cell r="E317">
            <v>0.2</v>
          </cell>
          <cell r="F317">
            <v>165</v>
          </cell>
          <cell r="G317">
            <v>1</v>
          </cell>
          <cell r="H317">
            <v>5</v>
          </cell>
          <cell r="I317">
            <v>2</v>
          </cell>
          <cell r="J317">
            <v>37</v>
          </cell>
          <cell r="M317">
            <v>39</v>
          </cell>
        </row>
        <row r="318">
          <cell r="B318" t="str">
            <v>PAPUA Total</v>
          </cell>
          <cell r="D318">
            <v>1</v>
          </cell>
          <cell r="G318">
            <v>1</v>
          </cell>
          <cell r="H318">
            <v>5</v>
          </cell>
          <cell r="I318">
            <v>2</v>
          </cell>
          <cell r="J318">
            <v>37</v>
          </cell>
          <cell r="K318">
            <v>0</v>
          </cell>
          <cell r="M318">
            <v>39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>
        <row r="5">
          <cell r="AI5">
            <v>0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kasi Sasaran 2011"/>
      <sheetName val="Personil OC"/>
      <sheetName val="Korkot 2011"/>
      <sheetName val="Skema Korkot 2011 variant 1"/>
      <sheetName val="Skema Korkot 2011 variant 2"/>
      <sheetName val="Skema Korkot 2011 variant 3"/>
      <sheetName val="Skema Korkot 2011 variant 4"/>
      <sheetName val="Skema Korkot 2011 variant 5"/>
      <sheetName val="Cost Korkot 2011"/>
      <sheetName val="Rekap Korkot per propinsi"/>
      <sheetName val="Faskel 2011"/>
      <sheetName val="Cost Faskel 2011"/>
      <sheetName val="Calon Tamb lok ND 2011 "/>
      <sheetName val="Skema Kebijakan Tim Korkot 2011"/>
      <sheetName val="Sheet1"/>
      <sheetName val="Rekap Faskel Per Propinsi"/>
      <sheetName val="Rekap Nasional"/>
      <sheetName val="Perpanjangan Januari"/>
      <sheetName val="Perpanjangan Februari"/>
      <sheetName val="Perpanjangan Maret"/>
      <sheetName val="Sheet2"/>
      <sheetName val="Tambah asmandat Adv"/>
      <sheetName val="Sheet4"/>
      <sheetName val="Sheet3"/>
      <sheetName val="Sheet5"/>
      <sheetName val="Lokasi_Sasaran_2011"/>
      <sheetName val="Personil_OC"/>
      <sheetName val="Korkot_2011"/>
      <sheetName val="Skema_Korkot_2011_variant_1"/>
      <sheetName val="Skema_Korkot_2011_variant_2"/>
      <sheetName val="Skema_Korkot_2011_variant_3"/>
      <sheetName val="Skema_Korkot_2011_variant_4"/>
      <sheetName val="Skema_Korkot_2011_variant_5"/>
      <sheetName val="Cost_Korkot_2011"/>
      <sheetName val="Rekap_Korkot_per_propinsi"/>
      <sheetName val="Faskel_2011"/>
      <sheetName val="Cost_Faskel_2011"/>
      <sheetName val="Calon_Tamb_lok_ND_2011_"/>
      <sheetName val="Skema_Kebijakan_Tim_Korkot_2011"/>
      <sheetName val="Rekap_Faskel_Per_Propinsi"/>
      <sheetName val="Rekap_Nasional"/>
      <sheetName val="Perpanjangan_Januari"/>
      <sheetName val="Perpanjangan_Februari"/>
      <sheetName val="Perpanjangan_Maret"/>
      <sheetName val="Tambah_asmandat_Adv"/>
      <sheetName val="ANALISA"/>
      <sheetName val="harga"/>
    </sheetNames>
    <sheetDataSet>
      <sheetData sheetId="0">
        <row r="1">
          <cell r="A1" t="str">
            <v>Kd_Prov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5">
          <cell r="AI5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">
          <cell r="A1" t="str">
            <v>Kd_Prov</v>
          </cell>
          <cell r="B1" t="str">
            <v>Provinsi</v>
          </cell>
          <cell r="C1" t="str">
            <v>Kd_kab</v>
          </cell>
          <cell r="D1" t="str">
            <v>Kab_Kota</v>
          </cell>
          <cell r="E1" t="str">
            <v>%-tase DDUB</v>
          </cell>
          <cell r="F1" t="str">
            <v>Cluster</v>
          </cell>
          <cell r="G1" t="str">
            <v>Korkot</v>
          </cell>
          <cell r="H1" t="str">
            <v>Jml_Kec</v>
          </cell>
          <cell r="I1" t="str">
            <v>Penguatan</v>
          </cell>
          <cell r="J1" t="str">
            <v>Reguler</v>
          </cell>
          <cell r="K1" t="str">
            <v>Non PNPM</v>
          </cell>
          <cell r="L1" t="str">
            <v>Rekompak Sumbar</v>
          </cell>
          <cell r="M1" t="str">
            <v>Total Kel</v>
          </cell>
          <cell r="N1" t="str">
            <v>Pilot-18</v>
          </cell>
          <cell r="O1" t="str">
            <v>Reg-255</v>
          </cell>
          <cell r="P1" t="str">
            <v>BARU 2011</v>
          </cell>
          <cell r="Q1" t="str">
            <v>Kemitraan</v>
          </cell>
        </row>
        <row r="2">
          <cell r="A2">
            <v>11</v>
          </cell>
          <cell r="B2" t="str">
            <v>NANGGROE ACEH DARUSSALAM</v>
          </cell>
          <cell r="C2">
            <v>1103</v>
          </cell>
          <cell r="D2" t="str">
            <v>ACEH SELATAN</v>
          </cell>
          <cell r="E2">
            <v>0.2</v>
          </cell>
          <cell r="F2">
            <v>1</v>
          </cell>
          <cell r="G2">
            <v>0</v>
          </cell>
          <cell r="H2">
            <v>1</v>
          </cell>
          <cell r="J2">
            <v>15</v>
          </cell>
          <cell r="M2">
            <v>15</v>
          </cell>
          <cell r="P2">
            <v>0</v>
          </cell>
        </row>
        <row r="3">
          <cell r="C3">
            <v>1104</v>
          </cell>
          <cell r="D3" t="str">
            <v>ACEH TENGGARA</v>
          </cell>
          <cell r="E3">
            <v>0.2</v>
          </cell>
          <cell r="F3">
            <v>1</v>
          </cell>
          <cell r="G3">
            <v>1</v>
          </cell>
          <cell r="H3">
            <v>1</v>
          </cell>
          <cell r="J3">
            <v>27</v>
          </cell>
          <cell r="M3">
            <v>27</v>
          </cell>
        </row>
        <row r="4">
          <cell r="C4">
            <v>1106</v>
          </cell>
          <cell r="D4" t="str">
            <v>ACEH TENGAH</v>
          </cell>
          <cell r="E4">
            <v>0.2</v>
          </cell>
          <cell r="F4">
            <v>2</v>
          </cell>
          <cell r="G4">
            <v>0</v>
          </cell>
          <cell r="H4">
            <v>1</v>
          </cell>
          <cell r="J4">
            <v>15</v>
          </cell>
          <cell r="M4">
            <v>15</v>
          </cell>
        </row>
        <row r="5">
          <cell r="C5">
            <v>1107</v>
          </cell>
          <cell r="D5" t="str">
            <v>ACEH BARAT</v>
          </cell>
          <cell r="E5">
            <v>0.2</v>
          </cell>
          <cell r="F5">
            <v>2</v>
          </cell>
          <cell r="G5">
            <v>1</v>
          </cell>
          <cell r="H5">
            <v>1</v>
          </cell>
          <cell r="J5">
            <v>21</v>
          </cell>
          <cell r="M5">
            <v>21</v>
          </cell>
        </row>
        <row r="6">
          <cell r="C6">
            <v>1108</v>
          </cell>
          <cell r="D6" t="str">
            <v>ACEH BESAR</v>
          </cell>
          <cell r="E6">
            <v>0.2</v>
          </cell>
          <cell r="F6">
            <v>3</v>
          </cell>
          <cell r="G6">
            <v>0</v>
          </cell>
          <cell r="H6">
            <v>1</v>
          </cell>
          <cell r="J6">
            <v>12</v>
          </cell>
          <cell r="M6">
            <v>12</v>
          </cell>
        </row>
        <row r="7">
          <cell r="C7">
            <v>1109</v>
          </cell>
          <cell r="D7" t="str">
            <v>PIDIE</v>
          </cell>
          <cell r="E7">
            <v>0.2</v>
          </cell>
          <cell r="F7">
            <v>3</v>
          </cell>
          <cell r="G7">
            <v>1</v>
          </cell>
          <cell r="H7">
            <v>1</v>
          </cell>
          <cell r="J7">
            <v>15</v>
          </cell>
          <cell r="M7">
            <v>15</v>
          </cell>
        </row>
        <row r="8">
          <cell r="C8">
            <v>1114</v>
          </cell>
          <cell r="D8" t="str">
            <v>ACEH TAMIANG</v>
          </cell>
          <cell r="E8">
            <v>0.2</v>
          </cell>
          <cell r="F8">
            <v>4</v>
          </cell>
          <cell r="G8">
            <v>0</v>
          </cell>
          <cell r="H8">
            <v>1</v>
          </cell>
          <cell r="J8">
            <v>5</v>
          </cell>
          <cell r="M8">
            <v>5</v>
          </cell>
        </row>
        <row r="9">
          <cell r="C9">
            <v>1171</v>
          </cell>
          <cell r="D9" t="str">
            <v>KOTA BANDA ACEH</v>
          </cell>
          <cell r="E9">
            <v>0.2</v>
          </cell>
          <cell r="F9">
            <v>5</v>
          </cell>
          <cell r="G9">
            <v>1</v>
          </cell>
          <cell r="H9">
            <v>9</v>
          </cell>
          <cell r="J9">
            <v>90</v>
          </cell>
          <cell r="M9">
            <v>90</v>
          </cell>
        </row>
        <row r="10">
          <cell r="C10">
            <v>1172</v>
          </cell>
          <cell r="D10" t="str">
            <v>KOTA SABANG</v>
          </cell>
          <cell r="E10">
            <v>0.3</v>
          </cell>
          <cell r="F10">
            <v>5</v>
          </cell>
          <cell r="G10">
            <v>0</v>
          </cell>
          <cell r="H10">
            <v>2</v>
          </cell>
          <cell r="J10">
            <v>18</v>
          </cell>
          <cell r="M10">
            <v>18</v>
          </cell>
          <cell r="Q10">
            <v>1</v>
          </cell>
        </row>
        <row r="11">
          <cell r="C11">
            <v>1173</v>
          </cell>
          <cell r="D11" t="str">
            <v>KOTA LANGSA</v>
          </cell>
          <cell r="E11">
            <v>0.2</v>
          </cell>
          <cell r="F11">
            <v>4</v>
          </cell>
          <cell r="G11">
            <v>1</v>
          </cell>
          <cell r="H11">
            <v>5</v>
          </cell>
          <cell r="J11">
            <v>51</v>
          </cell>
          <cell r="M11">
            <v>51</v>
          </cell>
          <cell r="Q11">
            <v>1</v>
          </cell>
        </row>
        <row r="12">
          <cell r="C12">
            <v>1174</v>
          </cell>
          <cell r="D12" t="str">
            <v>KOTA LHOKSEUMAWE</v>
          </cell>
          <cell r="E12">
            <v>0.2</v>
          </cell>
          <cell r="F12">
            <v>6</v>
          </cell>
          <cell r="G12">
            <v>1</v>
          </cell>
          <cell r="H12">
            <v>4</v>
          </cell>
          <cell r="J12">
            <v>68</v>
          </cell>
          <cell r="M12">
            <v>68</v>
          </cell>
          <cell r="O12">
            <v>2</v>
          </cell>
          <cell r="Q12">
            <v>1</v>
          </cell>
        </row>
        <row r="13">
          <cell r="C13">
            <v>1175</v>
          </cell>
          <cell r="D13" t="str">
            <v>KOTA SUBULUSSALAM</v>
          </cell>
          <cell r="E13">
            <v>0.2</v>
          </cell>
          <cell r="F13">
            <v>7</v>
          </cell>
          <cell r="G13">
            <v>1</v>
          </cell>
          <cell r="H13">
            <v>5</v>
          </cell>
          <cell r="J13">
            <v>74</v>
          </cell>
          <cell r="M13">
            <v>74</v>
          </cell>
        </row>
        <row r="14">
          <cell r="D14" t="str">
            <v>GAYO LUWES</v>
          </cell>
          <cell r="F14">
            <v>8</v>
          </cell>
          <cell r="G14">
            <v>1</v>
          </cell>
          <cell r="K14">
            <v>32</v>
          </cell>
          <cell r="M14">
            <v>32</v>
          </cell>
          <cell r="Q14">
            <v>0</v>
          </cell>
        </row>
        <row r="15">
          <cell r="B15" t="str">
            <v>NANGGROE ACEH DARUSSALAM Total</v>
          </cell>
          <cell r="D15">
            <v>13</v>
          </cell>
          <cell r="G15">
            <v>8</v>
          </cell>
          <cell r="H15">
            <v>32</v>
          </cell>
          <cell r="I15">
            <v>0</v>
          </cell>
          <cell r="J15">
            <v>411</v>
          </cell>
          <cell r="K15">
            <v>32</v>
          </cell>
          <cell r="L15">
            <v>0</v>
          </cell>
          <cell r="M15">
            <v>443</v>
          </cell>
          <cell r="N15">
            <v>0</v>
          </cell>
          <cell r="O15">
            <v>2</v>
          </cell>
          <cell r="P15">
            <v>0</v>
          </cell>
          <cell r="Q15">
            <v>3</v>
          </cell>
        </row>
        <row r="16">
          <cell r="A16">
            <v>12</v>
          </cell>
          <cell r="B16" t="str">
            <v>SUMATERA UTARA</v>
          </cell>
          <cell r="C16">
            <v>1207</v>
          </cell>
          <cell r="D16" t="str">
            <v>LABUHAN BATU</v>
          </cell>
          <cell r="E16">
            <v>0.2</v>
          </cell>
          <cell r="F16">
            <v>12</v>
          </cell>
          <cell r="G16">
            <v>0</v>
          </cell>
          <cell r="H16">
            <v>2</v>
          </cell>
          <cell r="I16">
            <v>9</v>
          </cell>
          <cell r="J16">
            <v>10</v>
          </cell>
          <cell r="M16">
            <v>19</v>
          </cell>
          <cell r="P16">
            <v>1</v>
          </cell>
          <cell r="Q16">
            <v>1</v>
          </cell>
        </row>
        <row r="17">
          <cell r="C17">
            <v>1208</v>
          </cell>
          <cell r="D17" t="str">
            <v>ASAHAN</v>
          </cell>
          <cell r="E17">
            <v>0.2</v>
          </cell>
          <cell r="F17">
            <v>11</v>
          </cell>
          <cell r="G17">
            <v>0</v>
          </cell>
          <cell r="H17">
            <v>2</v>
          </cell>
          <cell r="I17">
            <v>13</v>
          </cell>
          <cell r="J17">
            <v>12</v>
          </cell>
          <cell r="M17">
            <v>25</v>
          </cell>
          <cell r="Q17">
            <v>1</v>
          </cell>
        </row>
        <row r="18">
          <cell r="C18">
            <v>1209</v>
          </cell>
          <cell r="D18" t="str">
            <v>SIMALUNGUN</v>
          </cell>
          <cell r="E18">
            <v>0.2</v>
          </cell>
          <cell r="F18">
            <v>10</v>
          </cell>
          <cell r="G18">
            <v>0</v>
          </cell>
          <cell r="H18">
            <v>1</v>
          </cell>
          <cell r="I18">
            <v>14</v>
          </cell>
          <cell r="J18">
            <v>3</v>
          </cell>
          <cell r="M18">
            <v>17</v>
          </cell>
          <cell r="Q18">
            <v>0</v>
          </cell>
        </row>
        <row r="19">
          <cell r="C19">
            <v>1210</v>
          </cell>
          <cell r="D19" t="str">
            <v>DAIRI</v>
          </cell>
          <cell r="E19">
            <v>0.2</v>
          </cell>
          <cell r="F19">
            <v>9</v>
          </cell>
          <cell r="G19">
            <v>0</v>
          </cell>
          <cell r="H19">
            <v>1</v>
          </cell>
          <cell r="I19">
            <v>9</v>
          </cell>
          <cell r="J19">
            <v>2</v>
          </cell>
          <cell r="M19">
            <v>11</v>
          </cell>
          <cell r="Q19">
            <v>1</v>
          </cell>
        </row>
        <row r="20">
          <cell r="C20">
            <v>1211</v>
          </cell>
          <cell r="D20" t="str">
            <v>KARO / TANAH KARO</v>
          </cell>
          <cell r="E20">
            <v>0.2</v>
          </cell>
          <cell r="F20">
            <v>9</v>
          </cell>
          <cell r="G20">
            <v>1</v>
          </cell>
          <cell r="H20">
            <v>2</v>
          </cell>
          <cell r="I20">
            <v>12</v>
          </cell>
          <cell r="J20">
            <v>10</v>
          </cell>
          <cell r="M20">
            <v>22</v>
          </cell>
        </row>
        <row r="21">
          <cell r="C21">
            <v>1212</v>
          </cell>
          <cell r="D21" t="str">
            <v>DELI SERDANG</v>
          </cell>
          <cell r="E21">
            <v>0.2</v>
          </cell>
          <cell r="F21">
            <v>10</v>
          </cell>
          <cell r="G21">
            <v>1</v>
          </cell>
          <cell r="H21">
            <v>7</v>
          </cell>
          <cell r="I21">
            <v>57</v>
          </cell>
          <cell r="J21">
            <v>44</v>
          </cell>
          <cell r="M21">
            <v>101</v>
          </cell>
          <cell r="Q21">
            <v>0</v>
          </cell>
        </row>
        <row r="22">
          <cell r="C22">
            <v>1213</v>
          </cell>
          <cell r="D22" t="str">
            <v>LANGKAT</v>
          </cell>
          <cell r="E22">
            <v>0.2</v>
          </cell>
          <cell r="F22">
            <v>16</v>
          </cell>
          <cell r="G22">
            <v>0</v>
          </cell>
          <cell r="H22">
            <v>2</v>
          </cell>
          <cell r="I22">
            <v>10</v>
          </cell>
          <cell r="J22">
            <v>16</v>
          </cell>
          <cell r="M22">
            <v>26</v>
          </cell>
        </row>
        <row r="23">
          <cell r="C23">
            <v>1271</v>
          </cell>
          <cell r="D23" t="str">
            <v>KOTA SIBOLGA</v>
          </cell>
          <cell r="E23">
            <v>0.3</v>
          </cell>
          <cell r="F23">
            <v>9</v>
          </cell>
          <cell r="G23">
            <v>0</v>
          </cell>
          <cell r="H23">
            <v>4</v>
          </cell>
          <cell r="I23">
            <v>15</v>
          </cell>
          <cell r="J23">
            <v>2</v>
          </cell>
          <cell r="M23">
            <v>17</v>
          </cell>
        </row>
        <row r="24">
          <cell r="C24">
            <v>1272</v>
          </cell>
          <cell r="D24" t="str">
            <v>KOTA TANJUNG BALAI</v>
          </cell>
          <cell r="E24">
            <v>0.2</v>
          </cell>
          <cell r="F24">
            <v>12</v>
          </cell>
          <cell r="G24">
            <v>1</v>
          </cell>
          <cell r="H24">
            <v>6</v>
          </cell>
          <cell r="I24">
            <v>17</v>
          </cell>
          <cell r="J24">
            <v>14</v>
          </cell>
          <cell r="M24">
            <v>31</v>
          </cell>
        </row>
        <row r="25">
          <cell r="C25">
            <v>1273</v>
          </cell>
          <cell r="D25" t="str">
            <v>KOTA PEMATANG SIANTAR</v>
          </cell>
          <cell r="E25">
            <v>0.2</v>
          </cell>
          <cell r="F25">
            <v>14</v>
          </cell>
          <cell r="G25">
            <v>1</v>
          </cell>
          <cell r="H25">
            <v>7</v>
          </cell>
          <cell r="J25">
            <v>43</v>
          </cell>
          <cell r="M25">
            <v>43</v>
          </cell>
        </row>
        <row r="26">
          <cell r="C26">
            <v>1274</v>
          </cell>
          <cell r="D26" t="str">
            <v>KOTA TEBING TINGGI</v>
          </cell>
          <cell r="E26">
            <v>0.2</v>
          </cell>
          <cell r="F26">
            <v>11</v>
          </cell>
          <cell r="G26">
            <v>1</v>
          </cell>
          <cell r="H26">
            <v>5</v>
          </cell>
          <cell r="I26">
            <v>27</v>
          </cell>
          <cell r="J26">
            <v>8</v>
          </cell>
          <cell r="M26">
            <v>35</v>
          </cell>
        </row>
        <row r="27">
          <cell r="C27">
            <v>1275</v>
          </cell>
          <cell r="D27" t="str">
            <v>KOTA MEDAN</v>
          </cell>
          <cell r="E27">
            <v>0.2</v>
          </cell>
          <cell r="F27">
            <v>15</v>
          </cell>
          <cell r="G27">
            <v>1</v>
          </cell>
          <cell r="H27">
            <v>21</v>
          </cell>
          <cell r="I27">
            <v>88</v>
          </cell>
          <cell r="J27">
            <v>63</v>
          </cell>
          <cell r="M27">
            <v>151</v>
          </cell>
          <cell r="Q27">
            <v>0</v>
          </cell>
        </row>
        <row r="28">
          <cell r="C28">
            <v>1276</v>
          </cell>
          <cell r="D28" t="str">
            <v>KOTA BINJAI</v>
          </cell>
          <cell r="E28">
            <v>0.2</v>
          </cell>
          <cell r="F28">
            <v>16</v>
          </cell>
          <cell r="G28">
            <v>1</v>
          </cell>
          <cell r="H28">
            <v>5</v>
          </cell>
          <cell r="J28">
            <v>37</v>
          </cell>
          <cell r="M28">
            <v>37</v>
          </cell>
          <cell r="Q28">
            <v>0</v>
          </cell>
        </row>
        <row r="29">
          <cell r="C29">
            <v>1277</v>
          </cell>
          <cell r="D29" t="str">
            <v>KOTA PADANGSIDIMPUAN</v>
          </cell>
          <cell r="E29">
            <v>0.2</v>
          </cell>
          <cell r="F29">
            <v>17</v>
          </cell>
          <cell r="G29">
            <v>1</v>
          </cell>
          <cell r="H29">
            <v>6</v>
          </cell>
          <cell r="I29">
            <v>32</v>
          </cell>
          <cell r="J29">
            <v>47</v>
          </cell>
          <cell r="M29">
            <v>79</v>
          </cell>
          <cell r="O29">
            <v>2</v>
          </cell>
          <cell r="Q29">
            <v>1</v>
          </cell>
        </row>
        <row r="30">
          <cell r="B30" t="str">
            <v>SUMATERA UTARA Total</v>
          </cell>
          <cell r="D30">
            <v>14</v>
          </cell>
          <cell r="G30">
            <v>8</v>
          </cell>
          <cell r="H30">
            <v>71</v>
          </cell>
          <cell r="I30">
            <v>303</v>
          </cell>
          <cell r="J30">
            <v>311</v>
          </cell>
          <cell r="K30">
            <v>0</v>
          </cell>
          <cell r="M30">
            <v>614</v>
          </cell>
          <cell r="N30">
            <v>0</v>
          </cell>
          <cell r="O30">
            <v>2</v>
          </cell>
          <cell r="P30">
            <v>1</v>
          </cell>
          <cell r="Q30">
            <v>4</v>
          </cell>
        </row>
        <row r="31">
          <cell r="A31">
            <v>13</v>
          </cell>
          <cell r="B31" t="str">
            <v>SUMATERA BARAT</v>
          </cell>
          <cell r="C31">
            <v>1304</v>
          </cell>
          <cell r="D31" t="str">
            <v>SIJUNJUNG</v>
          </cell>
          <cell r="E31">
            <v>0.2</v>
          </cell>
          <cell r="F31">
            <v>22</v>
          </cell>
          <cell r="G31">
            <v>0</v>
          </cell>
          <cell r="H31">
            <v>1</v>
          </cell>
          <cell r="I31">
            <v>3</v>
          </cell>
          <cell r="J31">
            <v>6</v>
          </cell>
          <cell r="M31">
            <v>9</v>
          </cell>
          <cell r="P31">
            <v>1</v>
          </cell>
          <cell r="Q31">
            <v>0</v>
          </cell>
        </row>
        <row r="32">
          <cell r="C32">
            <v>1306</v>
          </cell>
          <cell r="D32" t="str">
            <v>PADANG PARIAMAN</v>
          </cell>
          <cell r="E32">
            <v>0.2</v>
          </cell>
          <cell r="F32">
            <v>21</v>
          </cell>
          <cell r="G32">
            <v>0</v>
          </cell>
          <cell r="H32">
            <v>1</v>
          </cell>
          <cell r="I32">
            <v>10</v>
          </cell>
          <cell r="J32">
            <v>1</v>
          </cell>
          <cell r="L32">
            <v>10</v>
          </cell>
          <cell r="M32">
            <v>11</v>
          </cell>
          <cell r="Q32">
            <v>0</v>
          </cell>
        </row>
        <row r="33">
          <cell r="C33">
            <v>1307</v>
          </cell>
          <cell r="D33" t="str">
            <v>AGAM</v>
          </cell>
          <cell r="E33">
            <v>0.2</v>
          </cell>
          <cell r="F33">
            <v>20</v>
          </cell>
          <cell r="G33">
            <v>0</v>
          </cell>
          <cell r="H33">
            <v>1</v>
          </cell>
          <cell r="J33">
            <v>7</v>
          </cell>
          <cell r="M33">
            <v>7</v>
          </cell>
          <cell r="Q33">
            <v>0</v>
          </cell>
        </row>
        <row r="34">
          <cell r="C34">
            <v>1308</v>
          </cell>
          <cell r="D34" t="str">
            <v>LIMA PULUH KOTO</v>
          </cell>
          <cell r="E34">
            <v>0.2</v>
          </cell>
          <cell r="F34">
            <v>19</v>
          </cell>
          <cell r="G34">
            <v>0</v>
          </cell>
          <cell r="H34">
            <v>1</v>
          </cell>
          <cell r="J34">
            <v>7</v>
          </cell>
          <cell r="M34">
            <v>7</v>
          </cell>
          <cell r="Q34">
            <v>1</v>
          </cell>
        </row>
        <row r="35">
          <cell r="C35">
            <v>1371</v>
          </cell>
          <cell r="D35" t="str">
            <v>KOTA PADANG</v>
          </cell>
          <cell r="E35">
            <v>0.2</v>
          </cell>
          <cell r="F35">
            <v>18</v>
          </cell>
          <cell r="G35">
            <v>1</v>
          </cell>
          <cell r="H35">
            <v>11</v>
          </cell>
          <cell r="I35">
            <v>22</v>
          </cell>
          <cell r="J35">
            <v>82</v>
          </cell>
          <cell r="L35">
            <v>104</v>
          </cell>
          <cell r="M35">
            <v>104</v>
          </cell>
          <cell r="Q35">
            <v>1</v>
          </cell>
        </row>
        <row r="36">
          <cell r="C36">
            <v>1372</v>
          </cell>
          <cell r="D36" t="str">
            <v>KOTA SOLOK</v>
          </cell>
          <cell r="E36">
            <v>0.3</v>
          </cell>
          <cell r="F36">
            <v>18</v>
          </cell>
          <cell r="G36">
            <v>0</v>
          </cell>
          <cell r="H36">
            <v>2</v>
          </cell>
          <cell r="J36">
            <v>13</v>
          </cell>
          <cell r="M36">
            <v>13</v>
          </cell>
          <cell r="Q36">
            <v>1</v>
          </cell>
        </row>
        <row r="37">
          <cell r="C37">
            <v>1373</v>
          </cell>
          <cell r="D37" t="str">
            <v>KOTA SAWAH LUNTO</v>
          </cell>
          <cell r="E37">
            <v>0.3</v>
          </cell>
          <cell r="F37">
            <v>22</v>
          </cell>
          <cell r="G37">
            <v>1</v>
          </cell>
          <cell r="H37">
            <v>4</v>
          </cell>
          <cell r="I37">
            <v>14</v>
          </cell>
          <cell r="J37">
            <v>23</v>
          </cell>
          <cell r="M37">
            <v>37</v>
          </cell>
          <cell r="O37">
            <v>3</v>
          </cell>
          <cell r="Q37">
            <v>1</v>
          </cell>
        </row>
        <row r="38">
          <cell r="C38">
            <v>1374</v>
          </cell>
          <cell r="D38" t="str">
            <v>KOTA PADANG PANJANG</v>
          </cell>
          <cell r="E38">
            <v>0.3</v>
          </cell>
          <cell r="F38">
            <v>20</v>
          </cell>
          <cell r="G38">
            <v>0</v>
          </cell>
          <cell r="H38">
            <v>2</v>
          </cell>
          <cell r="I38">
            <v>15</v>
          </cell>
          <cell r="J38">
            <v>1</v>
          </cell>
          <cell r="M38">
            <v>16</v>
          </cell>
        </row>
        <row r="39">
          <cell r="C39">
            <v>1375</v>
          </cell>
          <cell r="D39" t="str">
            <v>KOTA BUKITTINGGI</v>
          </cell>
          <cell r="E39">
            <v>0.2</v>
          </cell>
          <cell r="F39">
            <v>20</v>
          </cell>
          <cell r="G39">
            <v>1</v>
          </cell>
          <cell r="H39">
            <v>3</v>
          </cell>
          <cell r="I39">
            <v>7</v>
          </cell>
          <cell r="J39">
            <v>17</v>
          </cell>
          <cell r="M39">
            <v>24</v>
          </cell>
        </row>
        <row r="40">
          <cell r="C40">
            <v>1376</v>
          </cell>
          <cell r="D40" t="str">
            <v>KOTA PAYAKUMBUH</v>
          </cell>
          <cell r="E40">
            <v>0.2</v>
          </cell>
          <cell r="F40">
            <v>19</v>
          </cell>
          <cell r="G40">
            <v>1</v>
          </cell>
          <cell r="H40">
            <v>3</v>
          </cell>
          <cell r="I40">
            <v>57</v>
          </cell>
          <cell r="J40">
            <v>16</v>
          </cell>
          <cell r="M40">
            <v>73</v>
          </cell>
        </row>
        <row r="41">
          <cell r="D41" t="str">
            <v>KOTA PARIAMAN</v>
          </cell>
          <cell r="E41">
            <v>0.2</v>
          </cell>
          <cell r="F41">
            <v>21</v>
          </cell>
          <cell r="G41">
            <v>1</v>
          </cell>
          <cell r="H41">
            <v>3</v>
          </cell>
          <cell r="I41">
            <v>63</v>
          </cell>
          <cell r="J41">
            <v>8</v>
          </cell>
          <cell r="L41">
            <v>71</v>
          </cell>
          <cell r="M41">
            <v>71</v>
          </cell>
        </row>
        <row r="42">
          <cell r="D42" t="str">
            <v>PESISIR SELATAN</v>
          </cell>
          <cell r="F42">
            <v>18</v>
          </cell>
          <cell r="G42">
            <v>0</v>
          </cell>
          <cell r="K42">
            <v>8</v>
          </cell>
          <cell r="M42">
            <v>8</v>
          </cell>
          <cell r="Q42">
            <v>1</v>
          </cell>
        </row>
        <row r="43">
          <cell r="C43">
            <v>1377</v>
          </cell>
          <cell r="D43" t="str">
            <v>SOLOK</v>
          </cell>
          <cell r="F43">
            <v>18</v>
          </cell>
          <cell r="G43">
            <v>0</v>
          </cell>
          <cell r="K43">
            <v>8</v>
          </cell>
          <cell r="M43">
            <v>8</v>
          </cell>
          <cell r="O43">
            <v>1</v>
          </cell>
          <cell r="Q43">
            <v>1</v>
          </cell>
        </row>
        <row r="44">
          <cell r="B44" t="str">
            <v>SUMATERA BARAT Total</v>
          </cell>
          <cell r="D44">
            <v>13</v>
          </cell>
          <cell r="G44">
            <v>5</v>
          </cell>
          <cell r="H44">
            <v>32</v>
          </cell>
          <cell r="I44">
            <v>191</v>
          </cell>
          <cell r="J44">
            <v>181</v>
          </cell>
          <cell r="K44">
            <v>16</v>
          </cell>
          <cell r="L44">
            <v>185</v>
          </cell>
          <cell r="M44">
            <v>388</v>
          </cell>
          <cell r="N44">
            <v>0</v>
          </cell>
          <cell r="O44">
            <v>4</v>
          </cell>
          <cell r="P44">
            <v>1</v>
          </cell>
          <cell r="Q44">
            <v>6</v>
          </cell>
        </row>
        <row r="45">
          <cell r="A45">
            <v>14</v>
          </cell>
          <cell r="B45" t="str">
            <v>RIAU</v>
          </cell>
          <cell r="C45">
            <v>1401</v>
          </cell>
          <cell r="D45" t="str">
            <v>KUANTAN SINGINGI</v>
          </cell>
          <cell r="E45">
            <v>0.3</v>
          </cell>
          <cell r="F45">
            <v>24</v>
          </cell>
          <cell r="G45">
            <v>0</v>
          </cell>
          <cell r="H45">
            <v>1</v>
          </cell>
          <cell r="I45">
            <v>12</v>
          </cell>
          <cell r="J45">
            <v>1</v>
          </cell>
          <cell r="M45">
            <v>13</v>
          </cell>
          <cell r="P45">
            <v>0</v>
          </cell>
          <cell r="Q45">
            <v>0</v>
          </cell>
        </row>
        <row r="46">
          <cell r="C46">
            <v>1403</v>
          </cell>
          <cell r="D46" t="str">
            <v>INDRAGIRI HILIR</v>
          </cell>
          <cell r="E46">
            <v>0.2</v>
          </cell>
          <cell r="F46">
            <v>24</v>
          </cell>
          <cell r="G46">
            <v>0</v>
          </cell>
          <cell r="H46">
            <v>1</v>
          </cell>
          <cell r="I46">
            <v>4</v>
          </cell>
          <cell r="J46">
            <v>2</v>
          </cell>
          <cell r="M46">
            <v>6</v>
          </cell>
          <cell r="Q46">
            <v>0</v>
          </cell>
        </row>
        <row r="47">
          <cell r="C47">
            <v>1408</v>
          </cell>
          <cell r="D47" t="str">
            <v>BENGKALIS</v>
          </cell>
          <cell r="E47">
            <v>0.3</v>
          </cell>
          <cell r="F47">
            <v>23</v>
          </cell>
          <cell r="G47">
            <v>0</v>
          </cell>
          <cell r="H47">
            <v>1</v>
          </cell>
          <cell r="J47">
            <v>15</v>
          </cell>
          <cell r="M47">
            <v>15</v>
          </cell>
          <cell r="Q47">
            <v>0</v>
          </cell>
        </row>
        <row r="48">
          <cell r="C48">
            <v>1471</v>
          </cell>
          <cell r="D48" t="str">
            <v>KOTA PEKANBARU</v>
          </cell>
          <cell r="E48">
            <v>0.2</v>
          </cell>
          <cell r="F48">
            <v>24</v>
          </cell>
          <cell r="G48">
            <v>1</v>
          </cell>
          <cell r="H48">
            <v>12</v>
          </cell>
          <cell r="I48">
            <v>21</v>
          </cell>
          <cell r="J48">
            <v>37</v>
          </cell>
          <cell r="M48">
            <v>58</v>
          </cell>
          <cell r="Q48">
            <v>0</v>
          </cell>
        </row>
        <row r="49">
          <cell r="C49">
            <v>1473</v>
          </cell>
          <cell r="D49" t="str">
            <v>KOTA DUMAI</v>
          </cell>
          <cell r="E49">
            <v>0.3</v>
          </cell>
          <cell r="F49">
            <v>23</v>
          </cell>
          <cell r="G49">
            <v>1</v>
          </cell>
          <cell r="H49">
            <v>5</v>
          </cell>
          <cell r="I49">
            <v>18</v>
          </cell>
          <cell r="J49">
            <v>14</v>
          </cell>
          <cell r="M49">
            <v>32</v>
          </cell>
          <cell r="Q49">
            <v>0</v>
          </cell>
        </row>
        <row r="50">
          <cell r="B50" t="str">
            <v>RIAU Total</v>
          </cell>
          <cell r="D50">
            <v>5</v>
          </cell>
          <cell r="G50">
            <v>2</v>
          </cell>
          <cell r="H50">
            <v>20</v>
          </cell>
          <cell r="I50">
            <v>55</v>
          </cell>
          <cell r="J50">
            <v>69</v>
          </cell>
          <cell r="K50">
            <v>0</v>
          </cell>
          <cell r="M50">
            <v>124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</row>
        <row r="51">
          <cell r="A51">
            <v>15</v>
          </cell>
          <cell r="B51" t="str">
            <v>JAMBI</v>
          </cell>
          <cell r="C51">
            <v>1571</v>
          </cell>
          <cell r="D51" t="str">
            <v>KOTA JAMBI</v>
          </cell>
          <cell r="E51">
            <v>0.2</v>
          </cell>
          <cell r="F51">
            <v>25</v>
          </cell>
          <cell r="G51">
            <v>1</v>
          </cell>
          <cell r="H51">
            <v>8</v>
          </cell>
          <cell r="I51">
            <v>37</v>
          </cell>
          <cell r="J51">
            <v>24</v>
          </cell>
          <cell r="M51">
            <v>61</v>
          </cell>
          <cell r="P51">
            <v>0</v>
          </cell>
          <cell r="Q51">
            <v>0</v>
          </cell>
        </row>
        <row r="52">
          <cell r="C52">
            <v>1572</v>
          </cell>
          <cell r="D52" t="str">
            <v>KOTA SUNGAI PENUH</v>
          </cell>
          <cell r="E52" t="str">
            <v>(blank)</v>
          </cell>
          <cell r="F52">
            <v>25</v>
          </cell>
          <cell r="G52">
            <v>0</v>
          </cell>
          <cell r="H52">
            <v>1</v>
          </cell>
          <cell r="I52">
            <v>19</v>
          </cell>
          <cell r="M52">
            <v>19</v>
          </cell>
          <cell r="Q52">
            <v>0</v>
          </cell>
        </row>
        <row r="53">
          <cell r="B53" t="str">
            <v>JAMBI Total</v>
          </cell>
          <cell r="D53">
            <v>2</v>
          </cell>
          <cell r="G53">
            <v>1</v>
          </cell>
          <cell r="H53">
            <v>9</v>
          </cell>
          <cell r="I53">
            <v>56</v>
          </cell>
          <cell r="J53">
            <v>24</v>
          </cell>
          <cell r="K53">
            <v>0</v>
          </cell>
          <cell r="M53">
            <v>80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</row>
        <row r="54">
          <cell r="A54">
            <v>16</v>
          </cell>
          <cell r="B54" t="str">
            <v>SUMATERA SELATAN</v>
          </cell>
          <cell r="C54">
            <v>1601</v>
          </cell>
          <cell r="D54" t="str">
            <v>OGAN KOMERING ULU</v>
          </cell>
          <cell r="E54">
            <v>0.2</v>
          </cell>
          <cell r="F54">
            <v>27</v>
          </cell>
          <cell r="G54">
            <v>0</v>
          </cell>
          <cell r="H54">
            <v>2</v>
          </cell>
          <cell r="I54">
            <v>5</v>
          </cell>
          <cell r="J54">
            <v>20</v>
          </cell>
          <cell r="M54">
            <v>25</v>
          </cell>
          <cell r="P54">
            <v>0</v>
          </cell>
          <cell r="Q54">
            <v>0</v>
          </cell>
        </row>
        <row r="55">
          <cell r="C55">
            <v>1602</v>
          </cell>
          <cell r="D55" t="str">
            <v>OGAN KOMERING ILIR</v>
          </cell>
          <cell r="E55">
            <v>0.2</v>
          </cell>
          <cell r="F55">
            <v>27</v>
          </cell>
          <cell r="G55">
            <v>0</v>
          </cell>
          <cell r="H55">
            <v>1</v>
          </cell>
          <cell r="J55">
            <v>25</v>
          </cell>
          <cell r="M55">
            <v>25</v>
          </cell>
          <cell r="Q55">
            <v>0</v>
          </cell>
        </row>
        <row r="56">
          <cell r="C56">
            <v>1603</v>
          </cell>
          <cell r="D56" t="str">
            <v>MUARA ENIM</v>
          </cell>
          <cell r="E56">
            <v>0.2</v>
          </cell>
          <cell r="F56">
            <v>26</v>
          </cell>
          <cell r="G56">
            <v>0</v>
          </cell>
          <cell r="H56">
            <v>1</v>
          </cell>
          <cell r="J56">
            <v>7</v>
          </cell>
          <cell r="M56">
            <v>7</v>
          </cell>
          <cell r="Q56">
            <v>0</v>
          </cell>
        </row>
        <row r="57">
          <cell r="C57">
            <v>1671</v>
          </cell>
          <cell r="D57" t="str">
            <v>KOTA PALEMBANG</v>
          </cell>
          <cell r="E57">
            <v>0.2</v>
          </cell>
          <cell r="F57">
            <v>27</v>
          </cell>
          <cell r="G57">
            <v>1</v>
          </cell>
          <cell r="H57">
            <v>16</v>
          </cell>
          <cell r="I57">
            <v>59</v>
          </cell>
          <cell r="J57">
            <v>48</v>
          </cell>
          <cell r="M57">
            <v>107</v>
          </cell>
          <cell r="Q57">
            <v>0</v>
          </cell>
        </row>
        <row r="58">
          <cell r="C58">
            <v>1672</v>
          </cell>
          <cell r="D58" t="str">
            <v>KOTA PRABUMULIH</v>
          </cell>
          <cell r="E58">
            <v>0.3</v>
          </cell>
          <cell r="F58">
            <v>26</v>
          </cell>
          <cell r="G58">
            <v>1</v>
          </cell>
          <cell r="H58">
            <v>6</v>
          </cell>
          <cell r="I58">
            <v>11</v>
          </cell>
          <cell r="J58">
            <v>26</v>
          </cell>
          <cell r="M58">
            <v>37</v>
          </cell>
          <cell r="Q58">
            <v>0</v>
          </cell>
        </row>
        <row r="59">
          <cell r="C59">
            <v>1673</v>
          </cell>
          <cell r="D59" t="str">
            <v>KOTA PAGAR ALAM</v>
          </cell>
          <cell r="E59">
            <v>0.2</v>
          </cell>
          <cell r="F59">
            <v>28</v>
          </cell>
          <cell r="G59">
            <v>1</v>
          </cell>
          <cell r="H59">
            <v>5</v>
          </cell>
          <cell r="I59">
            <v>6</v>
          </cell>
          <cell r="J59">
            <v>29</v>
          </cell>
          <cell r="M59">
            <v>35</v>
          </cell>
          <cell r="Q59">
            <v>0</v>
          </cell>
        </row>
        <row r="60">
          <cell r="C60">
            <v>1674</v>
          </cell>
          <cell r="D60" t="str">
            <v>KOTA LUBUKLINGGAU</v>
          </cell>
          <cell r="E60">
            <v>0.3</v>
          </cell>
          <cell r="F60">
            <v>29</v>
          </cell>
          <cell r="G60">
            <v>1</v>
          </cell>
          <cell r="H60">
            <v>8</v>
          </cell>
          <cell r="I60">
            <v>56</v>
          </cell>
          <cell r="J60">
            <v>16</v>
          </cell>
          <cell r="M60">
            <v>72</v>
          </cell>
          <cell r="Q60">
            <v>0</v>
          </cell>
        </row>
        <row r="61">
          <cell r="B61" t="str">
            <v>SUMATERA SELATAN Total</v>
          </cell>
          <cell r="D61">
            <v>7</v>
          </cell>
          <cell r="G61">
            <v>4</v>
          </cell>
          <cell r="H61">
            <v>39</v>
          </cell>
          <cell r="I61">
            <v>137</v>
          </cell>
          <cell r="J61">
            <v>171</v>
          </cell>
          <cell r="K61">
            <v>0</v>
          </cell>
          <cell r="M61">
            <v>308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</row>
        <row r="62">
          <cell r="A62">
            <v>17</v>
          </cell>
          <cell r="B62" t="str">
            <v>BENGKULU</v>
          </cell>
          <cell r="C62">
            <v>1701</v>
          </cell>
          <cell r="D62" t="str">
            <v>BENGKULU SELATAN</v>
          </cell>
          <cell r="E62">
            <v>0.2</v>
          </cell>
          <cell r="F62">
            <v>30</v>
          </cell>
          <cell r="G62">
            <v>0</v>
          </cell>
          <cell r="H62">
            <v>1</v>
          </cell>
          <cell r="I62">
            <v>4</v>
          </cell>
          <cell r="J62">
            <v>7</v>
          </cell>
          <cell r="M62">
            <v>11</v>
          </cell>
          <cell r="P62">
            <v>0</v>
          </cell>
          <cell r="Q62">
            <v>0</v>
          </cell>
        </row>
        <row r="63">
          <cell r="C63">
            <v>1702</v>
          </cell>
          <cell r="D63" t="str">
            <v>REJANG LEBONG</v>
          </cell>
          <cell r="E63">
            <v>0.2</v>
          </cell>
          <cell r="F63">
            <v>30</v>
          </cell>
          <cell r="G63">
            <v>1</v>
          </cell>
          <cell r="H63">
            <v>5</v>
          </cell>
          <cell r="I63">
            <v>51</v>
          </cell>
          <cell r="J63">
            <v>2</v>
          </cell>
          <cell r="M63">
            <v>53</v>
          </cell>
          <cell r="Q63">
            <v>1</v>
          </cell>
        </row>
        <row r="64">
          <cell r="C64">
            <v>1771</v>
          </cell>
          <cell r="D64" t="str">
            <v>KOTA BENGKULU</v>
          </cell>
          <cell r="E64">
            <v>0.2</v>
          </cell>
          <cell r="F64">
            <v>31</v>
          </cell>
          <cell r="G64">
            <v>1</v>
          </cell>
          <cell r="H64">
            <v>8</v>
          </cell>
          <cell r="I64">
            <v>45</v>
          </cell>
          <cell r="J64">
            <v>22</v>
          </cell>
          <cell r="M64">
            <v>67</v>
          </cell>
          <cell r="Q64">
            <v>0</v>
          </cell>
        </row>
        <row r="65">
          <cell r="D65" t="str">
            <v>KAUR</v>
          </cell>
          <cell r="F65">
            <v>31</v>
          </cell>
          <cell r="G65">
            <v>0</v>
          </cell>
          <cell r="K65">
            <v>8</v>
          </cell>
          <cell r="M65">
            <v>8</v>
          </cell>
          <cell r="Q65">
            <v>1</v>
          </cell>
        </row>
        <row r="66">
          <cell r="B66" t="str">
            <v>BENGKULU Total</v>
          </cell>
          <cell r="D66">
            <v>4</v>
          </cell>
          <cell r="G66">
            <v>2</v>
          </cell>
          <cell r="H66">
            <v>14</v>
          </cell>
          <cell r="I66">
            <v>100</v>
          </cell>
          <cell r="J66">
            <v>31</v>
          </cell>
          <cell r="K66">
            <v>8</v>
          </cell>
          <cell r="L66">
            <v>0</v>
          </cell>
          <cell r="M66">
            <v>139</v>
          </cell>
          <cell r="N66">
            <v>0</v>
          </cell>
          <cell r="O66">
            <v>0</v>
          </cell>
          <cell r="P66">
            <v>0</v>
          </cell>
          <cell r="Q66">
            <v>2</v>
          </cell>
        </row>
        <row r="67">
          <cell r="A67">
            <v>18</v>
          </cell>
          <cell r="B67" t="str">
            <v>LAMPUNG</v>
          </cell>
          <cell r="C67">
            <v>1806</v>
          </cell>
          <cell r="D67" t="str">
            <v>LAMPUNG UTARA</v>
          </cell>
          <cell r="E67">
            <v>0.2</v>
          </cell>
          <cell r="F67">
            <v>32</v>
          </cell>
          <cell r="G67">
            <v>0</v>
          </cell>
          <cell r="H67">
            <v>1</v>
          </cell>
          <cell r="I67">
            <v>4</v>
          </cell>
          <cell r="J67">
            <v>9</v>
          </cell>
          <cell r="M67">
            <v>13</v>
          </cell>
          <cell r="P67">
            <v>0</v>
          </cell>
          <cell r="Q67">
            <v>1</v>
          </cell>
        </row>
        <row r="68">
          <cell r="C68">
            <v>1810</v>
          </cell>
          <cell r="D68" t="str">
            <v>PRINGSEWU</v>
          </cell>
          <cell r="E68">
            <v>0.2</v>
          </cell>
          <cell r="F68">
            <v>33</v>
          </cell>
          <cell r="G68">
            <v>0</v>
          </cell>
          <cell r="H68">
            <v>2</v>
          </cell>
          <cell r="J68">
            <v>20</v>
          </cell>
          <cell r="M68">
            <v>20</v>
          </cell>
          <cell r="Q68">
            <v>0</v>
          </cell>
        </row>
        <row r="69">
          <cell r="C69">
            <v>1871</v>
          </cell>
          <cell r="D69" t="str">
            <v>KOTA BANDAR LAMPUNG</v>
          </cell>
          <cell r="E69">
            <v>0.2</v>
          </cell>
          <cell r="F69">
            <v>33</v>
          </cell>
          <cell r="G69">
            <v>1</v>
          </cell>
          <cell r="H69">
            <v>13</v>
          </cell>
          <cell r="I69">
            <v>69</v>
          </cell>
          <cell r="J69">
            <v>29</v>
          </cell>
          <cell r="M69">
            <v>98</v>
          </cell>
          <cell r="Q69">
            <v>0</v>
          </cell>
        </row>
        <row r="70">
          <cell r="C70">
            <v>1872</v>
          </cell>
          <cell r="D70" t="str">
            <v>KOTA METRO</v>
          </cell>
          <cell r="E70">
            <v>0.2</v>
          </cell>
          <cell r="F70">
            <v>32</v>
          </cell>
          <cell r="G70">
            <v>1</v>
          </cell>
          <cell r="H70">
            <v>5</v>
          </cell>
          <cell r="J70">
            <v>22</v>
          </cell>
          <cell r="M70">
            <v>22</v>
          </cell>
          <cell r="Q70">
            <v>0</v>
          </cell>
        </row>
        <row r="71">
          <cell r="B71" t="str">
            <v>LAMPUNG Total</v>
          </cell>
          <cell r="D71">
            <v>0</v>
          </cell>
          <cell r="E71">
            <v>0.8</v>
          </cell>
          <cell r="G71">
            <v>2</v>
          </cell>
          <cell r="H71">
            <v>21</v>
          </cell>
          <cell r="I71">
            <v>73</v>
          </cell>
          <cell r="J71">
            <v>80</v>
          </cell>
          <cell r="K71">
            <v>0</v>
          </cell>
          <cell r="M71">
            <v>153</v>
          </cell>
          <cell r="N71">
            <v>0</v>
          </cell>
          <cell r="O71">
            <v>0</v>
          </cell>
          <cell r="P71">
            <v>0</v>
          </cell>
          <cell r="Q71">
            <v>1</v>
          </cell>
        </row>
        <row r="72">
          <cell r="A72">
            <v>19</v>
          </cell>
          <cell r="B72" t="str">
            <v>BANGKA BELITUNG</v>
          </cell>
          <cell r="C72">
            <v>1901</v>
          </cell>
          <cell r="D72" t="str">
            <v>BANGKA</v>
          </cell>
          <cell r="E72">
            <v>0.2</v>
          </cell>
          <cell r="F72">
            <v>34</v>
          </cell>
          <cell r="G72">
            <v>0</v>
          </cell>
          <cell r="H72">
            <v>2</v>
          </cell>
          <cell r="J72">
            <v>13</v>
          </cell>
          <cell r="M72">
            <v>13</v>
          </cell>
          <cell r="P72">
            <v>0</v>
          </cell>
          <cell r="Q72">
            <v>0</v>
          </cell>
        </row>
        <row r="73">
          <cell r="C73">
            <v>1902</v>
          </cell>
          <cell r="D73" t="str">
            <v>BELITUNG</v>
          </cell>
          <cell r="E73">
            <v>0.3</v>
          </cell>
          <cell r="F73">
            <v>35</v>
          </cell>
          <cell r="G73">
            <v>0</v>
          </cell>
          <cell r="H73">
            <v>1</v>
          </cell>
          <cell r="I73">
            <v>7</v>
          </cell>
          <cell r="J73">
            <v>5</v>
          </cell>
          <cell r="M73">
            <v>12</v>
          </cell>
          <cell r="O73">
            <v>1</v>
          </cell>
          <cell r="Q73">
            <v>1</v>
          </cell>
        </row>
        <row r="74">
          <cell r="C74">
            <v>1903</v>
          </cell>
          <cell r="D74" t="str">
            <v>BANGKA BARAT</v>
          </cell>
          <cell r="E74">
            <v>0.2</v>
          </cell>
          <cell r="F74">
            <v>34</v>
          </cell>
          <cell r="G74">
            <v>0</v>
          </cell>
          <cell r="H74">
            <v>1</v>
          </cell>
          <cell r="I74">
            <v>4</v>
          </cell>
          <cell r="J74">
            <v>3</v>
          </cell>
          <cell r="M74">
            <v>7</v>
          </cell>
          <cell r="Q74">
            <v>0</v>
          </cell>
        </row>
        <row r="75">
          <cell r="C75">
            <v>1906</v>
          </cell>
          <cell r="D75" t="str">
            <v>BELITUNG TIMUR</v>
          </cell>
          <cell r="E75">
            <v>0.3</v>
          </cell>
          <cell r="F75">
            <v>35</v>
          </cell>
          <cell r="G75">
            <v>1</v>
          </cell>
          <cell r="H75">
            <v>2</v>
          </cell>
          <cell r="I75">
            <v>4</v>
          </cell>
          <cell r="J75">
            <v>13</v>
          </cell>
          <cell r="M75">
            <v>17</v>
          </cell>
          <cell r="Q75">
            <v>1</v>
          </cell>
        </row>
        <row r="76">
          <cell r="C76">
            <v>1971</v>
          </cell>
          <cell r="D76" t="str">
            <v>KOTA PANGKAL PINANG</v>
          </cell>
          <cell r="E76">
            <v>0.2</v>
          </cell>
          <cell r="F76">
            <v>34</v>
          </cell>
          <cell r="G76">
            <v>1</v>
          </cell>
          <cell r="H76">
            <v>5</v>
          </cell>
          <cell r="I76">
            <v>8</v>
          </cell>
          <cell r="J76">
            <v>28</v>
          </cell>
          <cell r="M76">
            <v>36</v>
          </cell>
          <cell r="Q76">
            <v>0</v>
          </cell>
        </row>
        <row r="77">
          <cell r="B77" t="str">
            <v>BANGKA BELITUNG Total</v>
          </cell>
          <cell r="D77">
            <v>5</v>
          </cell>
          <cell r="G77">
            <v>2</v>
          </cell>
          <cell r="H77">
            <v>5</v>
          </cell>
          <cell r="I77">
            <v>23</v>
          </cell>
          <cell r="J77">
            <v>62</v>
          </cell>
          <cell r="K77">
            <v>0</v>
          </cell>
          <cell r="M77">
            <v>85</v>
          </cell>
          <cell r="N77">
            <v>0</v>
          </cell>
          <cell r="O77">
            <v>1</v>
          </cell>
          <cell r="P77">
            <v>0</v>
          </cell>
          <cell r="Q77">
            <v>2</v>
          </cell>
        </row>
        <row r="78">
          <cell r="A78">
            <v>21</v>
          </cell>
          <cell r="B78" t="str">
            <v>KEPULAUAN RIAU</v>
          </cell>
          <cell r="C78">
            <v>2101</v>
          </cell>
          <cell r="D78" t="str">
            <v>KARIMUN</v>
          </cell>
          <cell r="E78">
            <v>0.3</v>
          </cell>
          <cell r="F78">
            <v>36</v>
          </cell>
          <cell r="G78">
            <v>1</v>
          </cell>
          <cell r="H78">
            <v>4</v>
          </cell>
          <cell r="I78">
            <v>7</v>
          </cell>
          <cell r="J78">
            <v>15</v>
          </cell>
          <cell r="M78">
            <v>22</v>
          </cell>
          <cell r="P78">
            <v>0</v>
          </cell>
          <cell r="Q78">
            <v>0</v>
          </cell>
        </row>
        <row r="79">
          <cell r="C79">
            <v>2102</v>
          </cell>
          <cell r="D79" t="str">
            <v>BINTAN</v>
          </cell>
          <cell r="E79">
            <v>0.3</v>
          </cell>
          <cell r="F79">
            <v>36</v>
          </cell>
          <cell r="G79">
            <v>0</v>
          </cell>
          <cell r="H79">
            <v>1</v>
          </cell>
          <cell r="J79">
            <v>5</v>
          </cell>
          <cell r="M79">
            <v>5</v>
          </cell>
          <cell r="Q79">
            <v>0</v>
          </cell>
        </row>
        <row r="80">
          <cell r="C80">
            <v>2171</v>
          </cell>
          <cell r="D80" t="str">
            <v>KOTA BATAM</v>
          </cell>
          <cell r="E80">
            <v>0.2</v>
          </cell>
          <cell r="F80">
            <v>37</v>
          </cell>
          <cell r="G80">
            <v>1</v>
          </cell>
          <cell r="H80">
            <v>12</v>
          </cell>
          <cell r="J80">
            <v>64</v>
          </cell>
          <cell r="M80">
            <v>64</v>
          </cell>
          <cell r="Q80">
            <v>0</v>
          </cell>
        </row>
        <row r="81">
          <cell r="C81">
            <v>2172</v>
          </cell>
          <cell r="D81" t="str">
            <v>KOTA TANJUNG PINANG</v>
          </cell>
          <cell r="E81">
            <v>0.2</v>
          </cell>
          <cell r="F81">
            <v>37</v>
          </cell>
          <cell r="G81">
            <v>0</v>
          </cell>
          <cell r="H81">
            <v>4</v>
          </cell>
          <cell r="I81">
            <v>6</v>
          </cell>
          <cell r="J81">
            <v>12</v>
          </cell>
          <cell r="M81">
            <v>18</v>
          </cell>
          <cell r="Q81">
            <v>0</v>
          </cell>
        </row>
        <row r="82">
          <cell r="B82" t="str">
            <v>KEPULAUAN RIAU Total</v>
          </cell>
          <cell r="D82">
            <v>4</v>
          </cell>
          <cell r="G82">
            <v>2</v>
          </cell>
          <cell r="H82">
            <v>21</v>
          </cell>
          <cell r="I82">
            <v>13</v>
          </cell>
          <cell r="J82">
            <v>96</v>
          </cell>
          <cell r="K82">
            <v>0</v>
          </cell>
          <cell r="M82">
            <v>109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A83">
            <v>31</v>
          </cell>
          <cell r="B83" t="str">
            <v>DKI JAKARTA</v>
          </cell>
          <cell r="C83">
            <v>3101</v>
          </cell>
          <cell r="D83" t="str">
            <v>KEPULAUAN SERIBU</v>
          </cell>
          <cell r="E83">
            <v>0.3</v>
          </cell>
          <cell r="F83">
            <v>38</v>
          </cell>
          <cell r="G83">
            <v>0</v>
          </cell>
          <cell r="H83">
            <v>2</v>
          </cell>
          <cell r="J83">
            <v>6</v>
          </cell>
          <cell r="M83">
            <v>6</v>
          </cell>
          <cell r="P83">
            <v>0</v>
          </cell>
          <cell r="Q83">
            <v>0</v>
          </cell>
        </row>
        <row r="84">
          <cell r="C84">
            <v>3171</v>
          </cell>
          <cell r="D84" t="str">
            <v>JAKARTA SELATAN</v>
          </cell>
          <cell r="E84">
            <v>0.3</v>
          </cell>
          <cell r="F84">
            <v>39</v>
          </cell>
          <cell r="G84">
            <v>1</v>
          </cell>
          <cell r="H84">
            <v>10</v>
          </cell>
          <cell r="I84">
            <v>10</v>
          </cell>
          <cell r="J84">
            <v>55</v>
          </cell>
          <cell r="M84">
            <v>65</v>
          </cell>
          <cell r="Q84">
            <v>0</v>
          </cell>
        </row>
        <row r="85">
          <cell r="C85">
            <v>3172</v>
          </cell>
          <cell r="D85" t="str">
            <v>JAKARTA TIMUR</v>
          </cell>
          <cell r="E85">
            <v>0.3</v>
          </cell>
          <cell r="F85">
            <v>40</v>
          </cell>
          <cell r="G85">
            <v>1</v>
          </cell>
          <cell r="H85">
            <v>10</v>
          </cell>
          <cell r="I85">
            <v>9</v>
          </cell>
          <cell r="J85">
            <v>56</v>
          </cell>
          <cell r="M85">
            <v>65</v>
          </cell>
          <cell r="Q85">
            <v>0</v>
          </cell>
        </row>
        <row r="86">
          <cell r="C86">
            <v>3173</v>
          </cell>
          <cell r="D86" t="str">
            <v>JAKARTA PUSAT</v>
          </cell>
          <cell r="E86">
            <v>0.3</v>
          </cell>
          <cell r="F86">
            <v>41</v>
          </cell>
          <cell r="G86">
            <v>1</v>
          </cell>
          <cell r="H86">
            <v>8</v>
          </cell>
          <cell r="I86">
            <v>7</v>
          </cell>
          <cell r="J86">
            <v>37</v>
          </cell>
          <cell r="M86">
            <v>44</v>
          </cell>
          <cell r="Q86">
            <v>0</v>
          </cell>
        </row>
        <row r="87">
          <cell r="C87">
            <v>3174</v>
          </cell>
          <cell r="D87" t="str">
            <v>JAKARTA BARAT</v>
          </cell>
          <cell r="E87">
            <v>0.3</v>
          </cell>
          <cell r="F87">
            <v>38</v>
          </cell>
          <cell r="G87">
            <v>1</v>
          </cell>
          <cell r="H87">
            <v>8</v>
          </cell>
          <cell r="I87">
            <v>10</v>
          </cell>
          <cell r="J87">
            <v>46</v>
          </cell>
          <cell r="M87">
            <v>56</v>
          </cell>
          <cell r="Q87">
            <v>0</v>
          </cell>
        </row>
        <row r="88">
          <cell r="C88">
            <v>3175</v>
          </cell>
          <cell r="D88" t="str">
            <v>JAKARTA UTARA</v>
          </cell>
          <cell r="E88">
            <v>0.3</v>
          </cell>
          <cell r="F88">
            <v>41</v>
          </cell>
          <cell r="G88">
            <v>0</v>
          </cell>
          <cell r="H88">
            <v>6</v>
          </cell>
          <cell r="I88">
            <v>9</v>
          </cell>
          <cell r="J88">
            <v>22</v>
          </cell>
          <cell r="M88">
            <v>31</v>
          </cell>
          <cell r="Q88">
            <v>0</v>
          </cell>
        </row>
        <row r="89">
          <cell r="B89" t="str">
            <v>DKI JAKARTA Total</v>
          </cell>
          <cell r="D89">
            <v>6</v>
          </cell>
          <cell r="G89">
            <v>4</v>
          </cell>
          <cell r="H89">
            <v>44</v>
          </cell>
          <cell r="I89">
            <v>45</v>
          </cell>
          <cell r="J89">
            <v>222</v>
          </cell>
          <cell r="K89">
            <v>0</v>
          </cell>
          <cell r="M89">
            <v>267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</row>
        <row r="90">
          <cell r="A90">
            <v>32</v>
          </cell>
          <cell r="B90" t="str">
            <v>JAWA BARAT</v>
          </cell>
          <cell r="C90">
            <v>3201</v>
          </cell>
          <cell r="D90" t="str">
            <v>BOGOR</v>
          </cell>
          <cell r="E90">
            <v>0.2</v>
          </cell>
          <cell r="F90">
            <v>42</v>
          </cell>
          <cell r="G90">
            <v>1</v>
          </cell>
          <cell r="H90">
            <v>17</v>
          </cell>
          <cell r="I90">
            <v>9</v>
          </cell>
          <cell r="J90">
            <v>176</v>
          </cell>
          <cell r="M90">
            <v>185</v>
          </cell>
          <cell r="O90">
            <v>1</v>
          </cell>
          <cell r="P90">
            <v>1</v>
          </cell>
          <cell r="Q90">
            <v>1</v>
          </cell>
        </row>
        <row r="91">
          <cell r="C91">
            <v>3202</v>
          </cell>
          <cell r="D91" t="str">
            <v>SUKABUMI</v>
          </cell>
          <cell r="E91">
            <v>0.2</v>
          </cell>
          <cell r="F91">
            <v>43</v>
          </cell>
          <cell r="G91">
            <v>1</v>
          </cell>
          <cell r="H91">
            <v>6</v>
          </cell>
          <cell r="I91">
            <v>40</v>
          </cell>
          <cell r="J91">
            <v>18</v>
          </cell>
          <cell r="M91">
            <v>58</v>
          </cell>
          <cell r="O91">
            <v>1</v>
          </cell>
          <cell r="Q91">
            <v>1</v>
          </cell>
        </row>
        <row r="92">
          <cell r="C92">
            <v>3203</v>
          </cell>
          <cell r="D92" t="str">
            <v>CIANJUR</v>
          </cell>
          <cell r="E92">
            <v>0.2</v>
          </cell>
          <cell r="F92">
            <v>44</v>
          </cell>
          <cell r="G92">
            <v>1</v>
          </cell>
          <cell r="H92">
            <v>3</v>
          </cell>
          <cell r="I92">
            <v>3</v>
          </cell>
          <cell r="J92">
            <v>22</v>
          </cell>
          <cell r="M92">
            <v>25</v>
          </cell>
        </row>
        <row r="93">
          <cell r="C93">
            <v>3204</v>
          </cell>
          <cell r="D93" t="str">
            <v>BANDUNG</v>
          </cell>
          <cell r="E93">
            <v>0.2</v>
          </cell>
          <cell r="F93">
            <v>45</v>
          </cell>
          <cell r="G93">
            <v>1</v>
          </cell>
          <cell r="H93">
            <v>20</v>
          </cell>
          <cell r="I93">
            <v>118</v>
          </cell>
          <cell r="J93">
            <v>53</v>
          </cell>
          <cell r="M93">
            <v>171</v>
          </cell>
        </row>
        <row r="94">
          <cell r="C94">
            <v>3205</v>
          </cell>
          <cell r="D94" t="str">
            <v>GARUT</v>
          </cell>
          <cell r="E94">
            <v>0.2</v>
          </cell>
          <cell r="F94">
            <v>46</v>
          </cell>
          <cell r="G94">
            <v>1</v>
          </cell>
          <cell r="H94">
            <v>6</v>
          </cell>
          <cell r="I94">
            <v>55</v>
          </cell>
          <cell r="J94">
            <v>16</v>
          </cell>
          <cell r="M94">
            <v>71</v>
          </cell>
          <cell r="O94">
            <v>2</v>
          </cell>
          <cell r="Q94">
            <v>1</v>
          </cell>
        </row>
        <row r="95">
          <cell r="C95">
            <v>3206</v>
          </cell>
          <cell r="D95" t="str">
            <v>TASIKMALAYA</v>
          </cell>
          <cell r="E95">
            <v>0.2</v>
          </cell>
          <cell r="F95">
            <v>47</v>
          </cell>
          <cell r="G95">
            <v>0</v>
          </cell>
          <cell r="H95">
            <v>4</v>
          </cell>
          <cell r="I95">
            <v>10</v>
          </cell>
          <cell r="J95">
            <v>25</v>
          </cell>
          <cell r="M95">
            <v>35</v>
          </cell>
          <cell r="O95" t="str">
            <v/>
          </cell>
        </row>
        <row r="96">
          <cell r="C96">
            <v>3207</v>
          </cell>
          <cell r="D96" t="str">
            <v>CIAMIS</v>
          </cell>
          <cell r="E96">
            <v>0.2</v>
          </cell>
          <cell r="F96">
            <v>48</v>
          </cell>
          <cell r="G96">
            <v>1</v>
          </cell>
          <cell r="H96">
            <v>3</v>
          </cell>
          <cell r="J96">
            <v>29</v>
          </cell>
          <cell r="M96">
            <v>29</v>
          </cell>
        </row>
        <row r="97">
          <cell r="C97">
            <v>3208</v>
          </cell>
          <cell r="D97" t="str">
            <v>KUNINGAN</v>
          </cell>
          <cell r="E97">
            <v>0.2</v>
          </cell>
          <cell r="F97">
            <v>49</v>
          </cell>
          <cell r="G97">
            <v>1</v>
          </cell>
          <cell r="H97">
            <v>3</v>
          </cell>
          <cell r="I97">
            <v>8</v>
          </cell>
          <cell r="J97">
            <v>33</v>
          </cell>
          <cell r="M97">
            <v>41</v>
          </cell>
        </row>
        <row r="98">
          <cell r="C98">
            <v>3209</v>
          </cell>
          <cell r="D98" t="str">
            <v>CIREBON</v>
          </cell>
          <cell r="E98">
            <v>0.2</v>
          </cell>
          <cell r="F98">
            <v>50</v>
          </cell>
          <cell r="G98">
            <v>1</v>
          </cell>
          <cell r="H98">
            <v>18</v>
          </cell>
          <cell r="I98">
            <v>49</v>
          </cell>
          <cell r="J98">
            <v>146</v>
          </cell>
          <cell r="M98">
            <v>195</v>
          </cell>
          <cell r="O98">
            <v>1</v>
          </cell>
        </row>
        <row r="99">
          <cell r="C99">
            <v>3210</v>
          </cell>
          <cell r="D99" t="str">
            <v>MAJALENGKA</v>
          </cell>
          <cell r="E99">
            <v>0.2</v>
          </cell>
          <cell r="F99">
            <v>51</v>
          </cell>
          <cell r="G99">
            <v>1</v>
          </cell>
          <cell r="H99">
            <v>4</v>
          </cell>
          <cell r="I99">
            <v>10</v>
          </cell>
          <cell r="J99">
            <v>47</v>
          </cell>
          <cell r="M99">
            <v>57</v>
          </cell>
        </row>
        <row r="100">
          <cell r="C100">
            <v>3211</v>
          </cell>
          <cell r="D100" t="str">
            <v>SUMEDANG</v>
          </cell>
          <cell r="E100">
            <v>0.2</v>
          </cell>
          <cell r="F100">
            <v>52</v>
          </cell>
          <cell r="G100">
            <v>1</v>
          </cell>
          <cell r="H100">
            <v>3</v>
          </cell>
          <cell r="J100">
            <v>36</v>
          </cell>
          <cell r="M100">
            <v>36</v>
          </cell>
        </row>
        <row r="101">
          <cell r="C101">
            <v>3212</v>
          </cell>
          <cell r="D101" t="str">
            <v>INDRAMAYU</v>
          </cell>
          <cell r="E101">
            <v>0.2</v>
          </cell>
          <cell r="F101">
            <v>53</v>
          </cell>
          <cell r="G101">
            <v>1</v>
          </cell>
          <cell r="H101">
            <v>4</v>
          </cell>
          <cell r="I101">
            <v>7</v>
          </cell>
          <cell r="J101">
            <v>44</v>
          </cell>
          <cell r="M101">
            <v>51</v>
          </cell>
          <cell r="Q101">
            <v>1</v>
          </cell>
        </row>
        <row r="102">
          <cell r="C102">
            <v>3213</v>
          </cell>
          <cell r="D102" t="str">
            <v>SUBANG</v>
          </cell>
          <cell r="E102">
            <v>0.2</v>
          </cell>
          <cell r="F102">
            <v>54</v>
          </cell>
          <cell r="G102">
            <v>0</v>
          </cell>
          <cell r="H102">
            <v>3</v>
          </cell>
          <cell r="I102">
            <v>14</v>
          </cell>
          <cell r="J102">
            <v>9</v>
          </cell>
          <cell r="M102">
            <v>23</v>
          </cell>
        </row>
        <row r="103">
          <cell r="C103">
            <v>3214</v>
          </cell>
          <cell r="D103" t="str">
            <v>PURWAKARTA</v>
          </cell>
          <cell r="E103">
            <v>0.2</v>
          </cell>
          <cell r="F103">
            <v>55</v>
          </cell>
          <cell r="G103">
            <v>1</v>
          </cell>
          <cell r="H103">
            <v>4</v>
          </cell>
          <cell r="I103">
            <v>6</v>
          </cell>
          <cell r="J103">
            <v>42</v>
          </cell>
          <cell r="M103">
            <v>48</v>
          </cell>
        </row>
        <row r="104">
          <cell r="C104">
            <v>3215</v>
          </cell>
          <cell r="D104" t="str">
            <v>KARAWANG</v>
          </cell>
          <cell r="E104">
            <v>0.2</v>
          </cell>
          <cell r="F104">
            <v>54</v>
          </cell>
          <cell r="G104">
            <v>1</v>
          </cell>
          <cell r="H104">
            <v>7</v>
          </cell>
          <cell r="I104">
            <v>52</v>
          </cell>
          <cell r="J104">
            <v>15</v>
          </cell>
          <cell r="M104">
            <v>67</v>
          </cell>
          <cell r="Q104">
            <v>1</v>
          </cell>
        </row>
        <row r="105">
          <cell r="C105">
            <v>3216</v>
          </cell>
          <cell r="D105" t="str">
            <v>BEKASI</v>
          </cell>
          <cell r="E105">
            <v>0.2</v>
          </cell>
          <cell r="F105">
            <v>56</v>
          </cell>
          <cell r="G105">
            <v>1</v>
          </cell>
          <cell r="H105">
            <v>7</v>
          </cell>
          <cell r="I105">
            <v>7</v>
          </cell>
          <cell r="J105">
            <v>53</v>
          </cell>
          <cell r="M105">
            <v>60</v>
          </cell>
        </row>
        <row r="106">
          <cell r="C106">
            <v>3217</v>
          </cell>
          <cell r="D106" t="str">
            <v>BANDUNG BARAT</v>
          </cell>
          <cell r="E106">
            <v>0.2</v>
          </cell>
          <cell r="F106">
            <v>57</v>
          </cell>
          <cell r="G106">
            <v>1</v>
          </cell>
          <cell r="H106">
            <v>4</v>
          </cell>
          <cell r="I106">
            <v>30</v>
          </cell>
          <cell r="J106">
            <v>14</v>
          </cell>
          <cell r="M106">
            <v>44</v>
          </cell>
        </row>
        <row r="107">
          <cell r="C107">
            <v>3271</v>
          </cell>
          <cell r="D107" t="str">
            <v>KOTA BOGOR</v>
          </cell>
          <cell r="E107">
            <v>0.2</v>
          </cell>
          <cell r="F107">
            <v>58</v>
          </cell>
          <cell r="G107">
            <v>1</v>
          </cell>
          <cell r="H107">
            <v>6</v>
          </cell>
          <cell r="I107">
            <v>44</v>
          </cell>
          <cell r="J107">
            <v>24</v>
          </cell>
          <cell r="M107">
            <v>68</v>
          </cell>
          <cell r="N107">
            <v>1</v>
          </cell>
          <cell r="Q107">
            <v>1</v>
          </cell>
        </row>
        <row r="108">
          <cell r="C108">
            <v>3272</v>
          </cell>
          <cell r="D108" t="str">
            <v>KOTA SUKABUMI</v>
          </cell>
          <cell r="E108">
            <v>0.2</v>
          </cell>
          <cell r="F108">
            <v>43</v>
          </cell>
          <cell r="G108">
            <v>0</v>
          </cell>
          <cell r="H108">
            <v>7</v>
          </cell>
          <cell r="I108">
            <v>5</v>
          </cell>
          <cell r="J108">
            <v>28</v>
          </cell>
          <cell r="M108">
            <v>33</v>
          </cell>
        </row>
        <row r="109">
          <cell r="C109">
            <v>3273</v>
          </cell>
          <cell r="D109" t="str">
            <v>KOTA BANDUNG</v>
          </cell>
          <cell r="E109">
            <v>0.2</v>
          </cell>
          <cell r="F109">
            <v>59</v>
          </cell>
          <cell r="G109">
            <v>1</v>
          </cell>
          <cell r="H109">
            <v>30</v>
          </cell>
          <cell r="I109">
            <v>129</v>
          </cell>
          <cell r="J109">
            <v>22</v>
          </cell>
          <cell r="M109">
            <v>151</v>
          </cell>
          <cell r="N109">
            <v>1</v>
          </cell>
          <cell r="Q109">
            <v>1</v>
          </cell>
        </row>
        <row r="110">
          <cell r="C110">
            <v>3274</v>
          </cell>
          <cell r="D110" t="str">
            <v>KOTA CIREBON</v>
          </cell>
          <cell r="E110">
            <v>0.2</v>
          </cell>
          <cell r="F110">
            <v>50</v>
          </cell>
          <cell r="G110">
            <v>0</v>
          </cell>
          <cell r="H110">
            <v>5</v>
          </cell>
          <cell r="J110">
            <v>22</v>
          </cell>
          <cell r="M110">
            <v>22</v>
          </cell>
        </row>
        <row r="111">
          <cell r="C111">
            <v>3275</v>
          </cell>
          <cell r="D111" t="str">
            <v>KOTA BEKASI</v>
          </cell>
          <cell r="E111">
            <v>0.2</v>
          </cell>
          <cell r="F111">
            <v>60</v>
          </cell>
          <cell r="G111">
            <v>1</v>
          </cell>
          <cell r="H111">
            <v>12</v>
          </cell>
          <cell r="I111">
            <v>26</v>
          </cell>
          <cell r="J111">
            <v>30</v>
          </cell>
          <cell r="M111">
            <v>56</v>
          </cell>
          <cell r="Q111">
            <v>1</v>
          </cell>
        </row>
        <row r="112">
          <cell r="C112">
            <v>3276</v>
          </cell>
          <cell r="D112" t="str">
            <v>KOTA DEPOK</v>
          </cell>
          <cell r="E112">
            <v>0.2</v>
          </cell>
          <cell r="F112">
            <v>61</v>
          </cell>
          <cell r="G112">
            <v>1</v>
          </cell>
          <cell r="H112">
            <v>6</v>
          </cell>
          <cell r="I112">
            <v>46</v>
          </cell>
          <cell r="J112">
            <v>17</v>
          </cell>
          <cell r="M112">
            <v>63</v>
          </cell>
          <cell r="Q112">
            <v>1</v>
          </cell>
        </row>
        <row r="113">
          <cell r="C113">
            <v>3277</v>
          </cell>
          <cell r="D113" t="str">
            <v>KOTA CIMAHI</v>
          </cell>
          <cell r="E113">
            <v>0.2</v>
          </cell>
          <cell r="F113">
            <v>45</v>
          </cell>
          <cell r="G113">
            <v>0</v>
          </cell>
          <cell r="H113">
            <v>3</v>
          </cell>
          <cell r="I113">
            <v>6</v>
          </cell>
          <cell r="J113">
            <v>9</v>
          </cell>
          <cell r="M113">
            <v>15</v>
          </cell>
          <cell r="Q113">
            <v>1</v>
          </cell>
        </row>
        <row r="114">
          <cell r="C114">
            <v>3278</v>
          </cell>
          <cell r="D114" t="str">
            <v>KOTA TASIKMALAYA</v>
          </cell>
          <cell r="E114">
            <v>0.2</v>
          </cell>
          <cell r="F114">
            <v>47</v>
          </cell>
          <cell r="G114">
            <v>1</v>
          </cell>
          <cell r="H114">
            <v>8</v>
          </cell>
          <cell r="I114">
            <v>30</v>
          </cell>
          <cell r="J114">
            <v>39</v>
          </cell>
          <cell r="M114">
            <v>69</v>
          </cell>
          <cell r="O114">
            <v>2</v>
          </cell>
        </row>
        <row r="115">
          <cell r="C115">
            <v>3279</v>
          </cell>
          <cell r="D115" t="str">
            <v>KOTA BANJAR</v>
          </cell>
          <cell r="E115">
            <v>0.2</v>
          </cell>
          <cell r="F115">
            <v>48</v>
          </cell>
          <cell r="G115">
            <v>0</v>
          </cell>
          <cell r="H115">
            <v>4</v>
          </cell>
          <cell r="I115">
            <v>16</v>
          </cell>
          <cell r="J115">
            <v>8</v>
          </cell>
          <cell r="M115">
            <v>24</v>
          </cell>
        </row>
        <row r="116">
          <cell r="B116" t="str">
            <v>JAWA BARAT Total</v>
          </cell>
          <cell r="D116">
            <v>26</v>
          </cell>
          <cell r="G116">
            <v>20</v>
          </cell>
          <cell r="H116">
            <v>197</v>
          </cell>
          <cell r="I116">
            <v>720</v>
          </cell>
          <cell r="J116">
            <v>977</v>
          </cell>
          <cell r="K116">
            <v>0</v>
          </cell>
          <cell r="M116">
            <v>1697</v>
          </cell>
          <cell r="N116">
            <v>2</v>
          </cell>
          <cell r="O116">
            <v>7</v>
          </cell>
          <cell r="P116">
            <v>1</v>
          </cell>
          <cell r="Q116">
            <v>10</v>
          </cell>
        </row>
        <row r="117">
          <cell r="A117">
            <v>33</v>
          </cell>
          <cell r="B117" t="str">
            <v>JAWA TENGAH</v>
          </cell>
          <cell r="C117">
            <v>3301</v>
          </cell>
          <cell r="D117" t="str">
            <v>CILACAP</v>
          </cell>
          <cell r="E117">
            <v>0.2</v>
          </cell>
          <cell r="F117">
            <v>62</v>
          </cell>
          <cell r="G117">
            <v>0</v>
          </cell>
          <cell r="H117">
            <v>3</v>
          </cell>
          <cell r="J117">
            <v>15</v>
          </cell>
          <cell r="M117">
            <v>15</v>
          </cell>
          <cell r="P117">
            <v>0</v>
          </cell>
        </row>
        <row r="118">
          <cell r="C118">
            <v>3302</v>
          </cell>
          <cell r="D118" t="str">
            <v>BANYUMAS</v>
          </cell>
          <cell r="E118">
            <v>0.2</v>
          </cell>
          <cell r="F118">
            <v>62</v>
          </cell>
          <cell r="G118">
            <v>1</v>
          </cell>
          <cell r="H118">
            <v>8</v>
          </cell>
          <cell r="I118">
            <v>53</v>
          </cell>
          <cell r="J118">
            <v>32</v>
          </cell>
          <cell r="M118">
            <v>85</v>
          </cell>
          <cell r="O118">
            <v>13</v>
          </cell>
          <cell r="Q118">
            <v>0</v>
          </cell>
        </row>
        <row r="119">
          <cell r="C119">
            <v>3303</v>
          </cell>
          <cell r="D119" t="str">
            <v>PURBALINGGA</v>
          </cell>
          <cell r="E119">
            <v>0.2</v>
          </cell>
          <cell r="F119">
            <v>63</v>
          </cell>
          <cell r="G119">
            <v>1</v>
          </cell>
          <cell r="H119">
            <v>3</v>
          </cell>
          <cell r="I119">
            <v>42</v>
          </cell>
          <cell r="J119">
            <v>2</v>
          </cell>
          <cell r="M119">
            <v>44</v>
          </cell>
          <cell r="O119">
            <v>14</v>
          </cell>
          <cell r="Q119">
            <v>0</v>
          </cell>
        </row>
        <row r="120">
          <cell r="C120">
            <v>3304</v>
          </cell>
          <cell r="D120" t="str">
            <v>BANJARNEGARA</v>
          </cell>
          <cell r="E120">
            <v>0.2</v>
          </cell>
          <cell r="F120">
            <v>63</v>
          </cell>
          <cell r="G120">
            <v>0</v>
          </cell>
          <cell r="H120">
            <v>1</v>
          </cell>
          <cell r="J120">
            <v>13</v>
          </cell>
          <cell r="M120">
            <v>13</v>
          </cell>
        </row>
        <row r="121">
          <cell r="C121">
            <v>3305</v>
          </cell>
          <cell r="D121" t="str">
            <v>KEBUMEN</v>
          </cell>
          <cell r="E121">
            <v>0.2</v>
          </cell>
          <cell r="F121">
            <v>64</v>
          </cell>
          <cell r="G121">
            <v>1</v>
          </cell>
          <cell r="H121">
            <v>3</v>
          </cell>
          <cell r="I121">
            <v>19</v>
          </cell>
          <cell r="J121">
            <v>35</v>
          </cell>
          <cell r="M121">
            <v>54</v>
          </cell>
          <cell r="N121">
            <v>1</v>
          </cell>
          <cell r="O121">
            <v>24</v>
          </cell>
          <cell r="Q121">
            <v>0</v>
          </cell>
        </row>
        <row r="122">
          <cell r="C122">
            <v>3306</v>
          </cell>
          <cell r="D122" t="str">
            <v>PURWOREJO</v>
          </cell>
          <cell r="E122">
            <v>0.2</v>
          </cell>
          <cell r="F122">
            <v>65</v>
          </cell>
          <cell r="G122">
            <v>1</v>
          </cell>
          <cell r="H122">
            <v>1</v>
          </cell>
          <cell r="J122">
            <v>27</v>
          </cell>
          <cell r="M122">
            <v>27</v>
          </cell>
        </row>
        <row r="123">
          <cell r="C123">
            <v>3307</v>
          </cell>
          <cell r="D123" t="str">
            <v>WONOSOBO</v>
          </cell>
          <cell r="E123">
            <v>0.2</v>
          </cell>
          <cell r="F123">
            <v>66</v>
          </cell>
          <cell r="G123">
            <v>0</v>
          </cell>
          <cell r="H123">
            <v>1</v>
          </cell>
          <cell r="J123">
            <v>20</v>
          </cell>
          <cell r="M123">
            <v>20</v>
          </cell>
        </row>
        <row r="124">
          <cell r="C124">
            <v>3308</v>
          </cell>
          <cell r="D124" t="str">
            <v>MAGELANG</v>
          </cell>
          <cell r="E124">
            <v>0.2</v>
          </cell>
          <cell r="F124">
            <v>67</v>
          </cell>
          <cell r="G124">
            <v>1</v>
          </cell>
          <cell r="H124">
            <v>2</v>
          </cell>
          <cell r="I124">
            <v>27</v>
          </cell>
          <cell r="M124">
            <v>27</v>
          </cell>
          <cell r="N124">
            <v>1</v>
          </cell>
          <cell r="O124">
            <v>3</v>
          </cell>
          <cell r="Q124">
            <v>1</v>
          </cell>
        </row>
        <row r="125">
          <cell r="C125">
            <v>3309</v>
          </cell>
          <cell r="D125" t="str">
            <v>BOYOLALI</v>
          </cell>
          <cell r="E125">
            <v>0.2</v>
          </cell>
          <cell r="F125">
            <v>68</v>
          </cell>
          <cell r="G125">
            <v>1</v>
          </cell>
          <cell r="H125">
            <v>5</v>
          </cell>
          <cell r="I125">
            <v>55</v>
          </cell>
          <cell r="J125">
            <v>6</v>
          </cell>
          <cell r="M125">
            <v>61</v>
          </cell>
          <cell r="O125">
            <v>22</v>
          </cell>
          <cell r="Q125">
            <v>1</v>
          </cell>
        </row>
        <row r="126">
          <cell r="C126">
            <v>3310</v>
          </cell>
          <cell r="D126" t="str">
            <v>KLATEN</v>
          </cell>
          <cell r="E126">
            <v>0.2</v>
          </cell>
          <cell r="F126">
            <v>69</v>
          </cell>
          <cell r="G126">
            <v>1</v>
          </cell>
          <cell r="H126">
            <v>15</v>
          </cell>
          <cell r="I126">
            <v>58</v>
          </cell>
          <cell r="J126">
            <v>154</v>
          </cell>
          <cell r="M126">
            <v>212</v>
          </cell>
          <cell r="O126">
            <v>1</v>
          </cell>
        </row>
        <row r="127">
          <cell r="C127">
            <v>3311</v>
          </cell>
          <cell r="D127" t="str">
            <v>SUKOHARJO</v>
          </cell>
          <cell r="E127">
            <v>0.2</v>
          </cell>
          <cell r="F127">
            <v>70</v>
          </cell>
          <cell r="G127">
            <v>1</v>
          </cell>
          <cell r="H127">
            <v>6</v>
          </cell>
          <cell r="I127">
            <v>71</v>
          </cell>
          <cell r="J127">
            <v>12</v>
          </cell>
          <cell r="M127">
            <v>83</v>
          </cell>
          <cell r="O127">
            <v>15</v>
          </cell>
          <cell r="Q127">
            <v>1</v>
          </cell>
        </row>
        <row r="128">
          <cell r="C128">
            <v>3312</v>
          </cell>
          <cell r="D128" t="str">
            <v>WONOGIRI</v>
          </cell>
          <cell r="E128">
            <v>0.2</v>
          </cell>
          <cell r="F128">
            <v>71</v>
          </cell>
          <cell r="G128">
            <v>1</v>
          </cell>
          <cell r="H128">
            <v>2</v>
          </cell>
          <cell r="I128">
            <v>26</v>
          </cell>
          <cell r="M128">
            <v>26</v>
          </cell>
          <cell r="N128">
            <v>1</v>
          </cell>
          <cell r="O128">
            <v>7</v>
          </cell>
          <cell r="Q128">
            <v>1</v>
          </cell>
        </row>
        <row r="129">
          <cell r="C129">
            <v>3313</v>
          </cell>
          <cell r="D129" t="str">
            <v>KARANGANYAR</v>
          </cell>
          <cell r="E129">
            <v>0.2</v>
          </cell>
          <cell r="F129">
            <v>72</v>
          </cell>
          <cell r="G129">
            <v>1</v>
          </cell>
          <cell r="H129">
            <v>5</v>
          </cell>
          <cell r="I129">
            <v>43</v>
          </cell>
          <cell r="J129">
            <v>8</v>
          </cell>
          <cell r="M129">
            <v>51</v>
          </cell>
          <cell r="O129">
            <v>15</v>
          </cell>
          <cell r="Q129">
            <v>1</v>
          </cell>
        </row>
        <row r="130">
          <cell r="C130">
            <v>3314</v>
          </cell>
          <cell r="D130" t="str">
            <v>SRAGEN</v>
          </cell>
          <cell r="E130">
            <v>0.2</v>
          </cell>
          <cell r="F130">
            <v>72</v>
          </cell>
          <cell r="G130">
            <v>0</v>
          </cell>
          <cell r="H130">
            <v>2</v>
          </cell>
          <cell r="I130">
            <v>16</v>
          </cell>
          <cell r="M130">
            <v>16</v>
          </cell>
          <cell r="O130">
            <v>2</v>
          </cell>
          <cell r="Q130">
            <v>1</v>
          </cell>
        </row>
        <row r="131">
          <cell r="C131">
            <v>3315</v>
          </cell>
          <cell r="D131" t="str">
            <v>GROBOGAN</v>
          </cell>
          <cell r="E131">
            <v>0.2</v>
          </cell>
          <cell r="F131">
            <v>80</v>
          </cell>
          <cell r="G131">
            <v>0</v>
          </cell>
          <cell r="H131">
            <v>1</v>
          </cell>
          <cell r="I131">
            <v>14</v>
          </cell>
          <cell r="J131">
            <v>3</v>
          </cell>
          <cell r="M131">
            <v>17</v>
          </cell>
          <cell r="O131">
            <v>3</v>
          </cell>
          <cell r="Q131">
            <v>1</v>
          </cell>
        </row>
        <row r="132">
          <cell r="C132">
            <v>3316</v>
          </cell>
          <cell r="D132" t="str">
            <v>BLORA</v>
          </cell>
          <cell r="E132">
            <v>0.2</v>
          </cell>
          <cell r="F132">
            <v>75</v>
          </cell>
          <cell r="G132">
            <v>1</v>
          </cell>
          <cell r="H132">
            <v>2</v>
          </cell>
          <cell r="I132">
            <v>25</v>
          </cell>
          <cell r="J132">
            <v>20</v>
          </cell>
          <cell r="M132">
            <v>45</v>
          </cell>
          <cell r="O132">
            <v>1</v>
          </cell>
        </row>
        <row r="133">
          <cell r="C133">
            <v>3317</v>
          </cell>
          <cell r="D133" t="str">
            <v>REMBANG</v>
          </cell>
          <cell r="E133">
            <v>0.2</v>
          </cell>
          <cell r="F133">
            <v>76</v>
          </cell>
          <cell r="G133">
            <v>1</v>
          </cell>
          <cell r="H133">
            <v>2</v>
          </cell>
          <cell r="I133">
            <v>40</v>
          </cell>
          <cell r="J133">
            <v>14</v>
          </cell>
          <cell r="M133">
            <v>54</v>
          </cell>
        </row>
        <row r="134">
          <cell r="C134">
            <v>3318</v>
          </cell>
          <cell r="D134" t="str">
            <v>PATI</v>
          </cell>
          <cell r="E134">
            <v>0.2</v>
          </cell>
          <cell r="F134">
            <v>77</v>
          </cell>
          <cell r="G134">
            <v>1</v>
          </cell>
          <cell r="H134">
            <v>4</v>
          </cell>
          <cell r="I134">
            <v>35</v>
          </cell>
          <cell r="J134">
            <v>66</v>
          </cell>
          <cell r="M134">
            <v>101</v>
          </cell>
          <cell r="O134">
            <v>1</v>
          </cell>
        </row>
        <row r="135">
          <cell r="C135">
            <v>3319</v>
          </cell>
          <cell r="D135" t="str">
            <v>KUDUS</v>
          </cell>
          <cell r="E135">
            <v>0.2</v>
          </cell>
          <cell r="F135">
            <v>78</v>
          </cell>
          <cell r="G135">
            <v>1</v>
          </cell>
          <cell r="H135">
            <v>6</v>
          </cell>
          <cell r="I135">
            <v>83</v>
          </cell>
          <cell r="J135">
            <v>3</v>
          </cell>
          <cell r="M135">
            <v>86</v>
          </cell>
        </row>
        <row r="136">
          <cell r="C136">
            <v>3320</v>
          </cell>
          <cell r="D136" t="str">
            <v>JEPARA</v>
          </cell>
          <cell r="E136">
            <v>0.2</v>
          </cell>
          <cell r="F136">
            <v>79</v>
          </cell>
          <cell r="G136">
            <v>1</v>
          </cell>
          <cell r="H136">
            <v>7</v>
          </cell>
          <cell r="I136">
            <v>69</v>
          </cell>
          <cell r="J136">
            <v>17</v>
          </cell>
          <cell r="M136">
            <v>86</v>
          </cell>
          <cell r="O136">
            <v>8</v>
          </cell>
        </row>
        <row r="137">
          <cell r="C137">
            <v>3321</v>
          </cell>
          <cell r="D137" t="str">
            <v>DEMAK</v>
          </cell>
          <cell r="E137">
            <v>0.2</v>
          </cell>
          <cell r="F137">
            <v>78</v>
          </cell>
          <cell r="G137">
            <v>0</v>
          </cell>
          <cell r="H137">
            <v>1</v>
          </cell>
          <cell r="I137">
            <v>13</v>
          </cell>
          <cell r="J137">
            <v>6</v>
          </cell>
          <cell r="M137">
            <v>19</v>
          </cell>
          <cell r="Q137">
            <v>1</v>
          </cell>
        </row>
        <row r="138">
          <cell r="C138">
            <v>3322</v>
          </cell>
          <cell r="D138" t="str">
            <v>SEMARANG</v>
          </cell>
          <cell r="E138">
            <v>0.2</v>
          </cell>
          <cell r="F138">
            <v>80</v>
          </cell>
          <cell r="G138">
            <v>0</v>
          </cell>
          <cell r="H138">
            <v>3</v>
          </cell>
          <cell r="I138">
            <v>30</v>
          </cell>
          <cell r="J138">
            <v>1</v>
          </cell>
          <cell r="M138">
            <v>31</v>
          </cell>
          <cell r="N138">
            <v>1</v>
          </cell>
        </row>
        <row r="139">
          <cell r="C139">
            <v>3323</v>
          </cell>
          <cell r="D139" t="str">
            <v>TEMANGGUNG</v>
          </cell>
          <cell r="E139">
            <v>0.2</v>
          </cell>
          <cell r="F139">
            <v>66</v>
          </cell>
          <cell r="G139">
            <v>1</v>
          </cell>
          <cell r="H139">
            <v>2</v>
          </cell>
          <cell r="J139">
            <v>41</v>
          </cell>
          <cell r="M139">
            <v>41</v>
          </cell>
        </row>
        <row r="140">
          <cell r="C140">
            <v>3324</v>
          </cell>
          <cell r="D140" t="str">
            <v>KENDAL</v>
          </cell>
          <cell r="E140">
            <v>0.2</v>
          </cell>
          <cell r="F140">
            <v>81</v>
          </cell>
          <cell r="G140">
            <v>1</v>
          </cell>
          <cell r="H140">
            <v>4</v>
          </cell>
          <cell r="I140">
            <v>33</v>
          </cell>
          <cell r="J140">
            <v>24</v>
          </cell>
          <cell r="M140">
            <v>57</v>
          </cell>
          <cell r="N140">
            <v>1</v>
          </cell>
          <cell r="O140">
            <v>3</v>
          </cell>
        </row>
        <row r="141">
          <cell r="C141">
            <v>3325</v>
          </cell>
          <cell r="D141" t="str">
            <v>BATANG</v>
          </cell>
          <cell r="E141">
            <v>0.2</v>
          </cell>
          <cell r="F141">
            <v>82</v>
          </cell>
          <cell r="G141">
            <v>1</v>
          </cell>
          <cell r="H141">
            <v>2</v>
          </cell>
          <cell r="I141">
            <v>19</v>
          </cell>
          <cell r="J141">
            <v>20</v>
          </cell>
          <cell r="M141">
            <v>39</v>
          </cell>
          <cell r="O141">
            <v>16</v>
          </cell>
        </row>
        <row r="142">
          <cell r="C142">
            <v>3326</v>
          </cell>
          <cell r="D142" t="str">
            <v>PEKALONGAN</v>
          </cell>
          <cell r="E142">
            <v>0.2</v>
          </cell>
          <cell r="F142">
            <v>83</v>
          </cell>
          <cell r="G142">
            <v>1</v>
          </cell>
          <cell r="H142">
            <v>8</v>
          </cell>
          <cell r="I142">
            <v>38</v>
          </cell>
          <cell r="J142">
            <v>81</v>
          </cell>
          <cell r="M142">
            <v>119</v>
          </cell>
          <cell r="O142">
            <v>1</v>
          </cell>
          <cell r="Q142">
            <v>1</v>
          </cell>
        </row>
        <row r="143">
          <cell r="C143">
            <v>3327</v>
          </cell>
          <cell r="D143" t="str">
            <v>PEMALANG</v>
          </cell>
          <cell r="E143">
            <v>0.2</v>
          </cell>
          <cell r="F143">
            <v>84</v>
          </cell>
          <cell r="G143">
            <v>1</v>
          </cell>
          <cell r="H143">
            <v>4</v>
          </cell>
          <cell r="I143">
            <v>36</v>
          </cell>
          <cell r="J143">
            <v>43</v>
          </cell>
          <cell r="M143">
            <v>79</v>
          </cell>
        </row>
        <row r="144">
          <cell r="C144">
            <v>3328</v>
          </cell>
          <cell r="D144" t="str">
            <v>TEGAL</v>
          </cell>
          <cell r="E144">
            <v>0.2</v>
          </cell>
          <cell r="F144">
            <v>85</v>
          </cell>
          <cell r="G144">
            <v>1</v>
          </cell>
          <cell r="H144">
            <v>7</v>
          </cell>
          <cell r="I144">
            <v>101</v>
          </cell>
          <cell r="J144">
            <v>15</v>
          </cell>
          <cell r="M144">
            <v>116</v>
          </cell>
          <cell r="Q144">
            <v>1</v>
          </cell>
        </row>
        <row r="145">
          <cell r="C145">
            <v>3329</v>
          </cell>
          <cell r="D145" t="str">
            <v>BREBES</v>
          </cell>
          <cell r="E145">
            <v>0.2</v>
          </cell>
          <cell r="F145">
            <v>86</v>
          </cell>
          <cell r="G145">
            <v>1</v>
          </cell>
          <cell r="H145">
            <v>2</v>
          </cell>
          <cell r="I145">
            <v>11</v>
          </cell>
          <cell r="J145">
            <v>27</v>
          </cell>
          <cell r="M145">
            <v>38</v>
          </cell>
          <cell r="Q145">
            <v>1</v>
          </cell>
        </row>
        <row r="146">
          <cell r="C146">
            <v>3371</v>
          </cell>
          <cell r="D146" t="str">
            <v>KOTA MAGELANG</v>
          </cell>
          <cell r="E146">
            <v>0.2</v>
          </cell>
          <cell r="F146">
            <v>67</v>
          </cell>
          <cell r="G146">
            <v>0</v>
          </cell>
          <cell r="H146">
            <v>3</v>
          </cell>
          <cell r="J146">
            <v>17</v>
          </cell>
          <cell r="M146">
            <v>17</v>
          </cell>
        </row>
        <row r="147">
          <cell r="C147">
            <v>3372</v>
          </cell>
          <cell r="D147" t="str">
            <v>KOTA SURAKARTA</v>
          </cell>
          <cell r="E147">
            <v>0.2</v>
          </cell>
          <cell r="F147">
            <v>73</v>
          </cell>
          <cell r="G147">
            <v>1</v>
          </cell>
          <cell r="H147">
            <v>5</v>
          </cell>
          <cell r="J147">
            <v>51</v>
          </cell>
          <cell r="M147">
            <v>51</v>
          </cell>
        </row>
        <row r="148">
          <cell r="C148">
            <v>3373</v>
          </cell>
          <cell r="D148" t="str">
            <v>KOTA SALATIGA</v>
          </cell>
          <cell r="E148">
            <v>0.2</v>
          </cell>
          <cell r="F148">
            <v>68</v>
          </cell>
          <cell r="G148">
            <v>0</v>
          </cell>
          <cell r="H148">
            <v>4</v>
          </cell>
          <cell r="I148">
            <v>11</v>
          </cell>
          <cell r="J148">
            <v>11</v>
          </cell>
          <cell r="M148">
            <v>22</v>
          </cell>
        </row>
        <row r="149">
          <cell r="C149">
            <v>3374</v>
          </cell>
          <cell r="D149" t="str">
            <v>KOTA SEMARANG</v>
          </cell>
          <cell r="E149">
            <v>0.2</v>
          </cell>
          <cell r="F149">
            <v>80</v>
          </cell>
          <cell r="G149">
            <v>1</v>
          </cell>
          <cell r="H149">
            <v>16</v>
          </cell>
          <cell r="I149">
            <v>140</v>
          </cell>
          <cell r="J149">
            <v>37</v>
          </cell>
          <cell r="M149">
            <v>177</v>
          </cell>
        </row>
        <row r="150">
          <cell r="C150">
            <v>3375</v>
          </cell>
          <cell r="D150" t="str">
            <v>KOTA PEKALONGAN</v>
          </cell>
          <cell r="E150">
            <v>0.2</v>
          </cell>
          <cell r="F150">
            <v>88</v>
          </cell>
          <cell r="G150">
            <v>1</v>
          </cell>
          <cell r="H150">
            <v>4</v>
          </cell>
          <cell r="I150">
            <v>44</v>
          </cell>
          <cell r="J150">
            <v>3</v>
          </cell>
          <cell r="M150">
            <v>47</v>
          </cell>
          <cell r="N150">
            <v>1</v>
          </cell>
          <cell r="O150">
            <v>2</v>
          </cell>
        </row>
        <row r="151">
          <cell r="C151">
            <v>3376</v>
          </cell>
          <cell r="D151" t="str">
            <v>KOTA TEGAL</v>
          </cell>
          <cell r="E151">
            <v>0.2</v>
          </cell>
          <cell r="F151">
            <v>89</v>
          </cell>
          <cell r="G151">
            <v>1</v>
          </cell>
          <cell r="H151">
            <v>4</v>
          </cell>
          <cell r="I151">
            <v>27</v>
          </cell>
          <cell r="M151">
            <v>27</v>
          </cell>
          <cell r="Q151">
            <v>1</v>
          </cell>
        </row>
        <row r="152">
          <cell r="B152" t="str">
            <v>JAWA TENGAH Total</v>
          </cell>
          <cell r="D152">
            <v>35</v>
          </cell>
          <cell r="G152">
            <v>26</v>
          </cell>
          <cell r="H152">
            <v>148</v>
          </cell>
          <cell r="I152">
            <v>1179</v>
          </cell>
          <cell r="J152">
            <v>824</v>
          </cell>
          <cell r="K152">
            <v>0</v>
          </cell>
          <cell r="M152">
            <v>2003</v>
          </cell>
          <cell r="N152">
            <v>6</v>
          </cell>
          <cell r="O152">
            <v>151</v>
          </cell>
          <cell r="P152">
            <v>0</v>
          </cell>
          <cell r="Q152">
            <v>12</v>
          </cell>
        </row>
        <row r="153">
          <cell r="A153">
            <v>34</v>
          </cell>
          <cell r="B153" t="str">
            <v>D.I. YOGYAKARTA</v>
          </cell>
          <cell r="C153">
            <v>3401</v>
          </cell>
          <cell r="D153" t="str">
            <v>KULON PROGO</v>
          </cell>
          <cell r="E153">
            <v>0.2</v>
          </cell>
          <cell r="F153">
            <v>90</v>
          </cell>
          <cell r="G153">
            <v>0</v>
          </cell>
          <cell r="H153">
            <v>1</v>
          </cell>
          <cell r="I153">
            <v>4</v>
          </cell>
          <cell r="J153">
            <v>4</v>
          </cell>
          <cell r="M153">
            <v>8</v>
          </cell>
          <cell r="O153">
            <v>1</v>
          </cell>
          <cell r="P153">
            <v>1</v>
          </cell>
          <cell r="Q153">
            <v>1</v>
          </cell>
        </row>
        <row r="154">
          <cell r="C154">
            <v>3402</v>
          </cell>
          <cell r="D154" t="str">
            <v>BANTUL</v>
          </cell>
          <cell r="E154">
            <v>0.2</v>
          </cell>
          <cell r="F154">
            <v>90</v>
          </cell>
          <cell r="G154">
            <v>1</v>
          </cell>
          <cell r="H154">
            <v>12</v>
          </cell>
          <cell r="I154">
            <v>14</v>
          </cell>
          <cell r="J154">
            <v>36</v>
          </cell>
          <cell r="M154">
            <v>50</v>
          </cell>
          <cell r="O154">
            <v>2</v>
          </cell>
          <cell r="Q154">
            <v>1</v>
          </cell>
        </row>
        <row r="155">
          <cell r="C155">
            <v>3404</v>
          </cell>
          <cell r="D155" t="str">
            <v>SLEMAN</v>
          </cell>
          <cell r="E155">
            <v>0.2</v>
          </cell>
          <cell r="F155">
            <v>91</v>
          </cell>
          <cell r="G155">
            <v>1</v>
          </cell>
          <cell r="H155">
            <v>15</v>
          </cell>
          <cell r="I155">
            <v>46</v>
          </cell>
          <cell r="J155">
            <v>29</v>
          </cell>
          <cell r="M155">
            <v>75</v>
          </cell>
          <cell r="N155">
            <v>2</v>
          </cell>
          <cell r="O155">
            <v>1</v>
          </cell>
          <cell r="Q155">
            <v>0</v>
          </cell>
        </row>
        <row r="156">
          <cell r="D156" t="str">
            <v>KOTA YOGYAKARTA</v>
          </cell>
          <cell r="E156">
            <v>0.2</v>
          </cell>
          <cell r="F156">
            <v>92</v>
          </cell>
          <cell r="G156">
            <v>1</v>
          </cell>
          <cell r="H156">
            <v>14</v>
          </cell>
          <cell r="I156">
            <v>39</v>
          </cell>
          <cell r="J156">
            <v>6</v>
          </cell>
          <cell r="M156">
            <v>45</v>
          </cell>
          <cell r="O156">
            <v>1</v>
          </cell>
          <cell r="Q156">
            <v>0</v>
          </cell>
        </row>
        <row r="157">
          <cell r="C157">
            <v>3471</v>
          </cell>
          <cell r="D157" t="str">
            <v>GUNUNG KIDUL</v>
          </cell>
          <cell r="F157">
            <v>91</v>
          </cell>
          <cell r="G157">
            <v>0</v>
          </cell>
          <cell r="K157">
            <v>19</v>
          </cell>
          <cell r="M157">
            <v>19</v>
          </cell>
          <cell r="O157">
            <v>2</v>
          </cell>
          <cell r="Q157">
            <v>1</v>
          </cell>
        </row>
        <row r="158">
          <cell r="B158" t="str">
            <v>D.I. YOGYAKARTA Total</v>
          </cell>
          <cell r="D158">
            <v>5</v>
          </cell>
          <cell r="G158">
            <v>3</v>
          </cell>
          <cell r="H158">
            <v>42</v>
          </cell>
          <cell r="I158">
            <v>103</v>
          </cell>
          <cell r="J158">
            <v>75</v>
          </cell>
          <cell r="K158">
            <v>19</v>
          </cell>
          <cell r="L158">
            <v>0</v>
          </cell>
          <cell r="M158">
            <v>197</v>
          </cell>
          <cell r="N158">
            <v>2</v>
          </cell>
          <cell r="O158">
            <v>7</v>
          </cell>
          <cell r="P158">
            <v>1</v>
          </cell>
          <cell r="Q158">
            <v>3</v>
          </cell>
        </row>
        <row r="159">
          <cell r="A159">
            <v>35</v>
          </cell>
          <cell r="B159" t="str">
            <v>JAWA TIMUR</v>
          </cell>
          <cell r="C159">
            <v>3501</v>
          </cell>
          <cell r="D159" t="str">
            <v>PACITAN</v>
          </cell>
          <cell r="E159">
            <v>0.2</v>
          </cell>
          <cell r="F159">
            <v>93</v>
          </cell>
          <cell r="G159">
            <v>1</v>
          </cell>
          <cell r="H159">
            <v>1</v>
          </cell>
          <cell r="J159">
            <v>25</v>
          </cell>
          <cell r="M159">
            <v>25</v>
          </cell>
          <cell r="P159">
            <v>1</v>
          </cell>
        </row>
        <row r="160">
          <cell r="C160">
            <v>3502</v>
          </cell>
          <cell r="D160" t="str">
            <v>PONOROGO</v>
          </cell>
          <cell r="E160">
            <v>0.2</v>
          </cell>
          <cell r="F160">
            <v>94</v>
          </cell>
          <cell r="G160">
            <v>1</v>
          </cell>
          <cell r="H160">
            <v>2</v>
          </cell>
          <cell r="I160">
            <v>14</v>
          </cell>
          <cell r="J160">
            <v>23</v>
          </cell>
          <cell r="M160">
            <v>37</v>
          </cell>
        </row>
        <row r="161">
          <cell r="C161">
            <v>3503</v>
          </cell>
          <cell r="D161" t="str">
            <v>TRENGGALEK</v>
          </cell>
          <cell r="E161">
            <v>0.2</v>
          </cell>
          <cell r="F161">
            <v>95</v>
          </cell>
          <cell r="G161">
            <v>0</v>
          </cell>
          <cell r="H161">
            <v>1</v>
          </cell>
          <cell r="J161">
            <v>13</v>
          </cell>
          <cell r="M161">
            <v>13</v>
          </cell>
        </row>
        <row r="162">
          <cell r="C162">
            <v>3504</v>
          </cell>
          <cell r="D162" t="str">
            <v>TULUNGAGUNG</v>
          </cell>
          <cell r="E162">
            <v>0.2</v>
          </cell>
          <cell r="F162">
            <v>95</v>
          </cell>
          <cell r="G162">
            <v>1</v>
          </cell>
          <cell r="H162">
            <v>5</v>
          </cell>
          <cell r="I162">
            <v>41</v>
          </cell>
          <cell r="J162">
            <v>40</v>
          </cell>
          <cell r="M162">
            <v>81</v>
          </cell>
          <cell r="O162">
            <v>1</v>
          </cell>
          <cell r="Q162">
            <v>1</v>
          </cell>
        </row>
        <row r="163">
          <cell r="C163">
            <v>3505</v>
          </cell>
          <cell r="D163" t="str">
            <v>BLITAR</v>
          </cell>
          <cell r="E163">
            <v>0.2</v>
          </cell>
          <cell r="F163">
            <v>96</v>
          </cell>
          <cell r="G163">
            <v>1</v>
          </cell>
          <cell r="H163">
            <v>3</v>
          </cell>
          <cell r="I163">
            <v>35</v>
          </cell>
          <cell r="J163">
            <v>2</v>
          </cell>
          <cell r="M163">
            <v>37</v>
          </cell>
          <cell r="O163">
            <v>5</v>
          </cell>
          <cell r="Q163">
            <v>1</v>
          </cell>
        </row>
        <row r="164">
          <cell r="C164">
            <v>3506</v>
          </cell>
          <cell r="D164" t="str">
            <v>KEDIRI</v>
          </cell>
          <cell r="E164">
            <v>0.2</v>
          </cell>
          <cell r="F164">
            <v>97</v>
          </cell>
          <cell r="G164">
            <v>1</v>
          </cell>
          <cell r="H164">
            <v>4</v>
          </cell>
          <cell r="I164">
            <v>26</v>
          </cell>
          <cell r="J164">
            <v>32</v>
          </cell>
          <cell r="M164">
            <v>58</v>
          </cell>
        </row>
        <row r="165">
          <cell r="C165">
            <v>3507</v>
          </cell>
          <cell r="D165" t="str">
            <v>MALANG</v>
          </cell>
          <cell r="E165">
            <v>0.2</v>
          </cell>
          <cell r="F165">
            <v>98</v>
          </cell>
          <cell r="G165">
            <v>1</v>
          </cell>
          <cell r="H165">
            <v>7</v>
          </cell>
          <cell r="J165">
            <v>98</v>
          </cell>
          <cell r="M165">
            <v>98</v>
          </cell>
          <cell r="O165">
            <v>1</v>
          </cell>
          <cell r="Q165">
            <v>0</v>
          </cell>
        </row>
        <row r="166">
          <cell r="C166">
            <v>3508</v>
          </cell>
          <cell r="D166" t="str">
            <v>LUMAJANG</v>
          </cell>
          <cell r="E166">
            <v>0.2</v>
          </cell>
          <cell r="F166">
            <v>99</v>
          </cell>
          <cell r="G166">
            <v>0</v>
          </cell>
          <cell r="H166">
            <v>1</v>
          </cell>
          <cell r="I166">
            <v>11</v>
          </cell>
          <cell r="J166">
            <v>1</v>
          </cell>
          <cell r="M166">
            <v>12</v>
          </cell>
          <cell r="Q166">
            <v>1</v>
          </cell>
        </row>
        <row r="167">
          <cell r="C167">
            <v>3509</v>
          </cell>
          <cell r="D167" t="str">
            <v>JEMBER</v>
          </cell>
          <cell r="E167">
            <v>0.2</v>
          </cell>
          <cell r="F167">
            <v>99</v>
          </cell>
          <cell r="G167">
            <v>1</v>
          </cell>
          <cell r="H167">
            <v>5</v>
          </cell>
          <cell r="J167">
            <v>37</v>
          </cell>
          <cell r="M167">
            <v>37</v>
          </cell>
        </row>
        <row r="168">
          <cell r="C168">
            <v>3510</v>
          </cell>
          <cell r="D168" t="str">
            <v>BANYUWANGI</v>
          </cell>
          <cell r="E168">
            <v>0.2</v>
          </cell>
          <cell r="F168">
            <v>100</v>
          </cell>
          <cell r="G168">
            <v>1</v>
          </cell>
          <cell r="H168">
            <v>5</v>
          </cell>
          <cell r="I168">
            <v>24</v>
          </cell>
          <cell r="J168">
            <v>21</v>
          </cell>
          <cell r="M168">
            <v>45</v>
          </cell>
          <cell r="Q168">
            <v>0</v>
          </cell>
        </row>
        <row r="169">
          <cell r="C169">
            <v>3511</v>
          </cell>
          <cell r="D169" t="str">
            <v>BONDOWOSO</v>
          </cell>
          <cell r="E169">
            <v>0.2</v>
          </cell>
          <cell r="F169">
            <v>101</v>
          </cell>
          <cell r="G169">
            <v>0</v>
          </cell>
          <cell r="H169">
            <v>1</v>
          </cell>
          <cell r="I169">
            <v>3</v>
          </cell>
          <cell r="J169">
            <v>8</v>
          </cell>
          <cell r="M169">
            <v>11</v>
          </cell>
          <cell r="O169">
            <v>1</v>
          </cell>
          <cell r="Q169">
            <v>0</v>
          </cell>
        </row>
        <row r="170">
          <cell r="C170">
            <v>3512</v>
          </cell>
          <cell r="D170" t="str">
            <v>SITUBONDO</v>
          </cell>
          <cell r="E170">
            <v>0.2</v>
          </cell>
          <cell r="F170">
            <v>101</v>
          </cell>
          <cell r="G170">
            <v>1</v>
          </cell>
          <cell r="H170">
            <v>4</v>
          </cell>
          <cell r="I170">
            <v>15</v>
          </cell>
          <cell r="J170">
            <v>15</v>
          </cell>
          <cell r="M170">
            <v>30</v>
          </cell>
          <cell r="O170">
            <v>1</v>
          </cell>
        </row>
        <row r="171">
          <cell r="C171">
            <v>3513</v>
          </cell>
          <cell r="D171" t="str">
            <v>PROBOLINGGO</v>
          </cell>
          <cell r="E171">
            <v>0.2</v>
          </cell>
          <cell r="F171">
            <v>102</v>
          </cell>
          <cell r="G171">
            <v>1</v>
          </cell>
          <cell r="H171">
            <v>3</v>
          </cell>
          <cell r="I171">
            <v>3</v>
          </cell>
          <cell r="J171">
            <v>44</v>
          </cell>
          <cell r="M171">
            <v>47</v>
          </cell>
        </row>
        <row r="172">
          <cell r="C172">
            <v>3514</v>
          </cell>
          <cell r="D172" t="str">
            <v>PASURUAN</v>
          </cell>
          <cell r="E172">
            <v>0.2</v>
          </cell>
          <cell r="F172">
            <v>103</v>
          </cell>
          <cell r="G172">
            <v>1</v>
          </cell>
          <cell r="H172">
            <v>6</v>
          </cell>
          <cell r="I172">
            <v>25</v>
          </cell>
          <cell r="J172">
            <v>66</v>
          </cell>
          <cell r="M172">
            <v>91</v>
          </cell>
          <cell r="N172">
            <v>2</v>
          </cell>
        </row>
        <row r="173">
          <cell r="C173">
            <v>3515</v>
          </cell>
          <cell r="D173" t="str">
            <v>SIDOARJO</v>
          </cell>
          <cell r="E173">
            <v>0.2</v>
          </cell>
          <cell r="F173">
            <v>104</v>
          </cell>
          <cell r="G173">
            <v>1</v>
          </cell>
          <cell r="H173">
            <v>15</v>
          </cell>
          <cell r="I173">
            <v>95</v>
          </cell>
          <cell r="J173">
            <v>200</v>
          </cell>
          <cell r="M173">
            <v>295</v>
          </cell>
        </row>
        <row r="174">
          <cell r="C174">
            <v>3516</v>
          </cell>
          <cell r="D174" t="str">
            <v>MOJOKERTO</v>
          </cell>
          <cell r="E174">
            <v>0.2</v>
          </cell>
          <cell r="F174">
            <v>105</v>
          </cell>
          <cell r="G174">
            <v>1</v>
          </cell>
          <cell r="H174">
            <v>6</v>
          </cell>
          <cell r="I174">
            <v>30</v>
          </cell>
          <cell r="J174">
            <v>70</v>
          </cell>
          <cell r="M174">
            <v>100</v>
          </cell>
          <cell r="O174">
            <v>1</v>
          </cell>
          <cell r="Q174">
            <v>0</v>
          </cell>
        </row>
        <row r="175">
          <cell r="C175">
            <v>3517</v>
          </cell>
          <cell r="D175" t="str">
            <v>JOMBANG</v>
          </cell>
          <cell r="E175">
            <v>0.2</v>
          </cell>
          <cell r="F175">
            <v>106</v>
          </cell>
          <cell r="G175">
            <v>1</v>
          </cell>
          <cell r="H175">
            <v>7</v>
          </cell>
          <cell r="I175">
            <v>85</v>
          </cell>
          <cell r="J175">
            <v>28</v>
          </cell>
          <cell r="M175">
            <v>113</v>
          </cell>
          <cell r="O175">
            <v>7</v>
          </cell>
          <cell r="Q175">
            <v>1</v>
          </cell>
        </row>
        <row r="176">
          <cell r="C176">
            <v>3518</v>
          </cell>
          <cell r="D176" t="str">
            <v>NGANJUK</v>
          </cell>
          <cell r="E176">
            <v>0.2</v>
          </cell>
          <cell r="F176">
            <v>107</v>
          </cell>
          <cell r="G176">
            <v>1</v>
          </cell>
          <cell r="H176">
            <v>3</v>
          </cell>
          <cell r="J176">
            <v>50</v>
          </cell>
          <cell r="M176">
            <v>50</v>
          </cell>
        </row>
        <row r="177">
          <cell r="C177">
            <v>3519</v>
          </cell>
          <cell r="D177" t="str">
            <v>MADIUN</v>
          </cell>
          <cell r="E177">
            <v>0.2</v>
          </cell>
          <cell r="F177">
            <v>116</v>
          </cell>
          <cell r="G177">
            <v>0</v>
          </cell>
          <cell r="H177">
            <v>1</v>
          </cell>
          <cell r="J177">
            <v>14</v>
          </cell>
          <cell r="M177">
            <v>14</v>
          </cell>
        </row>
        <row r="178">
          <cell r="C178">
            <v>3520</v>
          </cell>
          <cell r="D178" t="str">
            <v>MAGETAN</v>
          </cell>
          <cell r="E178">
            <v>0.2</v>
          </cell>
          <cell r="F178">
            <v>108</v>
          </cell>
          <cell r="G178">
            <v>1</v>
          </cell>
          <cell r="H178">
            <v>3</v>
          </cell>
          <cell r="J178">
            <v>42</v>
          </cell>
          <cell r="M178">
            <v>42</v>
          </cell>
        </row>
        <row r="179">
          <cell r="C179">
            <v>3522</v>
          </cell>
          <cell r="D179" t="str">
            <v>BOJONEGORO</v>
          </cell>
          <cell r="E179">
            <v>0.2</v>
          </cell>
          <cell r="F179">
            <v>109</v>
          </cell>
          <cell r="G179">
            <v>1</v>
          </cell>
          <cell r="H179">
            <v>1</v>
          </cell>
          <cell r="I179">
            <v>9</v>
          </cell>
          <cell r="J179">
            <v>9</v>
          </cell>
          <cell r="M179">
            <v>18</v>
          </cell>
        </row>
        <row r="180">
          <cell r="C180">
            <v>3523</v>
          </cell>
          <cell r="D180" t="str">
            <v>TUBAN</v>
          </cell>
          <cell r="E180">
            <v>0.2</v>
          </cell>
          <cell r="F180">
            <v>109</v>
          </cell>
          <cell r="G180">
            <v>0</v>
          </cell>
          <cell r="H180">
            <v>1</v>
          </cell>
          <cell r="I180">
            <v>13</v>
          </cell>
          <cell r="J180">
            <v>4</v>
          </cell>
          <cell r="M180">
            <v>17</v>
          </cell>
        </row>
        <row r="181">
          <cell r="C181">
            <v>3524</v>
          </cell>
          <cell r="D181" t="str">
            <v>LAMONGAN</v>
          </cell>
          <cell r="E181">
            <v>0.2</v>
          </cell>
          <cell r="F181">
            <v>110</v>
          </cell>
          <cell r="G181">
            <v>1</v>
          </cell>
          <cell r="H181">
            <v>2</v>
          </cell>
          <cell r="I181">
            <v>8</v>
          </cell>
          <cell r="J181">
            <v>29</v>
          </cell>
          <cell r="M181">
            <v>37</v>
          </cell>
          <cell r="Q181">
            <v>0</v>
          </cell>
        </row>
        <row r="182">
          <cell r="C182">
            <v>3525</v>
          </cell>
          <cell r="D182" t="str">
            <v>GRESIK</v>
          </cell>
          <cell r="E182">
            <v>0.2</v>
          </cell>
          <cell r="F182">
            <v>111</v>
          </cell>
          <cell r="G182">
            <v>1</v>
          </cell>
          <cell r="H182">
            <v>5</v>
          </cell>
          <cell r="I182">
            <v>28</v>
          </cell>
          <cell r="J182">
            <v>75</v>
          </cell>
          <cell r="M182">
            <v>103</v>
          </cell>
          <cell r="O182">
            <v>1</v>
          </cell>
        </row>
        <row r="183">
          <cell r="C183">
            <v>3526</v>
          </cell>
          <cell r="D183" t="str">
            <v>BANGKALAN</v>
          </cell>
          <cell r="E183">
            <v>0.2</v>
          </cell>
          <cell r="F183">
            <v>112</v>
          </cell>
          <cell r="G183">
            <v>0</v>
          </cell>
          <cell r="H183">
            <v>1</v>
          </cell>
          <cell r="J183">
            <v>13</v>
          </cell>
          <cell r="M183">
            <v>13</v>
          </cell>
        </row>
        <row r="184">
          <cell r="C184">
            <v>3528</v>
          </cell>
          <cell r="D184" t="str">
            <v>PAMEKASAN</v>
          </cell>
          <cell r="E184">
            <v>0.2</v>
          </cell>
          <cell r="F184">
            <v>112</v>
          </cell>
          <cell r="G184">
            <v>1</v>
          </cell>
          <cell r="H184">
            <v>1</v>
          </cell>
          <cell r="I184">
            <v>9</v>
          </cell>
          <cell r="J184">
            <v>9</v>
          </cell>
          <cell r="M184">
            <v>18</v>
          </cell>
          <cell r="O184">
            <v>1</v>
          </cell>
          <cell r="Q184">
            <v>1</v>
          </cell>
        </row>
        <row r="185">
          <cell r="C185">
            <v>3529</v>
          </cell>
          <cell r="D185" t="str">
            <v>SUMENEP</v>
          </cell>
          <cell r="E185">
            <v>0.2</v>
          </cell>
          <cell r="F185">
            <v>112</v>
          </cell>
          <cell r="G185">
            <v>0</v>
          </cell>
          <cell r="H185">
            <v>2</v>
          </cell>
          <cell r="I185">
            <v>20</v>
          </cell>
          <cell r="J185">
            <v>3</v>
          </cell>
          <cell r="M185">
            <v>23</v>
          </cell>
          <cell r="Q185">
            <v>1</v>
          </cell>
        </row>
        <row r="186">
          <cell r="C186">
            <v>3571</v>
          </cell>
          <cell r="D186" t="str">
            <v>KOTA KEDIRI</v>
          </cell>
          <cell r="E186">
            <v>0.2</v>
          </cell>
          <cell r="F186">
            <v>113</v>
          </cell>
          <cell r="G186">
            <v>1</v>
          </cell>
          <cell r="H186">
            <v>3</v>
          </cell>
          <cell r="J186">
            <v>46</v>
          </cell>
          <cell r="M186">
            <v>46</v>
          </cell>
        </row>
        <row r="187">
          <cell r="C187">
            <v>3572</v>
          </cell>
          <cell r="D187" t="str">
            <v>KOTA BLITAR</v>
          </cell>
          <cell r="E187">
            <v>0.2</v>
          </cell>
          <cell r="F187">
            <v>96</v>
          </cell>
          <cell r="G187">
            <v>0</v>
          </cell>
          <cell r="H187">
            <v>3</v>
          </cell>
          <cell r="J187">
            <v>21</v>
          </cell>
          <cell r="M187">
            <v>21</v>
          </cell>
          <cell r="O187">
            <v>1</v>
          </cell>
        </row>
        <row r="188">
          <cell r="C188">
            <v>3573</v>
          </cell>
          <cell r="D188" t="str">
            <v>KOTA MALANG</v>
          </cell>
          <cell r="E188">
            <v>0.2</v>
          </cell>
          <cell r="F188">
            <v>114</v>
          </cell>
          <cell r="G188">
            <v>1</v>
          </cell>
          <cell r="H188">
            <v>5</v>
          </cell>
          <cell r="I188">
            <v>50</v>
          </cell>
          <cell r="J188">
            <v>7</v>
          </cell>
          <cell r="M188">
            <v>57</v>
          </cell>
        </row>
        <row r="189">
          <cell r="C189">
            <v>3574</v>
          </cell>
          <cell r="D189" t="str">
            <v>KOTA PROBOLINGGO</v>
          </cell>
          <cell r="E189">
            <v>0.2</v>
          </cell>
          <cell r="F189">
            <v>102</v>
          </cell>
          <cell r="G189">
            <v>0</v>
          </cell>
          <cell r="H189">
            <v>5</v>
          </cell>
          <cell r="I189">
            <v>13</v>
          </cell>
          <cell r="J189">
            <v>16</v>
          </cell>
          <cell r="M189">
            <v>29</v>
          </cell>
        </row>
        <row r="190">
          <cell r="C190">
            <v>3575</v>
          </cell>
          <cell r="D190" t="str">
            <v>KOTA PASURUAN</v>
          </cell>
          <cell r="E190">
            <v>0.2</v>
          </cell>
          <cell r="F190">
            <v>115</v>
          </cell>
          <cell r="G190">
            <v>1</v>
          </cell>
          <cell r="H190">
            <v>3</v>
          </cell>
          <cell r="I190">
            <v>24</v>
          </cell>
          <cell r="J190">
            <v>10</v>
          </cell>
          <cell r="M190">
            <v>34</v>
          </cell>
          <cell r="Q190">
            <v>0</v>
          </cell>
        </row>
        <row r="191">
          <cell r="C191">
            <v>3576</v>
          </cell>
          <cell r="D191" t="str">
            <v>KOTA MOJOKERTO</v>
          </cell>
          <cell r="E191">
            <v>0.3</v>
          </cell>
          <cell r="F191">
            <v>105</v>
          </cell>
          <cell r="G191">
            <v>0</v>
          </cell>
          <cell r="H191">
            <v>2</v>
          </cell>
          <cell r="I191">
            <v>6</v>
          </cell>
          <cell r="J191">
            <v>12</v>
          </cell>
          <cell r="M191">
            <v>18</v>
          </cell>
        </row>
        <row r="192">
          <cell r="C192">
            <v>3577</v>
          </cell>
          <cell r="D192" t="str">
            <v>KOTA MADIUN</v>
          </cell>
          <cell r="E192">
            <v>0.2</v>
          </cell>
          <cell r="F192">
            <v>116</v>
          </cell>
          <cell r="G192">
            <v>1</v>
          </cell>
          <cell r="H192">
            <v>3</v>
          </cell>
          <cell r="J192">
            <v>27</v>
          </cell>
          <cell r="M192">
            <v>27</v>
          </cell>
        </row>
        <row r="193">
          <cell r="C193">
            <v>3578</v>
          </cell>
          <cell r="D193" t="str">
            <v>KOTA SURABAYA</v>
          </cell>
          <cell r="E193">
            <v>0.2</v>
          </cell>
          <cell r="F193">
            <v>117</v>
          </cell>
          <cell r="G193">
            <v>1</v>
          </cell>
          <cell r="H193">
            <v>31</v>
          </cell>
          <cell r="I193">
            <v>31</v>
          </cell>
          <cell r="J193">
            <v>132</v>
          </cell>
          <cell r="M193">
            <v>163</v>
          </cell>
        </row>
        <row r="194">
          <cell r="C194">
            <v>3579</v>
          </cell>
          <cell r="D194" t="str">
            <v>KOTA BATU</v>
          </cell>
          <cell r="E194">
            <v>0.2</v>
          </cell>
          <cell r="F194">
            <v>98</v>
          </cell>
          <cell r="G194">
            <v>0</v>
          </cell>
          <cell r="H194">
            <v>3</v>
          </cell>
          <cell r="I194">
            <v>3</v>
          </cell>
          <cell r="J194">
            <v>21</v>
          </cell>
          <cell r="M194">
            <v>24</v>
          </cell>
          <cell r="O194">
            <v>1</v>
          </cell>
          <cell r="Q194">
            <v>1</v>
          </cell>
        </row>
        <row r="195">
          <cell r="B195" t="str">
            <v>JAWA TIMUR Total</v>
          </cell>
          <cell r="D195">
            <v>36</v>
          </cell>
          <cell r="G195">
            <v>25</v>
          </cell>
          <cell r="H195">
            <v>154</v>
          </cell>
          <cell r="I195">
            <v>621</v>
          </cell>
          <cell r="J195">
            <v>1263</v>
          </cell>
          <cell r="K195">
            <v>0</v>
          </cell>
          <cell r="M195">
            <v>1884</v>
          </cell>
          <cell r="N195">
            <v>2</v>
          </cell>
          <cell r="O195">
            <v>21</v>
          </cell>
          <cell r="P195">
            <v>1</v>
          </cell>
          <cell r="Q195">
            <v>7</v>
          </cell>
        </row>
        <row r="196">
          <cell r="A196">
            <v>36</v>
          </cell>
          <cell r="B196" t="str">
            <v>BANTEN</v>
          </cell>
          <cell r="C196">
            <v>3601</v>
          </cell>
          <cell r="D196" t="str">
            <v>PANDEGLANG</v>
          </cell>
          <cell r="E196">
            <v>0.2</v>
          </cell>
          <cell r="F196">
            <v>119</v>
          </cell>
          <cell r="G196">
            <v>0</v>
          </cell>
          <cell r="H196">
            <v>2</v>
          </cell>
          <cell r="I196">
            <v>4</v>
          </cell>
          <cell r="J196">
            <v>9</v>
          </cell>
          <cell r="M196">
            <v>13</v>
          </cell>
          <cell r="P196">
            <v>1</v>
          </cell>
          <cell r="Q196">
            <v>1</v>
          </cell>
        </row>
        <row r="197">
          <cell r="C197">
            <v>3602</v>
          </cell>
          <cell r="D197" t="str">
            <v>LEBAK</v>
          </cell>
          <cell r="E197">
            <v>0.2</v>
          </cell>
          <cell r="F197">
            <v>119</v>
          </cell>
          <cell r="G197">
            <v>0</v>
          </cell>
          <cell r="H197">
            <v>1</v>
          </cell>
          <cell r="I197">
            <v>6</v>
          </cell>
          <cell r="J197">
            <v>9</v>
          </cell>
          <cell r="M197">
            <v>15</v>
          </cell>
          <cell r="Q197">
            <v>1</v>
          </cell>
        </row>
        <row r="198">
          <cell r="C198">
            <v>3603</v>
          </cell>
          <cell r="D198" t="str">
            <v>TANGERANG</v>
          </cell>
          <cell r="E198">
            <v>0.2</v>
          </cell>
          <cell r="F198">
            <v>120</v>
          </cell>
          <cell r="G198">
            <v>1</v>
          </cell>
          <cell r="H198">
            <v>10</v>
          </cell>
          <cell r="I198">
            <v>59</v>
          </cell>
          <cell r="J198">
            <v>37</v>
          </cell>
          <cell r="M198">
            <v>96</v>
          </cell>
          <cell r="Q198">
            <v>1</v>
          </cell>
        </row>
        <row r="199">
          <cell r="C199">
            <v>3671</v>
          </cell>
          <cell r="D199" t="str">
            <v>KOTA TANGERANG</v>
          </cell>
          <cell r="E199">
            <v>0.2</v>
          </cell>
          <cell r="F199">
            <v>121</v>
          </cell>
          <cell r="G199">
            <v>1</v>
          </cell>
          <cell r="H199">
            <v>13</v>
          </cell>
          <cell r="I199">
            <v>47</v>
          </cell>
          <cell r="J199">
            <v>57</v>
          </cell>
          <cell r="M199">
            <v>104</v>
          </cell>
        </row>
        <row r="200">
          <cell r="C200">
            <v>3672</v>
          </cell>
          <cell r="D200" t="str">
            <v>KOTA CILEGON</v>
          </cell>
          <cell r="E200">
            <v>0.2</v>
          </cell>
          <cell r="F200">
            <v>118</v>
          </cell>
          <cell r="G200">
            <v>1</v>
          </cell>
          <cell r="H200">
            <v>8</v>
          </cell>
          <cell r="I200">
            <v>10</v>
          </cell>
          <cell r="J200">
            <v>33</v>
          </cell>
          <cell r="M200">
            <v>43</v>
          </cell>
          <cell r="Q200">
            <v>0</v>
          </cell>
        </row>
        <row r="201">
          <cell r="C201">
            <v>3673</v>
          </cell>
          <cell r="D201" t="str">
            <v>KOTA SERANG</v>
          </cell>
          <cell r="E201">
            <v>0.2</v>
          </cell>
          <cell r="F201">
            <v>119</v>
          </cell>
          <cell r="G201">
            <v>1</v>
          </cell>
          <cell r="H201">
            <v>6</v>
          </cell>
          <cell r="I201">
            <v>16</v>
          </cell>
          <cell r="J201">
            <v>50</v>
          </cell>
          <cell r="M201">
            <v>66</v>
          </cell>
          <cell r="Q201">
            <v>1</v>
          </cell>
        </row>
        <row r="202">
          <cell r="C202">
            <v>3674</v>
          </cell>
          <cell r="D202" t="str">
            <v>KOTA TANGERANG SELATAN</v>
          </cell>
          <cell r="E202">
            <v>0.2</v>
          </cell>
          <cell r="F202">
            <v>120</v>
          </cell>
          <cell r="G202">
            <v>0</v>
          </cell>
          <cell r="H202">
            <v>4</v>
          </cell>
          <cell r="I202">
            <v>33</v>
          </cell>
          <cell r="J202">
            <v>2</v>
          </cell>
          <cell r="M202">
            <v>35</v>
          </cell>
          <cell r="O202">
            <v>1</v>
          </cell>
        </row>
        <row r="203">
          <cell r="B203" t="str">
            <v>BANTEN Total</v>
          </cell>
          <cell r="D203">
            <v>7</v>
          </cell>
          <cell r="G203">
            <v>4</v>
          </cell>
          <cell r="H203">
            <v>44</v>
          </cell>
          <cell r="I203">
            <v>175</v>
          </cell>
          <cell r="J203">
            <v>197</v>
          </cell>
          <cell r="K203">
            <v>0</v>
          </cell>
          <cell r="M203">
            <v>372</v>
          </cell>
          <cell r="N203">
            <v>0</v>
          </cell>
          <cell r="O203">
            <v>1</v>
          </cell>
          <cell r="P203">
            <v>1</v>
          </cell>
          <cell r="Q203">
            <v>4</v>
          </cell>
        </row>
        <row r="204">
          <cell r="A204">
            <v>51</v>
          </cell>
          <cell r="B204" t="str">
            <v>BALI</v>
          </cell>
          <cell r="C204">
            <v>5103</v>
          </cell>
          <cell r="D204" t="str">
            <v>BADUNG</v>
          </cell>
          <cell r="E204">
            <v>0.3</v>
          </cell>
          <cell r="F204">
            <v>122</v>
          </cell>
          <cell r="G204">
            <v>0</v>
          </cell>
          <cell r="H204">
            <v>2</v>
          </cell>
          <cell r="I204">
            <v>11</v>
          </cell>
          <cell r="M204">
            <v>11</v>
          </cell>
          <cell r="P204">
            <v>2</v>
          </cell>
          <cell r="Q204">
            <v>1</v>
          </cell>
        </row>
        <row r="205">
          <cell r="C205">
            <v>5104</v>
          </cell>
          <cell r="D205" t="str">
            <v>GIANYAR</v>
          </cell>
          <cell r="E205">
            <v>0.2</v>
          </cell>
          <cell r="F205">
            <v>123</v>
          </cell>
          <cell r="G205">
            <v>0</v>
          </cell>
          <cell r="H205">
            <v>2</v>
          </cell>
          <cell r="I205">
            <v>17</v>
          </cell>
          <cell r="M205">
            <v>17</v>
          </cell>
          <cell r="Q205">
            <v>1</v>
          </cell>
        </row>
        <row r="206">
          <cell r="C206">
            <v>5105</v>
          </cell>
          <cell r="D206" t="str">
            <v>KLUNGKUNG</v>
          </cell>
          <cell r="E206">
            <v>0.2</v>
          </cell>
          <cell r="F206">
            <v>123</v>
          </cell>
          <cell r="G206">
            <v>1</v>
          </cell>
          <cell r="H206">
            <v>2</v>
          </cell>
          <cell r="I206">
            <v>30</v>
          </cell>
          <cell r="M206">
            <v>30</v>
          </cell>
          <cell r="Q206">
            <v>1</v>
          </cell>
        </row>
        <row r="207">
          <cell r="C207">
            <v>5108</v>
          </cell>
          <cell r="D207" t="str">
            <v>BULELENG</v>
          </cell>
          <cell r="E207">
            <v>0.2</v>
          </cell>
          <cell r="F207">
            <v>122</v>
          </cell>
          <cell r="G207">
            <v>0</v>
          </cell>
          <cell r="H207">
            <v>1</v>
          </cell>
          <cell r="I207">
            <v>28</v>
          </cell>
          <cell r="J207">
            <v>1</v>
          </cell>
          <cell r="M207">
            <v>29</v>
          </cell>
          <cell r="Q207">
            <v>1</v>
          </cell>
        </row>
        <row r="208">
          <cell r="C208">
            <v>5171</v>
          </cell>
          <cell r="D208" t="str">
            <v>KOTA DENPASAR</v>
          </cell>
          <cell r="E208">
            <v>0.2</v>
          </cell>
          <cell r="F208">
            <v>122</v>
          </cell>
          <cell r="G208">
            <v>1</v>
          </cell>
          <cell r="H208">
            <v>4</v>
          </cell>
          <cell r="I208">
            <v>43</v>
          </cell>
          <cell r="M208">
            <v>43</v>
          </cell>
          <cell r="Q208">
            <v>1</v>
          </cell>
        </row>
        <row r="209">
          <cell r="B209" t="str">
            <v>BALI Total</v>
          </cell>
          <cell r="D209">
            <v>5</v>
          </cell>
          <cell r="G209">
            <v>2</v>
          </cell>
          <cell r="H209">
            <v>11</v>
          </cell>
          <cell r="I209">
            <v>129</v>
          </cell>
          <cell r="J209">
            <v>1</v>
          </cell>
          <cell r="K209">
            <v>0</v>
          </cell>
          <cell r="M209">
            <v>130</v>
          </cell>
          <cell r="N209">
            <v>0</v>
          </cell>
          <cell r="O209">
            <v>0</v>
          </cell>
          <cell r="P209">
            <v>2</v>
          </cell>
          <cell r="Q209">
            <v>5</v>
          </cell>
        </row>
        <row r="210">
          <cell r="A210">
            <v>52</v>
          </cell>
          <cell r="B210" t="str">
            <v>NUSA TENGGARA BARAT</v>
          </cell>
          <cell r="C210">
            <v>5201</v>
          </cell>
          <cell r="D210" t="str">
            <v>LOMBOK BARAT</v>
          </cell>
          <cell r="E210">
            <v>0.2</v>
          </cell>
          <cell r="F210">
            <v>124</v>
          </cell>
          <cell r="G210">
            <v>0</v>
          </cell>
          <cell r="H210">
            <v>2</v>
          </cell>
          <cell r="J210">
            <v>18</v>
          </cell>
          <cell r="M210">
            <v>18</v>
          </cell>
          <cell r="N210">
            <v>1</v>
          </cell>
          <cell r="O210">
            <v>1</v>
          </cell>
          <cell r="P210">
            <v>0</v>
          </cell>
          <cell r="Q210">
            <v>0</v>
          </cell>
        </row>
        <row r="211">
          <cell r="C211">
            <v>5202</v>
          </cell>
          <cell r="D211" t="str">
            <v>LOMBOK TENGAH</v>
          </cell>
          <cell r="E211">
            <v>0.2</v>
          </cell>
          <cell r="F211">
            <v>125</v>
          </cell>
          <cell r="G211">
            <v>1</v>
          </cell>
          <cell r="H211">
            <v>2</v>
          </cell>
          <cell r="I211">
            <v>2</v>
          </cell>
          <cell r="J211">
            <v>21</v>
          </cell>
          <cell r="M211">
            <v>23</v>
          </cell>
          <cell r="O211">
            <v>1</v>
          </cell>
          <cell r="Q211">
            <v>1</v>
          </cell>
        </row>
        <row r="212">
          <cell r="C212">
            <v>5203</v>
          </cell>
          <cell r="D212" t="str">
            <v>LOMBOK TIMUR</v>
          </cell>
          <cell r="E212">
            <v>0.2</v>
          </cell>
          <cell r="F212">
            <v>126</v>
          </cell>
          <cell r="G212">
            <v>1</v>
          </cell>
          <cell r="H212">
            <v>6</v>
          </cell>
          <cell r="J212">
            <v>44</v>
          </cell>
          <cell r="M212">
            <v>44</v>
          </cell>
          <cell r="O212">
            <v>4</v>
          </cell>
          <cell r="Q212">
            <v>1</v>
          </cell>
        </row>
        <row r="213">
          <cell r="C213">
            <v>5204</v>
          </cell>
          <cell r="D213" t="str">
            <v>SUMBAWA</v>
          </cell>
          <cell r="E213">
            <v>0.2</v>
          </cell>
          <cell r="F213">
            <v>126</v>
          </cell>
          <cell r="G213">
            <v>0</v>
          </cell>
          <cell r="H213">
            <v>2</v>
          </cell>
          <cell r="I213">
            <v>6</v>
          </cell>
          <cell r="J213">
            <v>10</v>
          </cell>
          <cell r="M213">
            <v>16</v>
          </cell>
          <cell r="O213">
            <v>1</v>
          </cell>
          <cell r="Q213">
            <v>1</v>
          </cell>
        </row>
        <row r="214">
          <cell r="C214">
            <v>5271</v>
          </cell>
          <cell r="D214" t="str">
            <v>KOTA MATARAM</v>
          </cell>
          <cell r="E214">
            <v>0.2</v>
          </cell>
          <cell r="F214">
            <v>124</v>
          </cell>
          <cell r="G214">
            <v>1</v>
          </cell>
          <cell r="H214">
            <v>6</v>
          </cell>
          <cell r="I214">
            <v>15</v>
          </cell>
          <cell r="J214">
            <v>35</v>
          </cell>
          <cell r="M214">
            <v>50</v>
          </cell>
          <cell r="O214">
            <v>2</v>
          </cell>
          <cell r="Q214">
            <v>1</v>
          </cell>
        </row>
        <row r="215">
          <cell r="C215">
            <v>5272</v>
          </cell>
          <cell r="D215" t="str">
            <v>KOTA BIMA</v>
          </cell>
          <cell r="E215">
            <v>0.2</v>
          </cell>
          <cell r="F215">
            <v>127</v>
          </cell>
          <cell r="G215">
            <v>1</v>
          </cell>
          <cell r="H215">
            <v>5</v>
          </cell>
          <cell r="I215">
            <v>10</v>
          </cell>
          <cell r="J215">
            <v>28</v>
          </cell>
          <cell r="M215">
            <v>38</v>
          </cell>
          <cell r="O215">
            <v>5</v>
          </cell>
          <cell r="Q215">
            <v>0</v>
          </cell>
        </row>
        <row r="216">
          <cell r="D216" t="str">
            <v>KAB BIMA</v>
          </cell>
          <cell r="F216">
            <v>127</v>
          </cell>
          <cell r="G216">
            <v>0</v>
          </cell>
          <cell r="K216">
            <v>26</v>
          </cell>
          <cell r="M216">
            <v>26</v>
          </cell>
          <cell r="Q216">
            <v>0</v>
          </cell>
        </row>
        <row r="217">
          <cell r="B217" t="str">
            <v>NUSA TENGGARA BARAT Total</v>
          </cell>
          <cell r="D217">
            <v>7</v>
          </cell>
          <cell r="G217">
            <v>4</v>
          </cell>
          <cell r="H217">
            <v>23</v>
          </cell>
          <cell r="I217">
            <v>33</v>
          </cell>
          <cell r="J217">
            <v>156</v>
          </cell>
          <cell r="K217">
            <v>26</v>
          </cell>
          <cell r="L217">
            <v>0</v>
          </cell>
          <cell r="M217">
            <v>215</v>
          </cell>
          <cell r="N217">
            <v>1</v>
          </cell>
          <cell r="O217">
            <v>14</v>
          </cell>
          <cell r="P217">
            <v>0</v>
          </cell>
          <cell r="Q217">
            <v>4</v>
          </cell>
        </row>
        <row r="218">
          <cell r="A218">
            <v>53</v>
          </cell>
          <cell r="B218" t="str">
            <v>NUSA TENGGARA TIMUR</v>
          </cell>
          <cell r="C218">
            <v>5301</v>
          </cell>
          <cell r="D218" t="str">
            <v>SUMBA BARAT</v>
          </cell>
          <cell r="E218">
            <v>0.2</v>
          </cell>
          <cell r="F218">
            <v>129</v>
          </cell>
          <cell r="G218">
            <v>0</v>
          </cell>
          <cell r="H218">
            <v>1</v>
          </cell>
          <cell r="I218">
            <v>6</v>
          </cell>
          <cell r="J218">
            <v>5</v>
          </cell>
          <cell r="M218">
            <v>11</v>
          </cell>
          <cell r="P218">
            <v>2</v>
          </cell>
        </row>
        <row r="219">
          <cell r="C219">
            <v>5302</v>
          </cell>
          <cell r="D219" t="str">
            <v>SUMBA TIMUR</v>
          </cell>
          <cell r="E219">
            <v>0.2</v>
          </cell>
          <cell r="F219">
            <v>129</v>
          </cell>
          <cell r="G219">
            <v>1</v>
          </cell>
          <cell r="H219">
            <v>1</v>
          </cell>
          <cell r="I219">
            <v>2</v>
          </cell>
          <cell r="J219">
            <v>5</v>
          </cell>
          <cell r="M219">
            <v>7</v>
          </cell>
        </row>
        <row r="220">
          <cell r="C220">
            <v>5304</v>
          </cell>
          <cell r="D220" t="str">
            <v>TIMOR TENGAH SELATAN</v>
          </cell>
          <cell r="E220">
            <v>0.2</v>
          </cell>
          <cell r="F220">
            <v>128</v>
          </cell>
          <cell r="G220">
            <v>0</v>
          </cell>
          <cell r="H220">
            <v>1</v>
          </cell>
          <cell r="I220">
            <v>9</v>
          </cell>
          <cell r="J220">
            <v>4</v>
          </cell>
          <cell r="M220">
            <v>13</v>
          </cell>
          <cell r="Q220">
            <v>0</v>
          </cell>
        </row>
        <row r="221">
          <cell r="C221">
            <v>5306</v>
          </cell>
          <cell r="D221" t="str">
            <v>BELU</v>
          </cell>
          <cell r="E221">
            <v>0.2</v>
          </cell>
          <cell r="F221">
            <v>128</v>
          </cell>
          <cell r="G221">
            <v>0</v>
          </cell>
          <cell r="H221">
            <v>1</v>
          </cell>
          <cell r="I221">
            <v>1</v>
          </cell>
          <cell r="J221">
            <v>3</v>
          </cell>
          <cell r="M221">
            <v>4</v>
          </cell>
        </row>
        <row r="222">
          <cell r="C222">
            <v>5310</v>
          </cell>
          <cell r="D222" t="str">
            <v>SIKKA</v>
          </cell>
          <cell r="E222">
            <v>0.2</v>
          </cell>
          <cell r="F222">
            <v>130</v>
          </cell>
          <cell r="G222">
            <v>0</v>
          </cell>
          <cell r="H222">
            <v>1</v>
          </cell>
          <cell r="I222">
            <v>4</v>
          </cell>
          <cell r="J222">
            <v>3</v>
          </cell>
          <cell r="M222">
            <v>7</v>
          </cell>
        </row>
        <row r="223">
          <cell r="C223">
            <v>5311</v>
          </cell>
          <cell r="D223" t="str">
            <v>ENDE</v>
          </cell>
          <cell r="E223">
            <v>0.2</v>
          </cell>
          <cell r="F223">
            <v>130</v>
          </cell>
          <cell r="G223">
            <v>1</v>
          </cell>
          <cell r="H223">
            <v>1</v>
          </cell>
          <cell r="I223">
            <v>2</v>
          </cell>
          <cell r="J223">
            <v>3</v>
          </cell>
          <cell r="M223">
            <v>5</v>
          </cell>
        </row>
        <row r="224">
          <cell r="C224">
            <v>5312</v>
          </cell>
          <cell r="D224" t="str">
            <v>NGADA</v>
          </cell>
          <cell r="E224">
            <v>0.2</v>
          </cell>
          <cell r="F224">
            <v>130</v>
          </cell>
          <cell r="G224">
            <v>0</v>
          </cell>
          <cell r="H224">
            <v>1</v>
          </cell>
          <cell r="I224">
            <v>9</v>
          </cell>
          <cell r="J224">
            <v>8</v>
          </cell>
          <cell r="M224">
            <v>17</v>
          </cell>
          <cell r="Q224">
            <v>1</v>
          </cell>
        </row>
        <row r="225">
          <cell r="C225">
            <v>5313</v>
          </cell>
          <cell r="D225" t="str">
            <v>MANGGARAI</v>
          </cell>
          <cell r="E225">
            <v>0.2</v>
          </cell>
          <cell r="F225">
            <v>130</v>
          </cell>
          <cell r="G225">
            <v>0</v>
          </cell>
          <cell r="H225">
            <v>1</v>
          </cell>
          <cell r="I225">
            <v>1</v>
          </cell>
          <cell r="J225">
            <v>10</v>
          </cell>
          <cell r="M225">
            <v>11</v>
          </cell>
        </row>
        <row r="226">
          <cell r="C226">
            <v>5371</v>
          </cell>
          <cell r="D226" t="str">
            <v>KOTA KUPANG</v>
          </cell>
          <cell r="E226">
            <v>0.2</v>
          </cell>
          <cell r="F226">
            <v>128</v>
          </cell>
          <cell r="G226">
            <v>1</v>
          </cell>
          <cell r="H226">
            <v>4</v>
          </cell>
          <cell r="I226">
            <v>34</v>
          </cell>
          <cell r="J226">
            <v>15</v>
          </cell>
          <cell r="M226">
            <v>49</v>
          </cell>
          <cell r="Q226">
            <v>1</v>
          </cell>
        </row>
        <row r="227">
          <cell r="B227" t="str">
            <v>NUSA TENGGARA TIMUR Total</v>
          </cell>
          <cell r="D227">
            <v>9</v>
          </cell>
          <cell r="G227">
            <v>3</v>
          </cell>
          <cell r="H227">
            <v>12</v>
          </cell>
          <cell r="I227">
            <v>68</v>
          </cell>
          <cell r="J227">
            <v>56</v>
          </cell>
          <cell r="K227">
            <v>0</v>
          </cell>
          <cell r="M227">
            <v>124</v>
          </cell>
          <cell r="N227">
            <v>0</v>
          </cell>
          <cell r="O227">
            <v>0</v>
          </cell>
          <cell r="P227">
            <v>2</v>
          </cell>
          <cell r="Q227">
            <v>2</v>
          </cell>
        </row>
        <row r="228">
          <cell r="A228">
            <v>61</v>
          </cell>
          <cell r="B228" t="str">
            <v>KALIMANTAN BARAT</v>
          </cell>
          <cell r="C228">
            <v>6101</v>
          </cell>
          <cell r="D228" t="str">
            <v>SAMBAS</v>
          </cell>
          <cell r="E228">
            <v>0.2</v>
          </cell>
          <cell r="F228">
            <v>134</v>
          </cell>
          <cell r="G228">
            <v>0</v>
          </cell>
          <cell r="H228">
            <v>1</v>
          </cell>
          <cell r="J228">
            <v>18</v>
          </cell>
          <cell r="M228">
            <v>18</v>
          </cell>
          <cell r="P228">
            <v>1</v>
          </cell>
        </row>
        <row r="229">
          <cell r="C229">
            <v>6102</v>
          </cell>
          <cell r="D229" t="str">
            <v>BENGKAYANG</v>
          </cell>
          <cell r="E229">
            <v>0.2</v>
          </cell>
          <cell r="F229">
            <v>131</v>
          </cell>
          <cell r="G229">
            <v>1</v>
          </cell>
          <cell r="H229">
            <v>1</v>
          </cell>
          <cell r="I229">
            <v>3</v>
          </cell>
          <cell r="J229">
            <v>3</v>
          </cell>
          <cell r="M229">
            <v>6</v>
          </cell>
          <cell r="Q229">
            <v>1</v>
          </cell>
        </row>
        <row r="230">
          <cell r="C230">
            <v>6106</v>
          </cell>
          <cell r="D230" t="str">
            <v>KETAPANG</v>
          </cell>
          <cell r="E230">
            <v>0.2</v>
          </cell>
          <cell r="F230">
            <v>132</v>
          </cell>
          <cell r="G230">
            <v>1</v>
          </cell>
          <cell r="H230">
            <v>1</v>
          </cell>
          <cell r="I230">
            <v>4</v>
          </cell>
          <cell r="J230">
            <v>5</v>
          </cell>
          <cell r="M230">
            <v>9</v>
          </cell>
          <cell r="Q230">
            <v>1</v>
          </cell>
        </row>
        <row r="231">
          <cell r="C231">
            <v>6171</v>
          </cell>
          <cell r="D231" t="str">
            <v>KOTA PONTIANAK</v>
          </cell>
          <cell r="E231">
            <v>0.2</v>
          </cell>
          <cell r="F231">
            <v>133</v>
          </cell>
          <cell r="G231">
            <v>1</v>
          </cell>
          <cell r="H231">
            <v>6</v>
          </cell>
          <cell r="I231">
            <v>4</v>
          </cell>
          <cell r="J231">
            <v>25</v>
          </cell>
          <cell r="M231">
            <v>29</v>
          </cell>
          <cell r="Q231">
            <v>1</v>
          </cell>
        </row>
        <row r="232">
          <cell r="C232">
            <v>6172</v>
          </cell>
          <cell r="D232" t="str">
            <v>KOTA SINGKAWANG</v>
          </cell>
          <cell r="E232">
            <v>0.2</v>
          </cell>
          <cell r="F232">
            <v>134</v>
          </cell>
          <cell r="G232">
            <v>1</v>
          </cell>
          <cell r="H232">
            <v>5</v>
          </cell>
          <cell r="J232">
            <v>26</v>
          </cell>
          <cell r="M232">
            <v>26</v>
          </cell>
        </row>
        <row r="233">
          <cell r="D233" t="str">
            <v>KAB. LANDAK</v>
          </cell>
          <cell r="F233">
            <v>135</v>
          </cell>
          <cell r="G233">
            <v>1</v>
          </cell>
          <cell r="K233">
            <v>17</v>
          </cell>
          <cell r="M233">
            <v>17</v>
          </cell>
          <cell r="Q233">
            <v>1</v>
          </cell>
        </row>
        <row r="234">
          <cell r="B234" t="str">
            <v>KALIMANTAN BARAT Total</v>
          </cell>
          <cell r="D234">
            <v>6</v>
          </cell>
          <cell r="G234">
            <v>5</v>
          </cell>
          <cell r="H234">
            <v>14</v>
          </cell>
          <cell r="I234">
            <v>11</v>
          </cell>
          <cell r="J234">
            <v>77</v>
          </cell>
          <cell r="K234">
            <v>17</v>
          </cell>
          <cell r="L234">
            <v>0</v>
          </cell>
          <cell r="M234">
            <v>105</v>
          </cell>
          <cell r="N234">
            <v>0</v>
          </cell>
          <cell r="O234">
            <v>0</v>
          </cell>
          <cell r="P234">
            <v>1</v>
          </cell>
          <cell r="Q234">
            <v>4</v>
          </cell>
        </row>
        <row r="235">
          <cell r="A235">
            <v>62</v>
          </cell>
          <cell r="B235" t="str">
            <v>KALIMANTAN TENGAH</v>
          </cell>
          <cell r="C235">
            <v>6202</v>
          </cell>
          <cell r="D235" t="str">
            <v>KOTAWARINGIN TIMUR</v>
          </cell>
          <cell r="E235">
            <v>0.2</v>
          </cell>
          <cell r="F235">
            <v>136</v>
          </cell>
          <cell r="G235">
            <v>0</v>
          </cell>
          <cell r="H235">
            <v>1</v>
          </cell>
          <cell r="J235">
            <v>7</v>
          </cell>
          <cell r="M235">
            <v>7</v>
          </cell>
          <cell r="P235">
            <v>0</v>
          </cell>
        </row>
        <row r="236">
          <cell r="C236">
            <v>6271</v>
          </cell>
          <cell r="D236" t="str">
            <v>KOTA PALANGKA RAYA</v>
          </cell>
          <cell r="E236">
            <v>0.2</v>
          </cell>
          <cell r="F236">
            <v>136</v>
          </cell>
          <cell r="G236">
            <v>1</v>
          </cell>
          <cell r="H236">
            <v>5</v>
          </cell>
          <cell r="I236">
            <v>9</v>
          </cell>
          <cell r="J236">
            <v>21</v>
          </cell>
          <cell r="M236">
            <v>30</v>
          </cell>
          <cell r="Q236">
            <v>1</v>
          </cell>
        </row>
        <row r="237">
          <cell r="B237" t="str">
            <v>KALIMANTAN TENGAH Total</v>
          </cell>
          <cell r="D237">
            <v>2</v>
          </cell>
          <cell r="G237">
            <v>1</v>
          </cell>
          <cell r="H237">
            <v>6</v>
          </cell>
          <cell r="I237">
            <v>9</v>
          </cell>
          <cell r="J237">
            <v>28</v>
          </cell>
          <cell r="K237">
            <v>0</v>
          </cell>
          <cell r="M237">
            <v>37</v>
          </cell>
          <cell r="N237">
            <v>0</v>
          </cell>
          <cell r="O237">
            <v>0</v>
          </cell>
          <cell r="P237">
            <v>0</v>
          </cell>
          <cell r="Q237">
            <v>1</v>
          </cell>
        </row>
        <row r="238">
          <cell r="A238">
            <v>63</v>
          </cell>
          <cell r="B238" t="str">
            <v>KALIMANTAN SELATAN</v>
          </cell>
          <cell r="C238">
            <v>6301</v>
          </cell>
          <cell r="D238" t="str">
            <v>TANAH LAUT</v>
          </cell>
          <cell r="E238">
            <v>0.2</v>
          </cell>
          <cell r="F238">
            <v>137</v>
          </cell>
          <cell r="G238">
            <v>1</v>
          </cell>
          <cell r="H238">
            <v>1</v>
          </cell>
          <cell r="I238">
            <v>14</v>
          </cell>
          <cell r="J238">
            <v>6</v>
          </cell>
          <cell r="M238">
            <v>20</v>
          </cell>
          <cell r="O238">
            <v>1</v>
          </cell>
          <cell r="P238">
            <v>0</v>
          </cell>
          <cell r="Q238">
            <v>0</v>
          </cell>
        </row>
        <row r="239">
          <cell r="C239">
            <v>6302</v>
          </cell>
          <cell r="D239" t="str">
            <v>KOTA BARU</v>
          </cell>
          <cell r="E239">
            <v>0.3</v>
          </cell>
          <cell r="F239">
            <v>137</v>
          </cell>
          <cell r="G239">
            <v>0</v>
          </cell>
          <cell r="H239">
            <v>1</v>
          </cell>
          <cell r="J239">
            <v>21</v>
          </cell>
          <cell r="M239">
            <v>21</v>
          </cell>
        </row>
        <row r="240">
          <cell r="C240">
            <v>6303</v>
          </cell>
          <cell r="D240" t="str">
            <v>BANJAR</v>
          </cell>
          <cell r="E240">
            <v>0.2</v>
          </cell>
          <cell r="F240">
            <v>138</v>
          </cell>
          <cell r="G240">
            <v>1</v>
          </cell>
          <cell r="H240">
            <v>1</v>
          </cell>
          <cell r="I240">
            <v>9</v>
          </cell>
          <cell r="J240">
            <v>16</v>
          </cell>
          <cell r="M240">
            <v>25</v>
          </cell>
        </row>
        <row r="241">
          <cell r="C241">
            <v>6304</v>
          </cell>
          <cell r="D241" t="str">
            <v>BARITO KUALA</v>
          </cell>
          <cell r="E241">
            <v>0.2</v>
          </cell>
          <cell r="F241">
            <v>140</v>
          </cell>
          <cell r="G241">
            <v>0</v>
          </cell>
          <cell r="H241">
            <v>1</v>
          </cell>
          <cell r="I241">
            <v>3</v>
          </cell>
          <cell r="J241">
            <v>6</v>
          </cell>
          <cell r="M241">
            <v>9</v>
          </cell>
          <cell r="Q241">
            <v>1</v>
          </cell>
        </row>
        <row r="242">
          <cell r="C242">
            <v>6306</v>
          </cell>
          <cell r="D242" t="str">
            <v>HULU SUNGAI SELATAN</v>
          </cell>
          <cell r="E242">
            <v>0.2</v>
          </cell>
          <cell r="F242">
            <v>137</v>
          </cell>
          <cell r="G242">
            <v>0</v>
          </cell>
          <cell r="H242">
            <v>1</v>
          </cell>
          <cell r="I242">
            <v>18</v>
          </cell>
          <cell r="M242">
            <v>18</v>
          </cell>
          <cell r="Q242">
            <v>0</v>
          </cell>
        </row>
        <row r="243">
          <cell r="C243">
            <v>6307</v>
          </cell>
          <cell r="D243" t="str">
            <v>HULU SUNGAI TENGAH</v>
          </cell>
          <cell r="E243">
            <v>0.2</v>
          </cell>
          <cell r="F243">
            <v>139</v>
          </cell>
          <cell r="G243">
            <v>0</v>
          </cell>
          <cell r="H243">
            <v>1</v>
          </cell>
          <cell r="J243">
            <v>18</v>
          </cell>
          <cell r="M243">
            <v>18</v>
          </cell>
        </row>
        <row r="244">
          <cell r="C244">
            <v>6308</v>
          </cell>
          <cell r="D244" t="str">
            <v>HULU SUNGAI UTARA</v>
          </cell>
          <cell r="E244">
            <v>0.2</v>
          </cell>
          <cell r="F244">
            <v>139</v>
          </cell>
          <cell r="G244">
            <v>1</v>
          </cell>
          <cell r="H244">
            <v>1</v>
          </cell>
          <cell r="J244">
            <v>29</v>
          </cell>
          <cell r="M244">
            <v>29</v>
          </cell>
        </row>
        <row r="245">
          <cell r="C245">
            <v>6309</v>
          </cell>
          <cell r="D245" t="str">
            <v>TABALONG</v>
          </cell>
          <cell r="E245">
            <v>0.3</v>
          </cell>
          <cell r="F245">
            <v>139</v>
          </cell>
          <cell r="G245">
            <v>0</v>
          </cell>
          <cell r="H245">
            <v>2</v>
          </cell>
          <cell r="I245">
            <v>24</v>
          </cell>
          <cell r="J245">
            <v>1</v>
          </cell>
          <cell r="M245">
            <v>25</v>
          </cell>
          <cell r="N245">
            <v>1</v>
          </cell>
          <cell r="O245">
            <v>2</v>
          </cell>
          <cell r="Q245">
            <v>1</v>
          </cell>
        </row>
        <row r="246">
          <cell r="C246">
            <v>6371</v>
          </cell>
          <cell r="D246" t="str">
            <v>KOTA BANJARMASIN</v>
          </cell>
          <cell r="E246">
            <v>0.2</v>
          </cell>
          <cell r="F246">
            <v>140</v>
          </cell>
          <cell r="G246">
            <v>1</v>
          </cell>
          <cell r="H246">
            <v>5</v>
          </cell>
          <cell r="I246">
            <v>23</v>
          </cell>
          <cell r="J246">
            <v>27</v>
          </cell>
          <cell r="M246">
            <v>50</v>
          </cell>
          <cell r="O246">
            <v>1</v>
          </cell>
          <cell r="Q246">
            <v>1</v>
          </cell>
        </row>
        <row r="247">
          <cell r="C247">
            <v>6372</v>
          </cell>
          <cell r="D247" t="str">
            <v>KOTA BANJAR BARU</v>
          </cell>
          <cell r="E247">
            <v>0.2</v>
          </cell>
          <cell r="F247">
            <v>138</v>
          </cell>
          <cell r="G247">
            <v>0</v>
          </cell>
          <cell r="H247">
            <v>5</v>
          </cell>
          <cell r="J247">
            <v>20</v>
          </cell>
          <cell r="M247">
            <v>20</v>
          </cell>
        </row>
        <row r="248">
          <cell r="B248" t="str">
            <v>KALIMANTAN SELATAN Total</v>
          </cell>
          <cell r="D248">
            <v>10</v>
          </cell>
          <cell r="G248">
            <v>4</v>
          </cell>
          <cell r="H248">
            <v>19</v>
          </cell>
          <cell r="I248">
            <v>91</v>
          </cell>
          <cell r="J248">
            <v>144</v>
          </cell>
          <cell r="K248">
            <v>0</v>
          </cell>
          <cell r="M248">
            <v>235</v>
          </cell>
          <cell r="N248">
            <v>1</v>
          </cell>
          <cell r="O248">
            <v>4</v>
          </cell>
          <cell r="P248">
            <v>0</v>
          </cell>
          <cell r="Q248">
            <v>3</v>
          </cell>
        </row>
        <row r="249">
          <cell r="A249">
            <v>64</v>
          </cell>
          <cell r="B249" t="str">
            <v>KALIMANTAN TIMUR</v>
          </cell>
          <cell r="C249">
            <v>6401</v>
          </cell>
          <cell r="D249" t="str">
            <v>PASER</v>
          </cell>
          <cell r="E249">
            <v>0.3</v>
          </cell>
          <cell r="F249">
            <v>141</v>
          </cell>
          <cell r="G249">
            <v>0</v>
          </cell>
          <cell r="H249">
            <v>1</v>
          </cell>
          <cell r="J249">
            <v>14</v>
          </cell>
          <cell r="M249">
            <v>14</v>
          </cell>
          <cell r="P249">
            <v>1</v>
          </cell>
          <cell r="Q249">
            <v>1</v>
          </cell>
        </row>
        <row r="250">
          <cell r="C250">
            <v>6403</v>
          </cell>
          <cell r="D250" t="str">
            <v>KUTAI KARTANEGARA</v>
          </cell>
          <cell r="E250">
            <v>0.3</v>
          </cell>
          <cell r="F250">
            <v>142</v>
          </cell>
          <cell r="G250">
            <v>0</v>
          </cell>
          <cell r="H250">
            <v>2</v>
          </cell>
          <cell r="J250">
            <v>21</v>
          </cell>
          <cell r="M250">
            <v>21</v>
          </cell>
          <cell r="O250">
            <v>1</v>
          </cell>
          <cell r="Q250">
            <v>1</v>
          </cell>
        </row>
        <row r="251">
          <cell r="C251">
            <v>6405</v>
          </cell>
          <cell r="D251" t="str">
            <v>BERAU</v>
          </cell>
          <cell r="E251">
            <v>0.3</v>
          </cell>
          <cell r="F251">
            <v>143</v>
          </cell>
          <cell r="G251">
            <v>0</v>
          </cell>
          <cell r="H251">
            <v>1</v>
          </cell>
          <cell r="J251">
            <v>6</v>
          </cell>
          <cell r="M251">
            <v>6</v>
          </cell>
        </row>
        <row r="252">
          <cell r="C252">
            <v>6406</v>
          </cell>
          <cell r="D252" t="str">
            <v>MALINAU</v>
          </cell>
          <cell r="E252">
            <v>0.3</v>
          </cell>
          <cell r="F252">
            <v>143</v>
          </cell>
          <cell r="G252">
            <v>0</v>
          </cell>
          <cell r="H252">
            <v>1</v>
          </cell>
          <cell r="J252">
            <v>6</v>
          </cell>
          <cell r="M252">
            <v>6</v>
          </cell>
        </row>
        <row r="253">
          <cell r="C253">
            <v>6407</v>
          </cell>
          <cell r="D253" t="str">
            <v>BULONGAN</v>
          </cell>
          <cell r="E253">
            <v>0.3</v>
          </cell>
          <cell r="F253">
            <v>143</v>
          </cell>
          <cell r="G253">
            <v>0</v>
          </cell>
          <cell r="H253">
            <v>1</v>
          </cell>
          <cell r="J253">
            <v>3</v>
          </cell>
          <cell r="M253">
            <v>3</v>
          </cell>
        </row>
        <row r="254">
          <cell r="C254">
            <v>6408</v>
          </cell>
          <cell r="D254" t="str">
            <v>NUNUKAN</v>
          </cell>
          <cell r="E254">
            <v>0.3</v>
          </cell>
          <cell r="F254">
            <v>143</v>
          </cell>
          <cell r="G254">
            <v>0</v>
          </cell>
          <cell r="H254">
            <v>1</v>
          </cell>
          <cell r="J254">
            <v>8</v>
          </cell>
          <cell r="M254">
            <v>8</v>
          </cell>
        </row>
        <row r="255">
          <cell r="C255">
            <v>6471</v>
          </cell>
          <cell r="D255" t="str">
            <v>KOTA BALIKPAPAN</v>
          </cell>
          <cell r="E255">
            <v>0.3</v>
          </cell>
          <cell r="F255">
            <v>141</v>
          </cell>
          <cell r="G255">
            <v>1</v>
          </cell>
          <cell r="H255">
            <v>5</v>
          </cell>
          <cell r="J255">
            <v>27</v>
          </cell>
          <cell r="M255">
            <v>27</v>
          </cell>
        </row>
        <row r="256">
          <cell r="C256">
            <v>6472</v>
          </cell>
          <cell r="D256" t="str">
            <v>KOTA SAMARINDA</v>
          </cell>
          <cell r="E256">
            <v>0.3</v>
          </cell>
          <cell r="F256">
            <v>142</v>
          </cell>
          <cell r="G256">
            <v>1</v>
          </cell>
          <cell r="H256">
            <v>6</v>
          </cell>
          <cell r="J256">
            <v>53</v>
          </cell>
          <cell r="M256">
            <v>53</v>
          </cell>
        </row>
        <row r="257">
          <cell r="C257">
            <v>6473</v>
          </cell>
          <cell r="D257" t="str">
            <v>KOTA TARAKAN</v>
          </cell>
          <cell r="E257">
            <v>0.3</v>
          </cell>
          <cell r="F257">
            <v>143</v>
          </cell>
          <cell r="G257">
            <v>1</v>
          </cell>
          <cell r="H257">
            <v>4</v>
          </cell>
          <cell r="J257">
            <v>20</v>
          </cell>
          <cell r="M257">
            <v>20</v>
          </cell>
        </row>
        <row r="258">
          <cell r="C258">
            <v>6474</v>
          </cell>
          <cell r="D258" t="str">
            <v>KOTA BONTANG</v>
          </cell>
          <cell r="E258">
            <v>0.3</v>
          </cell>
          <cell r="F258">
            <v>142</v>
          </cell>
          <cell r="G258">
            <v>0</v>
          </cell>
          <cell r="H258">
            <v>3</v>
          </cell>
          <cell r="J258">
            <v>15</v>
          </cell>
          <cell r="M258">
            <v>15</v>
          </cell>
          <cell r="Q258">
            <v>1</v>
          </cell>
        </row>
        <row r="259">
          <cell r="B259" t="str">
            <v>KALIMANTAN TIMUR Total</v>
          </cell>
          <cell r="D259">
            <v>10</v>
          </cell>
          <cell r="G259">
            <v>3</v>
          </cell>
          <cell r="H259">
            <v>25</v>
          </cell>
          <cell r="I259">
            <v>0</v>
          </cell>
          <cell r="J259">
            <v>173</v>
          </cell>
          <cell r="K259">
            <v>0</v>
          </cell>
          <cell r="M259">
            <v>173</v>
          </cell>
          <cell r="N259">
            <v>0</v>
          </cell>
          <cell r="O259">
            <v>1</v>
          </cell>
          <cell r="P259">
            <v>1</v>
          </cell>
          <cell r="Q259">
            <v>3</v>
          </cell>
        </row>
        <row r="260">
          <cell r="A260">
            <v>71</v>
          </cell>
          <cell r="B260" t="str">
            <v>SULAWESI UTARA</v>
          </cell>
          <cell r="C260">
            <v>7102</v>
          </cell>
          <cell r="D260" t="str">
            <v>MINAHASA</v>
          </cell>
          <cell r="E260">
            <v>0.2</v>
          </cell>
          <cell r="F260">
            <v>144</v>
          </cell>
          <cell r="G260">
            <v>1</v>
          </cell>
          <cell r="H260">
            <v>5</v>
          </cell>
          <cell r="J260">
            <v>43</v>
          </cell>
          <cell r="M260">
            <v>43</v>
          </cell>
          <cell r="P260">
            <v>0</v>
          </cell>
        </row>
        <row r="261">
          <cell r="C261">
            <v>7103</v>
          </cell>
          <cell r="D261" t="str">
            <v>KEPULAUAN SANGIHE</v>
          </cell>
          <cell r="E261">
            <v>0.2</v>
          </cell>
          <cell r="F261">
            <v>145</v>
          </cell>
          <cell r="G261">
            <v>0</v>
          </cell>
          <cell r="H261">
            <v>3</v>
          </cell>
          <cell r="I261">
            <v>20</v>
          </cell>
          <cell r="J261">
            <v>2</v>
          </cell>
          <cell r="M261">
            <v>22</v>
          </cell>
        </row>
        <row r="262">
          <cell r="C262">
            <v>7106</v>
          </cell>
          <cell r="D262" t="str">
            <v>MINAHASA UTARA</v>
          </cell>
          <cell r="E262">
            <v>0.2</v>
          </cell>
          <cell r="F262">
            <v>146</v>
          </cell>
          <cell r="G262">
            <v>0</v>
          </cell>
          <cell r="H262">
            <v>1</v>
          </cell>
          <cell r="I262">
            <v>9</v>
          </cell>
          <cell r="M262">
            <v>9</v>
          </cell>
        </row>
        <row r="263">
          <cell r="C263">
            <v>7171</v>
          </cell>
          <cell r="D263" t="str">
            <v>KOTA MANADO</v>
          </cell>
          <cell r="E263">
            <v>0.2</v>
          </cell>
          <cell r="F263">
            <v>145</v>
          </cell>
          <cell r="G263">
            <v>1</v>
          </cell>
          <cell r="H263">
            <v>9</v>
          </cell>
          <cell r="I263">
            <v>46</v>
          </cell>
          <cell r="J263">
            <v>41</v>
          </cell>
          <cell r="M263">
            <v>87</v>
          </cell>
        </row>
        <row r="264">
          <cell r="C264">
            <v>7172</v>
          </cell>
          <cell r="D264" t="str">
            <v>KOTA BITUNG</v>
          </cell>
          <cell r="E264">
            <v>0.2</v>
          </cell>
          <cell r="F264">
            <v>146</v>
          </cell>
          <cell r="G264">
            <v>1</v>
          </cell>
          <cell r="H264">
            <v>8</v>
          </cell>
          <cell r="J264">
            <v>69</v>
          </cell>
          <cell r="M264">
            <v>69</v>
          </cell>
        </row>
        <row r="265">
          <cell r="C265">
            <v>7173</v>
          </cell>
          <cell r="D265" t="str">
            <v>KOTA TOMOHON</v>
          </cell>
          <cell r="E265">
            <v>0.3</v>
          </cell>
          <cell r="F265">
            <v>147</v>
          </cell>
          <cell r="G265">
            <v>1</v>
          </cell>
          <cell r="H265">
            <v>5</v>
          </cell>
          <cell r="I265">
            <v>23</v>
          </cell>
          <cell r="J265">
            <v>12</v>
          </cell>
          <cell r="M265">
            <v>35</v>
          </cell>
          <cell r="O265">
            <v>2</v>
          </cell>
          <cell r="Q265">
            <v>0</v>
          </cell>
        </row>
        <row r="266">
          <cell r="C266">
            <v>7174</v>
          </cell>
          <cell r="D266" t="str">
            <v>KOTA MOBAGU</v>
          </cell>
          <cell r="E266">
            <v>0.2</v>
          </cell>
          <cell r="F266">
            <v>148</v>
          </cell>
          <cell r="G266">
            <v>1</v>
          </cell>
          <cell r="H266">
            <v>4</v>
          </cell>
          <cell r="J266">
            <v>32</v>
          </cell>
          <cell r="M266">
            <v>32</v>
          </cell>
        </row>
        <row r="267">
          <cell r="B267" t="str">
            <v>SULAWESI UTARA Total</v>
          </cell>
          <cell r="D267">
            <v>7</v>
          </cell>
          <cell r="G267">
            <v>5</v>
          </cell>
          <cell r="H267">
            <v>35</v>
          </cell>
          <cell r="I267">
            <v>98</v>
          </cell>
          <cell r="J267">
            <v>199</v>
          </cell>
          <cell r="K267">
            <v>0</v>
          </cell>
          <cell r="M267">
            <v>297</v>
          </cell>
          <cell r="N267">
            <v>0</v>
          </cell>
          <cell r="O267">
            <v>2</v>
          </cell>
          <cell r="P267">
            <v>0</v>
          </cell>
          <cell r="Q267">
            <v>0</v>
          </cell>
        </row>
        <row r="268">
          <cell r="A268">
            <v>72</v>
          </cell>
          <cell r="B268" t="str">
            <v>SULAWESI TENGAH</v>
          </cell>
          <cell r="C268">
            <v>7204</v>
          </cell>
          <cell r="D268" t="str">
            <v>POSO</v>
          </cell>
          <cell r="E268">
            <v>0.2</v>
          </cell>
          <cell r="F268">
            <v>149</v>
          </cell>
          <cell r="G268">
            <v>0</v>
          </cell>
          <cell r="H268">
            <v>1</v>
          </cell>
          <cell r="J268">
            <v>4</v>
          </cell>
          <cell r="M268">
            <v>4</v>
          </cell>
          <cell r="P268">
            <v>0</v>
          </cell>
        </row>
        <row r="269">
          <cell r="C269">
            <v>7206</v>
          </cell>
          <cell r="D269" t="str">
            <v>TOLI-TOLI</v>
          </cell>
          <cell r="E269">
            <v>0.2</v>
          </cell>
          <cell r="F269">
            <v>149</v>
          </cell>
          <cell r="G269">
            <v>0</v>
          </cell>
          <cell r="H269">
            <v>1</v>
          </cell>
          <cell r="J269">
            <v>8</v>
          </cell>
          <cell r="M269">
            <v>8</v>
          </cell>
        </row>
        <row r="270">
          <cell r="C270">
            <v>7271</v>
          </cell>
          <cell r="D270" t="str">
            <v>KOTA PALU</v>
          </cell>
          <cell r="E270">
            <v>0.2</v>
          </cell>
          <cell r="F270">
            <v>149</v>
          </cell>
          <cell r="G270">
            <v>1</v>
          </cell>
          <cell r="H270">
            <v>4</v>
          </cell>
          <cell r="I270">
            <v>27</v>
          </cell>
          <cell r="J270">
            <v>16</v>
          </cell>
          <cell r="M270">
            <v>43</v>
          </cell>
          <cell r="O270">
            <v>3</v>
          </cell>
          <cell r="Q270">
            <v>1</v>
          </cell>
        </row>
        <row r="271">
          <cell r="B271" t="str">
            <v>SULAWESI TENGAH Total</v>
          </cell>
          <cell r="D271">
            <v>3</v>
          </cell>
          <cell r="G271">
            <v>1</v>
          </cell>
          <cell r="H271">
            <v>6</v>
          </cell>
          <cell r="I271">
            <v>27</v>
          </cell>
          <cell r="J271">
            <v>28</v>
          </cell>
          <cell r="K271">
            <v>0</v>
          </cell>
          <cell r="M271">
            <v>55</v>
          </cell>
          <cell r="N271">
            <v>0</v>
          </cell>
          <cell r="O271">
            <v>3</v>
          </cell>
          <cell r="P271">
            <v>0</v>
          </cell>
          <cell r="Q271">
            <v>1</v>
          </cell>
        </row>
        <row r="272">
          <cell r="A272">
            <v>73</v>
          </cell>
          <cell r="B272" t="str">
            <v>SULAWESI SELATAN</v>
          </cell>
          <cell r="C272">
            <v>7301</v>
          </cell>
          <cell r="D272" t="str">
            <v>SELAYAR</v>
          </cell>
          <cell r="E272">
            <v>0.3</v>
          </cell>
          <cell r="F272">
            <v>150</v>
          </cell>
          <cell r="G272">
            <v>0</v>
          </cell>
          <cell r="H272">
            <v>1</v>
          </cell>
          <cell r="I272">
            <v>2</v>
          </cell>
          <cell r="J272">
            <v>1</v>
          </cell>
          <cell r="M272">
            <v>3</v>
          </cell>
          <cell r="P272">
            <v>0</v>
          </cell>
          <cell r="Q272">
            <v>1</v>
          </cell>
        </row>
        <row r="273">
          <cell r="C273">
            <v>7302</v>
          </cell>
          <cell r="D273" t="str">
            <v>BULUKUMBA</v>
          </cell>
          <cell r="E273">
            <v>0.2</v>
          </cell>
          <cell r="F273">
            <v>150</v>
          </cell>
          <cell r="G273">
            <v>1</v>
          </cell>
          <cell r="H273">
            <v>1</v>
          </cell>
          <cell r="I273">
            <v>9</v>
          </cell>
          <cell r="M273">
            <v>9</v>
          </cell>
          <cell r="O273">
            <v>1</v>
          </cell>
          <cell r="Q273">
            <v>1</v>
          </cell>
        </row>
        <row r="274">
          <cell r="C274">
            <v>7303</v>
          </cell>
          <cell r="D274" t="str">
            <v>BANTAENG</v>
          </cell>
          <cell r="E274">
            <v>0.2</v>
          </cell>
          <cell r="F274">
            <v>150</v>
          </cell>
          <cell r="G274">
            <v>0</v>
          </cell>
          <cell r="H274">
            <v>1</v>
          </cell>
          <cell r="I274">
            <v>6</v>
          </cell>
          <cell r="J274">
            <v>3</v>
          </cell>
          <cell r="M274">
            <v>9</v>
          </cell>
          <cell r="O274">
            <v>3</v>
          </cell>
          <cell r="Q274">
            <v>1</v>
          </cell>
        </row>
        <row r="275">
          <cell r="C275">
            <v>7306</v>
          </cell>
          <cell r="D275" t="str">
            <v>GOWA</v>
          </cell>
          <cell r="E275">
            <v>0.2</v>
          </cell>
          <cell r="F275">
            <v>151</v>
          </cell>
          <cell r="G275">
            <v>1</v>
          </cell>
          <cell r="H275">
            <v>1</v>
          </cell>
          <cell r="I275">
            <v>3</v>
          </cell>
          <cell r="J275">
            <v>11</v>
          </cell>
          <cell r="M275">
            <v>14</v>
          </cell>
          <cell r="O275">
            <v>3</v>
          </cell>
          <cell r="Q275">
            <v>1</v>
          </cell>
        </row>
        <row r="276">
          <cell r="C276">
            <v>7307</v>
          </cell>
          <cell r="D276" t="str">
            <v>SINJAI</v>
          </cell>
          <cell r="E276">
            <v>0.2</v>
          </cell>
          <cell r="F276">
            <v>150</v>
          </cell>
          <cell r="G276">
            <v>0</v>
          </cell>
          <cell r="H276">
            <v>1</v>
          </cell>
          <cell r="I276">
            <v>6</v>
          </cell>
          <cell r="M276">
            <v>6</v>
          </cell>
        </row>
        <row r="277">
          <cell r="C277">
            <v>7308</v>
          </cell>
          <cell r="D277" t="str">
            <v>MAROS</v>
          </cell>
          <cell r="E277">
            <v>0.2</v>
          </cell>
          <cell r="F277">
            <v>153</v>
          </cell>
          <cell r="G277">
            <v>0</v>
          </cell>
          <cell r="H277">
            <v>1</v>
          </cell>
          <cell r="I277">
            <v>2</v>
          </cell>
          <cell r="J277">
            <v>5</v>
          </cell>
          <cell r="M277">
            <v>7</v>
          </cell>
        </row>
        <row r="278">
          <cell r="C278">
            <v>7311</v>
          </cell>
          <cell r="D278" t="str">
            <v>BONE</v>
          </cell>
          <cell r="E278">
            <v>0.2</v>
          </cell>
          <cell r="F278">
            <v>152</v>
          </cell>
          <cell r="G278">
            <v>0</v>
          </cell>
          <cell r="H278">
            <v>1</v>
          </cell>
          <cell r="I278">
            <v>8</v>
          </cell>
          <cell r="M278">
            <v>8</v>
          </cell>
          <cell r="N278">
            <v>1</v>
          </cell>
          <cell r="O278">
            <v>4</v>
          </cell>
          <cell r="Q278">
            <v>1</v>
          </cell>
        </row>
        <row r="279">
          <cell r="C279">
            <v>7313</v>
          </cell>
          <cell r="D279" t="str">
            <v>WAJO</v>
          </cell>
          <cell r="E279">
            <v>0.2</v>
          </cell>
          <cell r="F279">
            <v>152</v>
          </cell>
          <cell r="G279">
            <v>1</v>
          </cell>
          <cell r="H279">
            <v>1</v>
          </cell>
          <cell r="J279">
            <v>16</v>
          </cell>
          <cell r="M279">
            <v>16</v>
          </cell>
        </row>
        <row r="280">
          <cell r="C280">
            <v>7314</v>
          </cell>
          <cell r="D280" t="str">
            <v>SIDENRENG RAPPANG</v>
          </cell>
          <cell r="E280">
            <v>0.2</v>
          </cell>
          <cell r="F280">
            <v>154</v>
          </cell>
          <cell r="G280">
            <v>0</v>
          </cell>
          <cell r="H280">
            <v>1</v>
          </cell>
          <cell r="I280">
            <v>5</v>
          </cell>
          <cell r="J280">
            <v>7</v>
          </cell>
          <cell r="M280">
            <v>12</v>
          </cell>
          <cell r="N280">
            <v>1</v>
          </cell>
          <cell r="Q280">
            <v>0</v>
          </cell>
        </row>
        <row r="281">
          <cell r="C281">
            <v>7315</v>
          </cell>
          <cell r="D281" t="str">
            <v>PINRANG</v>
          </cell>
          <cell r="E281">
            <v>0.2</v>
          </cell>
          <cell r="F281">
            <v>154</v>
          </cell>
          <cell r="G281">
            <v>0</v>
          </cell>
          <cell r="H281">
            <v>1</v>
          </cell>
          <cell r="I281">
            <v>3</v>
          </cell>
          <cell r="J281">
            <v>3</v>
          </cell>
          <cell r="M281">
            <v>6</v>
          </cell>
        </row>
        <row r="282">
          <cell r="C282">
            <v>7318</v>
          </cell>
          <cell r="D282" t="str">
            <v>TANA TORAJA</v>
          </cell>
          <cell r="E282">
            <v>0.2</v>
          </cell>
          <cell r="F282">
            <v>155</v>
          </cell>
          <cell r="G282">
            <v>0</v>
          </cell>
          <cell r="H282">
            <v>2</v>
          </cell>
          <cell r="I282">
            <v>18</v>
          </cell>
          <cell r="M282">
            <v>18</v>
          </cell>
          <cell r="O282">
            <v>2</v>
          </cell>
          <cell r="Q282">
            <v>1</v>
          </cell>
        </row>
        <row r="283">
          <cell r="C283">
            <v>7371</v>
          </cell>
          <cell r="D283" t="str">
            <v>KOTA MAKASSAR</v>
          </cell>
          <cell r="E283">
            <v>0.2</v>
          </cell>
          <cell r="F283">
            <v>153</v>
          </cell>
          <cell r="G283">
            <v>1</v>
          </cell>
          <cell r="H283">
            <v>14</v>
          </cell>
          <cell r="I283">
            <v>44</v>
          </cell>
          <cell r="J283">
            <v>99</v>
          </cell>
          <cell r="M283">
            <v>143</v>
          </cell>
          <cell r="O283">
            <v>8</v>
          </cell>
        </row>
        <row r="284">
          <cell r="C284">
            <v>7372</v>
          </cell>
          <cell r="D284" t="str">
            <v>KOTA PARE-PARE</v>
          </cell>
          <cell r="E284">
            <v>0.2</v>
          </cell>
          <cell r="F284">
            <v>154</v>
          </cell>
          <cell r="G284">
            <v>1</v>
          </cell>
          <cell r="H284">
            <v>4</v>
          </cell>
          <cell r="I284">
            <v>7</v>
          </cell>
          <cell r="J284">
            <v>15</v>
          </cell>
          <cell r="M284">
            <v>22</v>
          </cell>
          <cell r="Q284">
            <v>1</v>
          </cell>
        </row>
        <row r="285">
          <cell r="C285">
            <v>7373</v>
          </cell>
          <cell r="D285" t="str">
            <v>KOTA PALOPO</v>
          </cell>
          <cell r="E285">
            <v>0.2</v>
          </cell>
          <cell r="F285">
            <v>155</v>
          </cell>
          <cell r="G285">
            <v>1</v>
          </cell>
          <cell r="H285">
            <v>9</v>
          </cell>
          <cell r="I285">
            <v>17</v>
          </cell>
          <cell r="J285">
            <v>31</v>
          </cell>
          <cell r="M285">
            <v>48</v>
          </cell>
          <cell r="O285">
            <v>3</v>
          </cell>
        </row>
        <row r="286">
          <cell r="D286" t="str">
            <v>TAKALAR</v>
          </cell>
          <cell r="F286">
            <v>151</v>
          </cell>
          <cell r="G286">
            <v>0</v>
          </cell>
          <cell r="K286">
            <v>8</v>
          </cell>
          <cell r="M286">
            <v>8</v>
          </cell>
          <cell r="Q286">
            <v>1</v>
          </cell>
        </row>
        <row r="287">
          <cell r="D287" t="str">
            <v>JENEPONTO</v>
          </cell>
          <cell r="F287">
            <v>151</v>
          </cell>
          <cell r="G287">
            <v>0</v>
          </cell>
          <cell r="K287">
            <v>23</v>
          </cell>
          <cell r="M287">
            <v>23</v>
          </cell>
          <cell r="Q287">
            <v>0</v>
          </cell>
        </row>
        <row r="288">
          <cell r="D288" t="str">
            <v>LUWU UTARA</v>
          </cell>
          <cell r="F288">
            <v>155</v>
          </cell>
          <cell r="G288">
            <v>0</v>
          </cell>
          <cell r="K288">
            <v>20</v>
          </cell>
          <cell r="M288">
            <v>20</v>
          </cell>
          <cell r="O288">
            <v>4</v>
          </cell>
          <cell r="Q288">
            <v>1</v>
          </cell>
        </row>
        <row r="289">
          <cell r="D289" t="str">
            <v>ENREKANG</v>
          </cell>
          <cell r="F289">
            <v>154</v>
          </cell>
          <cell r="G289">
            <v>0</v>
          </cell>
          <cell r="K289">
            <v>16</v>
          </cell>
          <cell r="M289">
            <v>16</v>
          </cell>
          <cell r="O289">
            <v>2</v>
          </cell>
          <cell r="Q289">
            <v>1</v>
          </cell>
        </row>
        <row r="290">
          <cell r="B290" t="str">
            <v>SULAWESI SELATAN Total</v>
          </cell>
          <cell r="D290">
            <v>18</v>
          </cell>
          <cell r="G290">
            <v>6</v>
          </cell>
          <cell r="H290">
            <v>39</v>
          </cell>
          <cell r="I290">
            <v>130</v>
          </cell>
          <cell r="J290">
            <v>191</v>
          </cell>
          <cell r="K290">
            <v>67</v>
          </cell>
          <cell r="L290">
            <v>0</v>
          </cell>
          <cell r="M290">
            <v>388</v>
          </cell>
          <cell r="N290">
            <v>2</v>
          </cell>
          <cell r="O290">
            <v>30</v>
          </cell>
          <cell r="P290">
            <v>0</v>
          </cell>
          <cell r="Q290">
            <v>10</v>
          </cell>
        </row>
        <row r="291">
          <cell r="A291">
            <v>74</v>
          </cell>
          <cell r="B291" t="str">
            <v>SULAWESI TENGGARA</v>
          </cell>
          <cell r="C291">
            <v>7402</v>
          </cell>
          <cell r="D291" t="str">
            <v>MUNA</v>
          </cell>
          <cell r="E291">
            <v>0.2</v>
          </cell>
          <cell r="F291">
            <v>157</v>
          </cell>
          <cell r="G291">
            <v>0</v>
          </cell>
          <cell r="H291">
            <v>1</v>
          </cell>
          <cell r="I291">
            <v>8</v>
          </cell>
          <cell r="M291">
            <v>8</v>
          </cell>
          <cell r="P291">
            <v>1</v>
          </cell>
          <cell r="Q291">
            <v>1</v>
          </cell>
        </row>
        <row r="292">
          <cell r="C292">
            <v>7404</v>
          </cell>
          <cell r="D292" t="str">
            <v>KOLAKA</v>
          </cell>
          <cell r="E292">
            <v>0.2</v>
          </cell>
          <cell r="F292">
            <v>156</v>
          </cell>
          <cell r="G292">
            <v>0</v>
          </cell>
          <cell r="H292">
            <v>2</v>
          </cell>
          <cell r="J292">
            <v>14</v>
          </cell>
          <cell r="M292">
            <v>14</v>
          </cell>
        </row>
        <row r="293">
          <cell r="C293">
            <v>7471</v>
          </cell>
          <cell r="D293" t="str">
            <v>KOTA KENDARI</v>
          </cell>
          <cell r="E293">
            <v>0.2</v>
          </cell>
          <cell r="F293">
            <v>156</v>
          </cell>
          <cell r="G293">
            <v>1</v>
          </cell>
          <cell r="H293">
            <v>10</v>
          </cell>
          <cell r="I293">
            <v>21</v>
          </cell>
          <cell r="J293">
            <v>43</v>
          </cell>
          <cell r="M293">
            <v>64</v>
          </cell>
          <cell r="N293">
            <v>2</v>
          </cell>
          <cell r="Q293">
            <v>0</v>
          </cell>
        </row>
        <row r="294">
          <cell r="C294">
            <v>7472</v>
          </cell>
          <cell r="D294" t="str">
            <v>KOTA BAU-BAU</v>
          </cell>
          <cell r="E294">
            <v>0.2</v>
          </cell>
          <cell r="F294">
            <v>157</v>
          </cell>
          <cell r="G294">
            <v>1</v>
          </cell>
          <cell r="H294">
            <v>6</v>
          </cell>
          <cell r="I294">
            <v>12</v>
          </cell>
          <cell r="J294">
            <v>29</v>
          </cell>
          <cell r="M294">
            <v>41</v>
          </cell>
          <cell r="Q294">
            <v>1</v>
          </cell>
        </row>
        <row r="295">
          <cell r="D295" t="str">
            <v>KOLAKA UTARA</v>
          </cell>
          <cell r="F295">
            <v>156</v>
          </cell>
          <cell r="G295">
            <v>0</v>
          </cell>
          <cell r="K295">
            <v>7</v>
          </cell>
          <cell r="M295">
            <v>7</v>
          </cell>
          <cell r="Q295">
            <v>1</v>
          </cell>
        </row>
        <row r="296">
          <cell r="D296" t="str">
            <v>KONAWE</v>
          </cell>
          <cell r="F296">
            <v>156</v>
          </cell>
          <cell r="G296">
            <v>0</v>
          </cell>
          <cell r="K296">
            <v>16</v>
          </cell>
          <cell r="M296">
            <v>16</v>
          </cell>
          <cell r="Q296">
            <v>1</v>
          </cell>
        </row>
        <row r="297">
          <cell r="D297" t="str">
            <v>BOMBANA</v>
          </cell>
          <cell r="F297">
            <v>156</v>
          </cell>
          <cell r="G297">
            <v>0</v>
          </cell>
          <cell r="K297">
            <v>17</v>
          </cell>
          <cell r="M297">
            <v>17</v>
          </cell>
          <cell r="Q297">
            <v>1</v>
          </cell>
        </row>
        <row r="298">
          <cell r="D298" t="str">
            <v>BUTON</v>
          </cell>
          <cell r="F298">
            <v>157</v>
          </cell>
          <cell r="G298">
            <v>0</v>
          </cell>
          <cell r="K298">
            <v>31</v>
          </cell>
          <cell r="M298">
            <v>31</v>
          </cell>
          <cell r="Q298">
            <v>1</v>
          </cell>
        </row>
        <row r="299">
          <cell r="B299" t="str">
            <v>SULAWESI TENGGARA Total</v>
          </cell>
          <cell r="D299">
            <v>8</v>
          </cell>
          <cell r="G299">
            <v>2</v>
          </cell>
          <cell r="H299">
            <v>19</v>
          </cell>
          <cell r="I299">
            <v>41</v>
          </cell>
          <cell r="J299">
            <v>86</v>
          </cell>
          <cell r="K299">
            <v>71</v>
          </cell>
          <cell r="L299">
            <v>0</v>
          </cell>
          <cell r="M299">
            <v>198</v>
          </cell>
          <cell r="N299">
            <v>2</v>
          </cell>
          <cell r="O299">
            <v>0</v>
          </cell>
          <cell r="P299">
            <v>1</v>
          </cell>
          <cell r="Q299">
            <v>6</v>
          </cell>
        </row>
        <row r="300">
          <cell r="A300">
            <v>75</v>
          </cell>
          <cell r="B300" t="str">
            <v>GORONTALO</v>
          </cell>
          <cell r="C300">
            <v>7502</v>
          </cell>
          <cell r="D300" t="str">
            <v>GORONTALO</v>
          </cell>
          <cell r="E300">
            <v>0.2</v>
          </cell>
          <cell r="F300">
            <v>158</v>
          </cell>
          <cell r="G300">
            <v>0</v>
          </cell>
          <cell r="H300">
            <v>2</v>
          </cell>
          <cell r="J300">
            <v>21</v>
          </cell>
          <cell r="M300">
            <v>21</v>
          </cell>
          <cell r="P300">
            <v>1</v>
          </cell>
        </row>
        <row r="301">
          <cell r="C301">
            <v>7571</v>
          </cell>
          <cell r="D301" t="str">
            <v>KOTA GORONTALO</v>
          </cell>
          <cell r="E301">
            <v>0.2</v>
          </cell>
          <cell r="F301">
            <v>158</v>
          </cell>
          <cell r="G301">
            <v>1</v>
          </cell>
          <cell r="H301">
            <v>6</v>
          </cell>
          <cell r="I301">
            <v>29</v>
          </cell>
          <cell r="J301">
            <v>20</v>
          </cell>
          <cell r="M301">
            <v>49</v>
          </cell>
          <cell r="O301">
            <v>3</v>
          </cell>
          <cell r="Q301">
            <v>1</v>
          </cell>
        </row>
        <row r="302">
          <cell r="B302" t="str">
            <v>GORONTALO Total</v>
          </cell>
          <cell r="D302">
            <v>2</v>
          </cell>
          <cell r="G302">
            <v>1</v>
          </cell>
          <cell r="H302">
            <v>8</v>
          </cell>
          <cell r="I302">
            <v>29</v>
          </cell>
          <cell r="J302">
            <v>41</v>
          </cell>
          <cell r="K302">
            <v>0</v>
          </cell>
          <cell r="M302">
            <v>70</v>
          </cell>
          <cell r="N302">
            <v>0</v>
          </cell>
          <cell r="O302">
            <v>3</v>
          </cell>
          <cell r="P302">
            <v>1</v>
          </cell>
          <cell r="Q302">
            <v>1</v>
          </cell>
        </row>
        <row r="303">
          <cell r="A303">
            <v>76</v>
          </cell>
          <cell r="B303" t="str">
            <v>SULAWESI BARAT</v>
          </cell>
          <cell r="C303">
            <v>7601</v>
          </cell>
          <cell r="D303" t="str">
            <v>MAJENE</v>
          </cell>
          <cell r="E303">
            <v>0.2</v>
          </cell>
          <cell r="F303">
            <v>159</v>
          </cell>
          <cell r="G303">
            <v>0</v>
          </cell>
          <cell r="H303">
            <v>1</v>
          </cell>
          <cell r="I303">
            <v>1</v>
          </cell>
          <cell r="J303">
            <v>3</v>
          </cell>
          <cell r="M303">
            <v>4</v>
          </cell>
          <cell r="P303">
            <v>1</v>
          </cell>
          <cell r="Q303">
            <v>1</v>
          </cell>
        </row>
        <row r="304">
          <cell r="C304">
            <v>7602</v>
          </cell>
          <cell r="D304" t="str">
            <v>POLEWALI MANDAR</v>
          </cell>
          <cell r="E304">
            <v>0.2</v>
          </cell>
          <cell r="F304">
            <v>159</v>
          </cell>
          <cell r="G304">
            <v>1</v>
          </cell>
          <cell r="H304">
            <v>1</v>
          </cell>
          <cell r="I304">
            <v>8</v>
          </cell>
          <cell r="J304">
            <v>1</v>
          </cell>
          <cell r="M304">
            <v>9</v>
          </cell>
          <cell r="O304">
            <v>2</v>
          </cell>
          <cell r="Q304">
            <v>1</v>
          </cell>
        </row>
        <row r="305">
          <cell r="D305" t="str">
            <v>MAMUJU</v>
          </cell>
          <cell r="F305">
            <v>159</v>
          </cell>
        </row>
        <row r="306">
          <cell r="B306" t="str">
            <v>SULAWESI BARAT Total</v>
          </cell>
          <cell r="D306">
            <v>3</v>
          </cell>
          <cell r="G306">
            <v>1</v>
          </cell>
          <cell r="H306">
            <v>2</v>
          </cell>
          <cell r="I306">
            <v>9</v>
          </cell>
          <cell r="J306">
            <v>4</v>
          </cell>
          <cell r="K306">
            <v>0</v>
          </cell>
          <cell r="M306">
            <v>13</v>
          </cell>
          <cell r="N306">
            <v>0</v>
          </cell>
          <cell r="O306">
            <v>2</v>
          </cell>
          <cell r="P306">
            <v>1</v>
          </cell>
          <cell r="Q306">
            <v>2</v>
          </cell>
        </row>
        <row r="307">
          <cell r="A307">
            <v>81</v>
          </cell>
          <cell r="B307" t="str">
            <v>MALUKU</v>
          </cell>
          <cell r="C307">
            <v>8103</v>
          </cell>
          <cell r="D307" t="str">
            <v>MALUKU TENGAH</v>
          </cell>
          <cell r="E307">
            <v>0.2</v>
          </cell>
          <cell r="F307">
            <v>160</v>
          </cell>
          <cell r="G307">
            <v>0</v>
          </cell>
          <cell r="H307">
            <v>1</v>
          </cell>
          <cell r="I307">
            <v>1</v>
          </cell>
          <cell r="J307">
            <v>4</v>
          </cell>
          <cell r="M307">
            <v>5</v>
          </cell>
          <cell r="P307">
            <v>0</v>
          </cell>
        </row>
        <row r="308">
          <cell r="C308">
            <v>8171</v>
          </cell>
          <cell r="D308" t="str">
            <v>KOTA AMBON</v>
          </cell>
          <cell r="E308">
            <v>0.2</v>
          </cell>
          <cell r="F308">
            <v>160</v>
          </cell>
          <cell r="G308">
            <v>1</v>
          </cell>
          <cell r="H308">
            <v>5</v>
          </cell>
          <cell r="I308">
            <v>31</v>
          </cell>
          <cell r="J308">
            <v>19</v>
          </cell>
          <cell r="M308">
            <v>50</v>
          </cell>
        </row>
        <row r="309">
          <cell r="C309">
            <v>8172</v>
          </cell>
          <cell r="D309" t="str">
            <v>KOTA TUAL</v>
          </cell>
          <cell r="E309">
            <v>0.2</v>
          </cell>
          <cell r="F309">
            <v>161</v>
          </cell>
          <cell r="G309">
            <v>1</v>
          </cell>
          <cell r="H309">
            <v>4</v>
          </cell>
          <cell r="I309">
            <v>5</v>
          </cell>
          <cell r="J309">
            <v>24</v>
          </cell>
          <cell r="M309">
            <v>29</v>
          </cell>
        </row>
        <row r="310">
          <cell r="B310" t="str">
            <v>MALUKU Total</v>
          </cell>
          <cell r="D310">
            <v>3</v>
          </cell>
          <cell r="G310">
            <v>2</v>
          </cell>
          <cell r="H310">
            <v>10</v>
          </cell>
          <cell r="I310">
            <v>37</v>
          </cell>
          <cell r="J310">
            <v>47</v>
          </cell>
          <cell r="K310">
            <v>0</v>
          </cell>
          <cell r="M310">
            <v>84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</row>
        <row r="311">
          <cell r="A311">
            <v>82</v>
          </cell>
          <cell r="B311" t="str">
            <v>MALUKU UTARA</v>
          </cell>
          <cell r="C311">
            <v>8271</v>
          </cell>
          <cell r="D311" t="str">
            <v>KOTA TERNATE</v>
          </cell>
          <cell r="E311">
            <v>0.2</v>
          </cell>
          <cell r="F311">
            <v>162</v>
          </cell>
          <cell r="G311">
            <v>1</v>
          </cell>
          <cell r="H311">
            <v>6</v>
          </cell>
          <cell r="I311">
            <v>19</v>
          </cell>
          <cell r="J311">
            <v>55</v>
          </cell>
          <cell r="M311">
            <v>74</v>
          </cell>
          <cell r="P311">
            <v>0</v>
          </cell>
        </row>
        <row r="312">
          <cell r="C312">
            <v>8272</v>
          </cell>
          <cell r="D312" t="str">
            <v>KOTA TIDORE KEPULAUAN</v>
          </cell>
          <cell r="E312">
            <v>0.2</v>
          </cell>
          <cell r="F312">
            <v>163</v>
          </cell>
          <cell r="G312">
            <v>1</v>
          </cell>
          <cell r="H312">
            <v>8</v>
          </cell>
          <cell r="I312">
            <v>16</v>
          </cell>
          <cell r="J312">
            <v>56</v>
          </cell>
          <cell r="M312">
            <v>72</v>
          </cell>
        </row>
        <row r="313">
          <cell r="B313" t="str">
            <v>MALUKU UTARA Total</v>
          </cell>
          <cell r="D313">
            <v>2</v>
          </cell>
          <cell r="G313">
            <v>2</v>
          </cell>
          <cell r="H313">
            <v>14</v>
          </cell>
          <cell r="I313">
            <v>35</v>
          </cell>
          <cell r="J313">
            <v>111</v>
          </cell>
          <cell r="K313">
            <v>0</v>
          </cell>
          <cell r="M313">
            <v>146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</row>
        <row r="314">
          <cell r="A314">
            <v>91</v>
          </cell>
          <cell r="B314" t="str">
            <v>IRIAN JAYA BARAT</v>
          </cell>
          <cell r="C314">
            <v>9105</v>
          </cell>
          <cell r="D314" t="str">
            <v>MANOKWARI</v>
          </cell>
          <cell r="E314">
            <v>0.3</v>
          </cell>
          <cell r="F314">
            <v>164</v>
          </cell>
          <cell r="G314">
            <v>0</v>
          </cell>
          <cell r="H314">
            <v>1</v>
          </cell>
          <cell r="J314">
            <v>10</v>
          </cell>
          <cell r="M314">
            <v>10</v>
          </cell>
          <cell r="P314">
            <v>0</v>
          </cell>
        </row>
        <row r="315">
          <cell r="C315">
            <v>9171</v>
          </cell>
          <cell r="D315" t="str">
            <v>KOTA SORONG</v>
          </cell>
          <cell r="E315">
            <v>0.2</v>
          </cell>
          <cell r="F315">
            <v>164</v>
          </cell>
          <cell r="G315">
            <v>1</v>
          </cell>
          <cell r="H315">
            <v>5</v>
          </cell>
          <cell r="I315">
            <v>1</v>
          </cell>
          <cell r="J315">
            <v>21</v>
          </cell>
          <cell r="M315">
            <v>22</v>
          </cell>
        </row>
        <row r="316">
          <cell r="B316" t="str">
            <v>IRIAN JAYA BARAT Total</v>
          </cell>
          <cell r="D316">
            <v>2</v>
          </cell>
          <cell r="G316">
            <v>1</v>
          </cell>
          <cell r="H316">
            <v>6</v>
          </cell>
          <cell r="I316">
            <v>1</v>
          </cell>
          <cell r="J316">
            <v>31</v>
          </cell>
          <cell r="K316">
            <v>0</v>
          </cell>
          <cell r="M316">
            <v>32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</row>
        <row r="317">
          <cell r="A317">
            <v>94</v>
          </cell>
          <cell r="B317" t="str">
            <v>PAPUA</v>
          </cell>
          <cell r="C317">
            <v>9471</v>
          </cell>
          <cell r="D317" t="str">
            <v>KOTA JAYAPURA</v>
          </cell>
          <cell r="E317">
            <v>0.2</v>
          </cell>
          <cell r="F317">
            <v>165</v>
          </cell>
          <cell r="G317">
            <v>1</v>
          </cell>
          <cell r="H317">
            <v>5</v>
          </cell>
          <cell r="I317">
            <v>2</v>
          </cell>
          <cell r="J317">
            <v>37</v>
          </cell>
          <cell r="M317">
            <v>39</v>
          </cell>
        </row>
        <row r="318">
          <cell r="B318" t="str">
            <v>PAPUA Total</v>
          </cell>
          <cell r="D318">
            <v>1</v>
          </cell>
          <cell r="G318">
            <v>1</v>
          </cell>
          <cell r="H318">
            <v>5</v>
          </cell>
          <cell r="I318">
            <v>2</v>
          </cell>
          <cell r="J318">
            <v>37</v>
          </cell>
          <cell r="K318">
            <v>0</v>
          </cell>
          <cell r="M318">
            <v>39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>
        <row r="5">
          <cell r="AI5">
            <v>0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mus_UpPKP"/>
      <sheetName val="RekapLogbook"/>
      <sheetName val="Sheet3"/>
      <sheetName val="Sheet4"/>
      <sheetName val="Input Baseline"/>
      <sheetName val="NUMERIK"/>
      <sheetName val="Kekumuhan Awal_RT_PKP"/>
      <sheetName val="Kekumuhan awal_Kawasan_PKP"/>
      <sheetName val="Data Investasi"/>
      <sheetName val="Outcome"/>
      <sheetName val="Grafik Masalah_Kumuh Awal"/>
      <sheetName val="Kekumuhan Akhir_RT_PKP"/>
      <sheetName val="Kekumuhan Akhir_Kaw_PKP"/>
      <sheetName val="Grafik_Kumuh Akhir_PKP"/>
      <sheetName val="Spider Web"/>
      <sheetName val="Kesimpulan Capaian"/>
      <sheetName val="Peta Infrastruktur"/>
      <sheetName val="Peta Layanan"/>
      <sheetName val="Capaian RT"/>
      <sheetName val="{master}"/>
      <sheetName val="Nama Dusu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4">
          <cell r="H4" t="str">
            <v>Jalan Tanah</v>
          </cell>
        </row>
        <row r="5">
          <cell r="H5" t="str">
            <v xml:space="preserve">Jalan Beton </v>
          </cell>
        </row>
        <row r="6">
          <cell r="H6" t="str">
            <v>Jalan Sirtu</v>
          </cell>
        </row>
        <row r="7">
          <cell r="H7" t="str">
            <v>Jalan Makadam</v>
          </cell>
        </row>
        <row r="8">
          <cell r="H8" t="str">
            <v>Jalan Telford</v>
          </cell>
        </row>
        <row r="9">
          <cell r="H9" t="str">
            <v>Tembok Penahan (Siring/Plengsengan/Bronjong)</v>
          </cell>
        </row>
        <row r="10">
          <cell r="H10" t="str">
            <v>Jalan Paving Block</v>
          </cell>
        </row>
        <row r="11">
          <cell r="H11" t="str">
            <v>Jalan Lapen (Lapisan Penetrasi)</v>
          </cell>
        </row>
        <row r="12">
          <cell r="H12" t="str">
            <v>Jalan Buras (Leburan Aspal)</v>
          </cell>
        </row>
        <row r="13">
          <cell r="H13" t="str">
            <v>Jalan Aspal Hotmix</v>
          </cell>
        </row>
        <row r="14">
          <cell r="H14" t="str">
            <v>Jalan Kayu/Titian/Jerambah Kayu</v>
          </cell>
        </row>
        <row r="15">
          <cell r="H15" t="str">
            <v>Pedestrian/Jalur Pejalan Kaki</v>
          </cell>
        </row>
        <row r="16">
          <cell r="H16" t="str">
            <v>Drainase Lingkungan</v>
          </cell>
        </row>
        <row r="17">
          <cell r="H17" t="str">
            <v>Sumur Resapan Air Hujan</v>
          </cell>
        </row>
        <row r="18">
          <cell r="H18" t="str">
            <v>Resapan Biopori</v>
          </cell>
        </row>
        <row r="19">
          <cell r="H19" t="str">
            <v>Penutup Saluran/Parit (Plat beton,dll)</v>
          </cell>
        </row>
        <row r="20">
          <cell r="H20" t="str">
            <v>Tanggul Pengendali Banjir</v>
          </cell>
        </row>
        <row r="21">
          <cell r="H21" t="str">
            <v>Kolam Resapan</v>
          </cell>
        </row>
        <row r="22">
          <cell r="H22" t="str">
            <v>Pintu Air</v>
          </cell>
        </row>
        <row r="23">
          <cell r="H23" t="str">
            <v>Pompa Air &amp; Rumah Pompa</v>
          </cell>
        </row>
        <row r="24">
          <cell r="H24" t="str">
            <v>Normalisasi Saluran</v>
          </cell>
        </row>
        <row r="25">
          <cell r="H25" t="str">
            <v>Jembatan Kayu</v>
          </cell>
        </row>
        <row r="26">
          <cell r="H26" t="str">
            <v>Jembatan Besi</v>
          </cell>
        </row>
        <row r="27">
          <cell r="H27" t="str">
            <v>Jembatan Beton/Batu/Box Culvert</v>
          </cell>
        </row>
        <row r="28">
          <cell r="H28" t="str">
            <v>Gorong-gorong</v>
          </cell>
        </row>
        <row r="29">
          <cell r="H29" t="str">
            <v>Jembatan Pelimpas</v>
          </cell>
        </row>
        <row r="30">
          <cell r="H30" t="str">
            <v>Jembatan Gantung</v>
          </cell>
        </row>
        <row r="31">
          <cell r="H31" t="str">
            <v>Jembatan Komposit</v>
          </cell>
        </row>
        <row r="32">
          <cell r="H32" t="str">
            <v>Rehab/perbaikan Rumah Tidak Layak Huni (Aladin)</v>
          </cell>
        </row>
        <row r="33">
          <cell r="H33" t="str">
            <v>Penataan Rumah Deret/Rumah Susun</v>
          </cell>
        </row>
        <row r="34">
          <cell r="H34" t="str">
            <v>MCK Mandi + Cuci + Kakus</v>
          </cell>
        </row>
        <row r="35">
          <cell r="H35" t="str">
            <v>Jamban (closet+bak air+septictank+resapan)</v>
          </cell>
        </row>
        <row r="36">
          <cell r="H36" t="str">
            <v>Sumur Resapan</v>
          </cell>
        </row>
        <row r="37">
          <cell r="H37" t="str">
            <v>Closet Leher Angsa</v>
          </cell>
        </row>
        <row r="38">
          <cell r="H38" t="str">
            <v>Septictank Komunal</v>
          </cell>
        </row>
        <row r="39">
          <cell r="H39" t="str">
            <v>Instalasi Pengolahan Air Limbah (IPAL) Setempat/Terpusat</v>
          </cell>
        </row>
        <row r="40">
          <cell r="H40" t="str">
            <v>Bak sampah 3R</v>
          </cell>
        </row>
        <row r="41">
          <cell r="H41" t="str">
            <v>Gerobak/Motor Sampah</v>
          </cell>
        </row>
        <row r="42">
          <cell r="H42" t="str">
            <v>Tempat Pembuangan Sampah Sementara (TPS) 3R</v>
          </cell>
        </row>
        <row r="43">
          <cell r="H43" t="str">
            <v>Bangunan Pengolahan Sampah/TPS 3R</v>
          </cell>
        </row>
        <row r="44">
          <cell r="H44" t="str">
            <v>Komposter Sampah/TPS 3R (Peralatan Pengolahan)</v>
          </cell>
        </row>
        <row r="45">
          <cell r="H45" t="str">
            <v>Tempat  Pengolahan  Sampah  Terpadu (TPST)</v>
          </cell>
        </row>
        <row r="46">
          <cell r="H46" t="str">
            <v>Mobil Sampah</v>
          </cell>
        </row>
        <row r="47">
          <cell r="H47" t="str">
            <v>Saringan Sampah</v>
          </cell>
        </row>
        <row r="48">
          <cell r="H48" t="str">
            <v>Sumur Gali</v>
          </cell>
        </row>
        <row r="49">
          <cell r="H49" t="str">
            <v>Sumur Pompa Tangan ( SPT )</v>
          </cell>
        </row>
        <row r="50">
          <cell r="H50" t="str">
            <v>Penampung Air Hujan ( PAH )</v>
          </cell>
        </row>
        <row r="51">
          <cell r="H51" t="str">
            <v>Hidran Umum ( HU )/Kran Umum (KU)</v>
          </cell>
        </row>
        <row r="52">
          <cell r="H52" t="str">
            <v>Perpipaan</v>
          </cell>
        </row>
        <row r="53">
          <cell r="H53" t="str">
            <v>Pelindung Mata Air ( PMA )</v>
          </cell>
        </row>
        <row r="54">
          <cell r="H54" t="str">
            <v>Penangkap Air Permukaan ( PAP ) (Broncaptering/bakpengumpul)</v>
          </cell>
        </row>
        <row r="55">
          <cell r="H55" t="str">
            <v>Sumur Bor</v>
          </cell>
        </row>
        <row r="56">
          <cell r="H56" t="str">
            <v>Sumur Bor Dalam (SBD) / Sumur Arteris</v>
          </cell>
        </row>
        <row r="57">
          <cell r="H57" t="str">
            <v>Instalasi Pengolahan Air Sederhana (IPAS)</v>
          </cell>
        </row>
        <row r="58">
          <cell r="H58" t="str">
            <v>Bak Pembagi</v>
          </cell>
        </row>
        <row r="59">
          <cell r="H59" t="str">
            <v>Sambungan Rumah</v>
          </cell>
        </row>
        <row r="60">
          <cell r="H60" t="str">
            <v>Penerangan Umum</v>
          </cell>
        </row>
        <row r="61">
          <cell r="H61" t="str">
            <v>Pembangkitan Listrik Disel/Generator</v>
          </cell>
        </row>
        <row r="62">
          <cell r="H62" t="str">
            <v>Jaringan Listrik (kabel instalasi, dll)</v>
          </cell>
        </row>
        <row r="63">
          <cell r="H63" t="str">
            <v>Pembangkit Listrik Mikro Hidro(PLTMH)</v>
          </cell>
        </row>
        <row r="64">
          <cell r="H64" t="str">
            <v>Perbaikan Gedung Sekolah</v>
          </cell>
        </row>
        <row r="65">
          <cell r="H65" t="str">
            <v>Penambahan Ruang Kelas</v>
          </cell>
        </row>
        <row r="66">
          <cell r="H66" t="str">
            <v>Pembangunan gedung sekolah/baru (PAUD, TK, SD, SLTP,SLTA dan setingkatnya)</v>
          </cell>
        </row>
        <row r="67">
          <cell r="H67" t="str">
            <v>Pembangunan Balai Latihan Kerja (BLK)</v>
          </cell>
        </row>
        <row r="68">
          <cell r="H68" t="str">
            <v>Sarana Penunjang pendidikan(meubelair,pagar,wc sekolah, sarana perpustakaan)</v>
          </cell>
        </row>
        <row r="69">
          <cell r="H69" t="str">
            <v>Saluran Irigasi</v>
          </cell>
        </row>
        <row r="70">
          <cell r="H70" t="str">
            <v>Waduk/Embung/Bendung sederhana</v>
          </cell>
        </row>
        <row r="71">
          <cell r="H71" t="str">
            <v>Pintu Air/Bangunan Pembagi</v>
          </cell>
        </row>
        <row r="72">
          <cell r="H72" t="str">
            <v>Bangunan Pengambil Bebas</v>
          </cell>
        </row>
        <row r="73">
          <cell r="H73" t="str">
            <v>Bangunan Posyandu</v>
          </cell>
        </row>
        <row r="74">
          <cell r="H74" t="str">
            <v>Bangunan Poliklinik Desa(Polindes/poskesdes/pustu/pos bersalin desa))</v>
          </cell>
        </row>
        <row r="75">
          <cell r="H75" t="str">
            <v>Sarana penunjang kesehatan (mebelair/alat medis/dll)</v>
          </cell>
        </row>
        <row r="76">
          <cell r="H76" t="str">
            <v>Los Pasar/pasar tradisionil</v>
          </cell>
        </row>
        <row r="77">
          <cell r="H77" t="str">
            <v>Kios Pasar</v>
          </cell>
        </row>
        <row r="78">
          <cell r="H78" t="str">
            <v>Tempat Pelelangan Ikan</v>
          </cell>
        </row>
        <row r="79">
          <cell r="H79" t="str">
            <v>Pasar Khusus (galeri/ruang pamer)</v>
          </cell>
        </row>
        <row r="80">
          <cell r="H80" t="str">
            <v>Sarana PKL</v>
          </cell>
        </row>
        <row r="81">
          <cell r="H81" t="str">
            <v>Saluran Pembuangan Limbah rumah tangga, industri, sarana komersial,sarana umum (Green Water)</v>
          </cell>
        </row>
        <row r="82">
          <cell r="H82" t="str">
            <v>Jaringan Perpipaan Pembuangan Air Limbah (Black Water)</v>
          </cell>
        </row>
        <row r="83">
          <cell r="H83" t="str">
            <v>Tambatan Perahu/Dermaga</v>
          </cell>
        </row>
        <row r="84">
          <cell r="H84" t="str">
            <v>Ruang Terbuka Hijau (Taman Lingkungan, Taman rekreasi/hiburan)</v>
          </cell>
        </row>
        <row r="85">
          <cell r="H85" t="str">
            <v>Jalur Hijau (penghijauan)/Median</v>
          </cell>
        </row>
        <row r="86">
          <cell r="H86" t="str">
            <v>Ruang Terbuka Non Hijau (RTNH) seperti prasarana olahraga, sarana bermain</v>
          </cell>
        </row>
        <row r="87">
          <cell r="H87" t="str">
            <v>Sarana penunjang taman/RTH (pagar gapura,bangku,papan info, prasasti, lampu taman, pot)</v>
          </cell>
        </row>
        <row r="88">
          <cell r="H88" t="str">
            <v>Balai Pertemuan Warga</v>
          </cell>
        </row>
        <row r="89">
          <cell r="H89" t="str">
            <v>Pembangunan Kandang komunal</v>
          </cell>
        </row>
        <row r="90">
          <cell r="H90" t="str">
            <v>Tempat Pengolahan Hasil Ternak</v>
          </cell>
        </row>
        <row r="91">
          <cell r="H91" t="str">
            <v>Pengolahan Limbah Ternak</v>
          </cell>
        </row>
        <row r="92">
          <cell r="H92" t="str">
            <v>Tambak Ikan/Kolam Ikan</v>
          </cell>
        </row>
        <row r="93">
          <cell r="H93" t="str">
            <v>Keramba Ikan</v>
          </cell>
        </row>
        <row r="94">
          <cell r="H94" t="str">
            <v>Tempat Pengolahan Ikan</v>
          </cell>
        </row>
        <row r="95">
          <cell r="H95" t="str">
            <v>Sentra Pembibitan/Budidaya tanaman/Horticultura</v>
          </cell>
        </row>
        <row r="96">
          <cell r="H96" t="str">
            <v>Penunjang pertanian/perkebunan</v>
          </cell>
        </row>
        <row r="97">
          <cell r="H97" t="str">
            <v>Penyediaan Pasokan Air (Kolam penampungan air, Sumur Dalam/Hidran)</v>
          </cell>
        </row>
        <row r="98">
          <cell r="H98" t="str">
            <v>Jaringan Perpipaan Proteksi Kebakaran</v>
          </cell>
        </row>
        <row r="99">
          <cell r="H99" t="str">
            <v>Motor pemadam kebakaran</v>
          </cell>
        </row>
        <row r="100">
          <cell r="H100" t="str">
            <v>Mobil pemadam kebakaran</v>
          </cell>
        </row>
        <row r="101">
          <cell r="H101" t="str">
            <v>Alat Pemadam Api Ringan (APAR)</v>
          </cell>
        </row>
      </sheetData>
      <sheetData sheetId="2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mus_UpPKP"/>
      <sheetName val="RekapLogbook"/>
      <sheetName val="Sheet3"/>
      <sheetName val="Sheet4"/>
      <sheetName val="Input Baseline"/>
      <sheetName val="NUMERIK"/>
      <sheetName val="Kekumuhan Awal_RT_PKP"/>
      <sheetName val="Kekumuhan awal_Kawasan_PKP"/>
      <sheetName val="Data Investasi"/>
      <sheetName val="Outcome"/>
      <sheetName val="Grafik Masalah_Kumuh Awal"/>
      <sheetName val="Kekumuhan Akhir_RT_PKP"/>
      <sheetName val="Kekumuhan Akhir_Kaw_PKP"/>
      <sheetName val="Grafik_Kumuh Akhir_PKP"/>
      <sheetName val="Spider Web"/>
      <sheetName val="Kesimpulan Capaian"/>
      <sheetName val="Peta Infrastruktur"/>
      <sheetName val="Peta Layanan"/>
      <sheetName val="Capaian RT"/>
      <sheetName val="{master}"/>
      <sheetName val="Nama Dusu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">
          <cell r="H4" t="str">
            <v>Jalan Tanah</v>
          </cell>
        </row>
        <row r="5">
          <cell r="H5" t="str">
            <v xml:space="preserve">Jalan Beton </v>
          </cell>
        </row>
        <row r="6">
          <cell r="H6" t="str">
            <v>Jalan Sirtu</v>
          </cell>
        </row>
        <row r="7">
          <cell r="H7" t="str">
            <v>Jalan Makadam</v>
          </cell>
        </row>
        <row r="8">
          <cell r="H8" t="str">
            <v>Jalan Telford</v>
          </cell>
        </row>
        <row r="9">
          <cell r="H9" t="str">
            <v>Tembok Penahan (Siring/Plengsengan/Bronjong)</v>
          </cell>
        </row>
        <row r="10">
          <cell r="H10" t="str">
            <v>Jalan Paving Block</v>
          </cell>
        </row>
        <row r="11">
          <cell r="H11" t="str">
            <v>Jalan Lapen (Lapisan Penetrasi)</v>
          </cell>
        </row>
        <row r="12">
          <cell r="H12" t="str">
            <v>Jalan Buras (Leburan Aspal)</v>
          </cell>
        </row>
        <row r="13">
          <cell r="H13" t="str">
            <v>Jalan Aspal Hotmix</v>
          </cell>
        </row>
        <row r="14">
          <cell r="H14" t="str">
            <v>Jalan Kayu/Titian/Jerambah Kayu</v>
          </cell>
        </row>
        <row r="15">
          <cell r="H15" t="str">
            <v>Pedestrian/Jalur Pejalan Kaki</v>
          </cell>
        </row>
        <row r="16">
          <cell r="H16" t="str">
            <v>Drainase Lingkungan</v>
          </cell>
        </row>
        <row r="17">
          <cell r="H17" t="str">
            <v>Sumur Resapan Air Hujan</v>
          </cell>
        </row>
        <row r="18">
          <cell r="H18" t="str">
            <v>Resapan Biopori</v>
          </cell>
        </row>
        <row r="19">
          <cell r="H19" t="str">
            <v>Penutup Saluran/Parit (Plat beton,dll)</v>
          </cell>
        </row>
        <row r="20">
          <cell r="H20" t="str">
            <v>Tanggul Pengendali Banjir</v>
          </cell>
        </row>
        <row r="21">
          <cell r="H21" t="str">
            <v>Kolam Resapan</v>
          </cell>
        </row>
        <row r="22">
          <cell r="H22" t="str">
            <v>Pintu Air</v>
          </cell>
        </row>
        <row r="23">
          <cell r="H23" t="str">
            <v>Pompa Air &amp; Rumah Pompa</v>
          </cell>
        </row>
        <row r="24">
          <cell r="H24" t="str">
            <v>Normalisasi Saluran</v>
          </cell>
        </row>
        <row r="25">
          <cell r="H25" t="str">
            <v>Jembatan Kayu</v>
          </cell>
        </row>
        <row r="26">
          <cell r="H26" t="str">
            <v>Jembatan Besi</v>
          </cell>
        </row>
        <row r="27">
          <cell r="H27" t="str">
            <v>Jembatan Beton/Batu/Box Culvert</v>
          </cell>
        </row>
        <row r="28">
          <cell r="H28" t="str">
            <v>Gorong-gorong</v>
          </cell>
        </row>
        <row r="29">
          <cell r="H29" t="str">
            <v>Jembatan Pelimpas</v>
          </cell>
        </row>
        <row r="30">
          <cell r="H30" t="str">
            <v>Jembatan Gantung</v>
          </cell>
        </row>
        <row r="31">
          <cell r="H31" t="str">
            <v>Jembatan Komposit</v>
          </cell>
        </row>
        <row r="32">
          <cell r="H32" t="str">
            <v>Rehab/perbaikan Rumah Tidak Layak Huni (Aladin)</v>
          </cell>
        </row>
        <row r="33">
          <cell r="H33" t="str">
            <v>Penataan Rumah Deret/Rumah Susun</v>
          </cell>
        </row>
        <row r="34">
          <cell r="H34" t="str">
            <v>MCK Mandi + Cuci + Kakus</v>
          </cell>
        </row>
        <row r="35">
          <cell r="H35" t="str">
            <v>Jamban (closet+bak air+septictank+resapan)</v>
          </cell>
        </row>
        <row r="36">
          <cell r="H36" t="str">
            <v>Sumur Resapan</v>
          </cell>
        </row>
        <row r="37">
          <cell r="H37" t="str">
            <v>Closet Leher Angsa</v>
          </cell>
        </row>
        <row r="38">
          <cell r="H38" t="str">
            <v>Septictank Komunal</v>
          </cell>
        </row>
        <row r="39">
          <cell r="H39" t="str">
            <v>Instalasi Pengolahan Air Limbah (IPAL) Setempat/Terpusat</v>
          </cell>
        </row>
        <row r="40">
          <cell r="H40" t="str">
            <v>Bak sampah 3R</v>
          </cell>
        </row>
        <row r="41">
          <cell r="H41" t="str">
            <v>Gerobak/Motor Sampah</v>
          </cell>
        </row>
        <row r="42">
          <cell r="H42" t="str">
            <v>Tempat Pembuangan Sampah Sementara (TPS) 3R</v>
          </cell>
        </row>
        <row r="43">
          <cell r="H43" t="str">
            <v>Bangunan Pengolahan Sampah/TPS 3R</v>
          </cell>
        </row>
        <row r="44">
          <cell r="H44" t="str">
            <v>Komposter Sampah/TPS 3R (Peralatan Pengolahan)</v>
          </cell>
        </row>
        <row r="45">
          <cell r="H45" t="str">
            <v>Tempat  Pengolahan  Sampah  Terpadu (TPST)</v>
          </cell>
        </row>
        <row r="46">
          <cell r="H46" t="str">
            <v>Mobil Sampah</v>
          </cell>
        </row>
        <row r="47">
          <cell r="H47" t="str">
            <v>Saringan Sampah</v>
          </cell>
        </row>
        <row r="48">
          <cell r="H48" t="str">
            <v>Sumur Gali</v>
          </cell>
        </row>
        <row r="49">
          <cell r="H49" t="str">
            <v>Sumur Pompa Tangan ( SPT )</v>
          </cell>
        </row>
        <row r="50">
          <cell r="H50" t="str">
            <v>Penampung Air Hujan ( PAH )</v>
          </cell>
        </row>
        <row r="51">
          <cell r="H51" t="str">
            <v>Hidran Umum ( HU )/Kran Umum (KU)</v>
          </cell>
        </row>
        <row r="52">
          <cell r="H52" t="str">
            <v>Perpipaan</v>
          </cell>
        </row>
        <row r="53">
          <cell r="H53" t="str">
            <v>Pelindung Mata Air ( PMA )</v>
          </cell>
        </row>
        <row r="54">
          <cell r="H54" t="str">
            <v>Penangkap Air Permukaan ( PAP ) (Broncaptering/bakpengumpul)</v>
          </cell>
        </row>
        <row r="55">
          <cell r="H55" t="str">
            <v>Sumur Bor</v>
          </cell>
        </row>
        <row r="56">
          <cell r="H56" t="str">
            <v>Sumur Bor Dalam (SBD) / Sumur Arteris</v>
          </cell>
        </row>
        <row r="57">
          <cell r="H57" t="str">
            <v>Instalasi Pengolahan Air Sederhana (IPAS)</v>
          </cell>
        </row>
        <row r="58">
          <cell r="H58" t="str">
            <v>Bak Pembagi</v>
          </cell>
        </row>
        <row r="59">
          <cell r="H59" t="str">
            <v>Sambungan Rumah</v>
          </cell>
        </row>
        <row r="60">
          <cell r="H60" t="str">
            <v>Penerangan Umum</v>
          </cell>
        </row>
        <row r="61">
          <cell r="H61" t="str">
            <v>Pembangkitan Listrik Disel/Generator</v>
          </cell>
        </row>
        <row r="62">
          <cell r="H62" t="str">
            <v>Jaringan Listrik (kabel instalasi, dll)</v>
          </cell>
        </row>
        <row r="63">
          <cell r="H63" t="str">
            <v>Pembangkit Listrik Mikro Hidro(PLTMH)</v>
          </cell>
        </row>
        <row r="64">
          <cell r="H64" t="str">
            <v>Perbaikan Gedung Sekolah</v>
          </cell>
        </row>
        <row r="65">
          <cell r="H65" t="str">
            <v>Penambahan Ruang Kelas</v>
          </cell>
        </row>
        <row r="66">
          <cell r="H66" t="str">
            <v>Pembangunan gedung sekolah/baru (PAUD, TK, SD, SLTP,SLTA dan setingkatnya)</v>
          </cell>
        </row>
        <row r="67">
          <cell r="H67" t="str">
            <v>Pembangunan Balai Latihan Kerja (BLK)</v>
          </cell>
        </row>
        <row r="68">
          <cell r="H68" t="str">
            <v>Sarana Penunjang pendidikan(meubelair,pagar,wc sekolah, sarana perpustakaan)</v>
          </cell>
        </row>
        <row r="69">
          <cell r="H69" t="str">
            <v>Saluran Irigasi</v>
          </cell>
        </row>
        <row r="70">
          <cell r="H70" t="str">
            <v>Waduk/Embung/Bendung sederhana</v>
          </cell>
        </row>
        <row r="71">
          <cell r="H71" t="str">
            <v>Pintu Air/Bangunan Pembagi</v>
          </cell>
        </row>
        <row r="72">
          <cell r="H72" t="str">
            <v>Bangunan Pengambil Bebas</v>
          </cell>
        </row>
        <row r="73">
          <cell r="H73" t="str">
            <v>Bangunan Posyandu</v>
          </cell>
        </row>
        <row r="74">
          <cell r="H74" t="str">
            <v>Bangunan Poliklinik Desa(Polindes/poskesdes/pustu/pos bersalin desa))</v>
          </cell>
        </row>
        <row r="75">
          <cell r="H75" t="str">
            <v>Sarana penunjang kesehatan (mebelair/alat medis/dll)</v>
          </cell>
        </row>
        <row r="76">
          <cell r="H76" t="str">
            <v>Los Pasar/pasar tradisionil</v>
          </cell>
        </row>
        <row r="77">
          <cell r="H77" t="str">
            <v>Kios Pasar</v>
          </cell>
        </row>
        <row r="78">
          <cell r="H78" t="str">
            <v>Tempat Pelelangan Ikan</v>
          </cell>
        </row>
        <row r="79">
          <cell r="H79" t="str">
            <v>Pasar Khusus (galeri/ruang pamer)</v>
          </cell>
        </row>
        <row r="80">
          <cell r="H80" t="str">
            <v>Sarana PKL</v>
          </cell>
        </row>
        <row r="81">
          <cell r="H81" t="str">
            <v>Saluran Pembuangan Limbah rumah tangga, industri, sarana komersial,sarana umum (Green Water)</v>
          </cell>
        </row>
        <row r="82">
          <cell r="H82" t="str">
            <v>Jaringan Perpipaan Pembuangan Air Limbah (Black Water)</v>
          </cell>
        </row>
        <row r="83">
          <cell r="H83" t="str">
            <v>Tambatan Perahu/Dermaga</v>
          </cell>
        </row>
        <row r="84">
          <cell r="H84" t="str">
            <v>Ruang Terbuka Hijau (Taman Lingkungan, Taman rekreasi/hiburan)</v>
          </cell>
        </row>
        <row r="85">
          <cell r="H85" t="str">
            <v>Jalur Hijau (penghijauan)/Median</v>
          </cell>
        </row>
        <row r="86">
          <cell r="H86" t="str">
            <v>Ruang Terbuka Non Hijau (RTNH) seperti prasarana olahraga, sarana bermain</v>
          </cell>
        </row>
        <row r="87">
          <cell r="H87" t="str">
            <v>Sarana penunjang taman/RTH (pagar gapura,bangku,papan info, prasasti, lampu taman, pot)</v>
          </cell>
        </row>
        <row r="88">
          <cell r="H88" t="str">
            <v>Balai Pertemuan Warga</v>
          </cell>
        </row>
        <row r="89">
          <cell r="H89" t="str">
            <v>Pembangunan Kandang komunal</v>
          </cell>
        </row>
        <row r="90">
          <cell r="H90" t="str">
            <v>Tempat Pengolahan Hasil Ternak</v>
          </cell>
        </row>
        <row r="91">
          <cell r="H91" t="str">
            <v>Pengolahan Limbah Ternak</v>
          </cell>
        </row>
        <row r="92">
          <cell r="H92" t="str">
            <v>Tambak Ikan/Kolam Ikan</v>
          </cell>
        </row>
        <row r="93">
          <cell r="H93" t="str">
            <v>Keramba Ikan</v>
          </cell>
        </row>
        <row r="94">
          <cell r="H94" t="str">
            <v>Tempat Pengolahan Ikan</v>
          </cell>
        </row>
        <row r="95">
          <cell r="H95" t="str">
            <v>Sentra Pembibitan/Budidaya tanaman/Horticultura</v>
          </cell>
        </row>
        <row r="96">
          <cell r="H96" t="str">
            <v>Penunjang pertanian/perkebunan</v>
          </cell>
        </row>
        <row r="97">
          <cell r="H97" t="str">
            <v>Penyediaan Pasokan Air (Kolam penampungan air, Sumur Dalam/Hidran)</v>
          </cell>
        </row>
        <row r="98">
          <cell r="H98" t="str">
            <v>Jaringan Perpipaan Proteksi Kebakaran</v>
          </cell>
        </row>
        <row r="99">
          <cell r="H99" t="str">
            <v>Motor pemadam kebakaran</v>
          </cell>
        </row>
        <row r="100">
          <cell r="H100" t="str">
            <v>Mobil pemadam kebakaran</v>
          </cell>
        </row>
        <row r="101">
          <cell r="H101" t="str">
            <v>Alat Pemadam Api Ringan (APAR)</v>
          </cell>
        </row>
      </sheetData>
      <sheetData sheetId="2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mus_UpPKP"/>
      <sheetName val="RekapLogbook"/>
      <sheetName val="Sheet3"/>
      <sheetName val="Sheet4"/>
      <sheetName val="Input Baseline"/>
      <sheetName val="NUMERIK"/>
      <sheetName val="Kekumuhan Awal_RT_PKP"/>
      <sheetName val="Kekumuhan awal_Kawasan_PKP"/>
      <sheetName val="Data Investasi"/>
      <sheetName val="Outcome"/>
      <sheetName val="Grafik Masalah_Kumuh Awal"/>
      <sheetName val="Kekumuhan Akhir_RT_PKP"/>
      <sheetName val="Kekumuhan Akhir_Kaw_PKP"/>
      <sheetName val="Grafik_Kumuh Akhir_PKP"/>
      <sheetName val="Spider Web"/>
      <sheetName val="Kesimpulan Capaian"/>
      <sheetName val="Peta Infrastruktur"/>
      <sheetName val="Peta Layanan"/>
      <sheetName val="Capaian RT"/>
      <sheetName val="{master}"/>
      <sheetName val="Nama Dusu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">
          <cell r="H4" t="str">
            <v>Jalan Tanah</v>
          </cell>
        </row>
        <row r="5">
          <cell r="H5" t="str">
            <v xml:space="preserve">Jalan Beton </v>
          </cell>
        </row>
        <row r="6">
          <cell r="H6" t="str">
            <v>Jalan Sirtu</v>
          </cell>
        </row>
        <row r="7">
          <cell r="H7" t="str">
            <v>Jalan Makadam</v>
          </cell>
        </row>
        <row r="8">
          <cell r="H8" t="str">
            <v>Jalan Telford</v>
          </cell>
        </row>
        <row r="9">
          <cell r="H9" t="str">
            <v>Tembok Penahan (Siring/Plengsengan/Bronjong)</v>
          </cell>
        </row>
        <row r="10">
          <cell r="H10" t="str">
            <v>Jalan Paving Block</v>
          </cell>
        </row>
        <row r="11">
          <cell r="H11" t="str">
            <v>Jalan Lapen (Lapisan Penetrasi)</v>
          </cell>
        </row>
        <row r="12">
          <cell r="H12" t="str">
            <v>Jalan Buras (Leburan Aspal)</v>
          </cell>
        </row>
        <row r="13">
          <cell r="H13" t="str">
            <v>Jalan Aspal Hotmix</v>
          </cell>
        </row>
        <row r="14">
          <cell r="H14" t="str">
            <v>Jalan Kayu/Titian/Jerambah Kayu</v>
          </cell>
        </row>
        <row r="15">
          <cell r="H15" t="str">
            <v>Pedestrian/Jalur Pejalan Kaki</v>
          </cell>
        </row>
        <row r="16">
          <cell r="H16" t="str">
            <v>Drainase Lingkungan</v>
          </cell>
        </row>
        <row r="17">
          <cell r="H17" t="str">
            <v>Sumur Resapan Air Hujan</v>
          </cell>
        </row>
        <row r="18">
          <cell r="H18" t="str">
            <v>Resapan Biopori</v>
          </cell>
        </row>
        <row r="19">
          <cell r="H19" t="str">
            <v>Penutup Saluran/Parit (Plat beton,dll)</v>
          </cell>
        </row>
        <row r="20">
          <cell r="H20" t="str">
            <v>Tanggul Pengendali Banjir</v>
          </cell>
        </row>
        <row r="21">
          <cell r="H21" t="str">
            <v>Kolam Resapan</v>
          </cell>
        </row>
        <row r="22">
          <cell r="H22" t="str">
            <v>Pintu Air</v>
          </cell>
        </row>
        <row r="23">
          <cell r="H23" t="str">
            <v>Pompa Air &amp; Rumah Pompa</v>
          </cell>
        </row>
        <row r="24">
          <cell r="H24" t="str">
            <v>Normalisasi Saluran</v>
          </cell>
        </row>
        <row r="25">
          <cell r="H25" t="str">
            <v>Jembatan Kayu</v>
          </cell>
        </row>
        <row r="26">
          <cell r="H26" t="str">
            <v>Jembatan Besi</v>
          </cell>
        </row>
        <row r="27">
          <cell r="H27" t="str">
            <v>Jembatan Beton/Batu/Box Culvert</v>
          </cell>
        </row>
        <row r="28">
          <cell r="H28" t="str">
            <v>Gorong-gorong</v>
          </cell>
        </row>
        <row r="29">
          <cell r="H29" t="str">
            <v>Jembatan Pelimpas</v>
          </cell>
        </row>
        <row r="30">
          <cell r="H30" t="str">
            <v>Jembatan Gantung</v>
          </cell>
        </row>
        <row r="31">
          <cell r="H31" t="str">
            <v>Jembatan Komposit</v>
          </cell>
        </row>
        <row r="32">
          <cell r="H32" t="str">
            <v>Rehab/perbaikan Rumah Tidak Layak Huni (Aladin)</v>
          </cell>
        </row>
        <row r="33">
          <cell r="H33" t="str">
            <v>Penataan Rumah Deret/Rumah Susun</v>
          </cell>
        </row>
        <row r="34">
          <cell r="H34" t="str">
            <v>MCK Mandi + Cuci + Kakus</v>
          </cell>
        </row>
        <row r="35">
          <cell r="H35" t="str">
            <v>Jamban (closet+bak air+septictank+resapan)</v>
          </cell>
        </row>
        <row r="36">
          <cell r="H36" t="str">
            <v>Sumur Resapan</v>
          </cell>
        </row>
        <row r="37">
          <cell r="H37" t="str">
            <v>Closet Leher Angsa</v>
          </cell>
        </row>
        <row r="38">
          <cell r="H38" t="str">
            <v>Septictank Komunal</v>
          </cell>
        </row>
        <row r="39">
          <cell r="H39" t="str">
            <v>Instalasi Pengolahan Air Limbah (IPAL) Setempat/Terpusat</v>
          </cell>
        </row>
        <row r="40">
          <cell r="H40" t="str">
            <v>Bak sampah 3R</v>
          </cell>
        </row>
        <row r="41">
          <cell r="H41" t="str">
            <v>Gerobak/Motor Sampah</v>
          </cell>
        </row>
        <row r="42">
          <cell r="H42" t="str">
            <v>Tempat Pembuangan Sampah Sementara (TPS) 3R</v>
          </cell>
        </row>
        <row r="43">
          <cell r="H43" t="str">
            <v>Bangunan Pengolahan Sampah/TPS 3R</v>
          </cell>
        </row>
        <row r="44">
          <cell r="H44" t="str">
            <v>Komposter Sampah/TPS 3R (Peralatan Pengolahan)</v>
          </cell>
        </row>
        <row r="45">
          <cell r="H45" t="str">
            <v>Tempat  Pengolahan  Sampah  Terpadu (TPST)</v>
          </cell>
        </row>
        <row r="46">
          <cell r="H46" t="str">
            <v>Mobil Sampah</v>
          </cell>
        </row>
        <row r="47">
          <cell r="H47" t="str">
            <v>Saringan Sampah</v>
          </cell>
        </row>
        <row r="48">
          <cell r="H48" t="str">
            <v>Sumur Gali</v>
          </cell>
        </row>
        <row r="49">
          <cell r="H49" t="str">
            <v>Sumur Pompa Tangan ( SPT )</v>
          </cell>
        </row>
        <row r="50">
          <cell r="H50" t="str">
            <v>Penampung Air Hujan ( PAH )</v>
          </cell>
        </row>
        <row r="51">
          <cell r="H51" t="str">
            <v>Hidran Umum ( HU )/Kran Umum (KU)</v>
          </cell>
        </row>
        <row r="52">
          <cell r="H52" t="str">
            <v>Perpipaan</v>
          </cell>
        </row>
        <row r="53">
          <cell r="H53" t="str">
            <v>Pelindung Mata Air ( PMA )</v>
          </cell>
        </row>
        <row r="54">
          <cell r="H54" t="str">
            <v>Penangkap Air Permukaan ( PAP ) (Broncaptering/bakpengumpul)</v>
          </cell>
        </row>
        <row r="55">
          <cell r="H55" t="str">
            <v>Sumur Bor</v>
          </cell>
        </row>
        <row r="56">
          <cell r="H56" t="str">
            <v>Sumur Bor Dalam (SBD) / Sumur Arteris</v>
          </cell>
        </row>
        <row r="57">
          <cell r="H57" t="str">
            <v>Instalasi Pengolahan Air Sederhana (IPAS)</v>
          </cell>
        </row>
        <row r="58">
          <cell r="H58" t="str">
            <v>Bak Pembagi</v>
          </cell>
        </row>
        <row r="59">
          <cell r="H59" t="str">
            <v>Sambungan Rumah</v>
          </cell>
        </row>
        <row r="60">
          <cell r="H60" t="str">
            <v>Penerangan Umum</v>
          </cell>
        </row>
        <row r="61">
          <cell r="H61" t="str">
            <v>Pembangkitan Listrik Disel/Generator</v>
          </cell>
        </row>
        <row r="62">
          <cell r="H62" t="str">
            <v>Jaringan Listrik (kabel instalasi, dll)</v>
          </cell>
        </row>
        <row r="63">
          <cell r="H63" t="str">
            <v>Pembangkit Listrik Mikro Hidro(PLTMH)</v>
          </cell>
        </row>
        <row r="64">
          <cell r="H64" t="str">
            <v>Perbaikan Gedung Sekolah</v>
          </cell>
        </row>
        <row r="65">
          <cell r="H65" t="str">
            <v>Penambahan Ruang Kelas</v>
          </cell>
        </row>
        <row r="66">
          <cell r="H66" t="str">
            <v>Pembangunan gedung sekolah/baru (PAUD, TK, SD, SLTP,SLTA dan setingkatnya)</v>
          </cell>
        </row>
        <row r="67">
          <cell r="H67" t="str">
            <v>Pembangunan Balai Latihan Kerja (BLK)</v>
          </cell>
        </row>
        <row r="68">
          <cell r="H68" t="str">
            <v>Sarana Penunjang pendidikan(meubelair,pagar,wc sekolah, sarana perpustakaan)</v>
          </cell>
        </row>
        <row r="69">
          <cell r="H69" t="str">
            <v>Saluran Irigasi</v>
          </cell>
        </row>
        <row r="70">
          <cell r="H70" t="str">
            <v>Waduk/Embung/Bendung sederhana</v>
          </cell>
        </row>
        <row r="71">
          <cell r="H71" t="str">
            <v>Pintu Air/Bangunan Pembagi</v>
          </cell>
        </row>
        <row r="72">
          <cell r="H72" t="str">
            <v>Bangunan Pengambil Bebas</v>
          </cell>
        </row>
        <row r="73">
          <cell r="H73" t="str">
            <v>Bangunan Posyandu</v>
          </cell>
        </row>
        <row r="74">
          <cell r="H74" t="str">
            <v>Bangunan Poliklinik Desa(Polindes/poskesdes/pustu/pos bersalin desa))</v>
          </cell>
        </row>
        <row r="75">
          <cell r="H75" t="str">
            <v>Sarana penunjang kesehatan (mebelair/alat medis/dll)</v>
          </cell>
        </row>
        <row r="76">
          <cell r="H76" t="str">
            <v>Los Pasar/pasar tradisionil</v>
          </cell>
        </row>
        <row r="77">
          <cell r="H77" t="str">
            <v>Kios Pasar</v>
          </cell>
        </row>
        <row r="78">
          <cell r="H78" t="str">
            <v>Tempat Pelelangan Ikan</v>
          </cell>
        </row>
        <row r="79">
          <cell r="H79" t="str">
            <v>Pasar Khusus (galeri/ruang pamer)</v>
          </cell>
        </row>
        <row r="80">
          <cell r="H80" t="str">
            <v>Sarana PKL</v>
          </cell>
        </row>
        <row r="81">
          <cell r="H81" t="str">
            <v>Saluran Pembuangan Limbah rumah tangga, industri, sarana komersial,sarana umum (Green Water)</v>
          </cell>
        </row>
        <row r="82">
          <cell r="H82" t="str">
            <v>Jaringan Perpipaan Pembuangan Air Limbah (Black Water)</v>
          </cell>
        </row>
        <row r="83">
          <cell r="H83" t="str">
            <v>Tambatan Perahu/Dermaga</v>
          </cell>
        </row>
        <row r="84">
          <cell r="H84" t="str">
            <v>Ruang Terbuka Hijau (Taman Lingkungan, Taman rekreasi/hiburan)</v>
          </cell>
        </row>
        <row r="85">
          <cell r="H85" t="str">
            <v>Jalur Hijau (penghijauan)/Median</v>
          </cell>
        </row>
        <row r="86">
          <cell r="H86" t="str">
            <v>Ruang Terbuka Non Hijau (RTNH) seperti prasarana olahraga, sarana bermain</v>
          </cell>
        </row>
        <row r="87">
          <cell r="H87" t="str">
            <v>Sarana penunjang taman/RTH (pagar gapura,bangku,papan info, prasasti, lampu taman, pot)</v>
          </cell>
        </row>
        <row r="88">
          <cell r="H88" t="str">
            <v>Balai Pertemuan Warga</v>
          </cell>
        </row>
        <row r="89">
          <cell r="H89" t="str">
            <v>Pembangunan Kandang komunal</v>
          </cell>
        </row>
        <row r="90">
          <cell r="H90" t="str">
            <v>Tempat Pengolahan Hasil Ternak</v>
          </cell>
        </row>
        <row r="91">
          <cell r="H91" t="str">
            <v>Pengolahan Limbah Ternak</v>
          </cell>
        </row>
        <row r="92">
          <cell r="H92" t="str">
            <v>Tambak Ikan/Kolam Ikan</v>
          </cell>
        </row>
        <row r="93">
          <cell r="H93" t="str">
            <v>Keramba Ikan</v>
          </cell>
        </row>
        <row r="94">
          <cell r="H94" t="str">
            <v>Tempat Pengolahan Ikan</v>
          </cell>
        </row>
        <row r="95">
          <cell r="H95" t="str">
            <v>Sentra Pembibitan/Budidaya tanaman/Horticultura</v>
          </cell>
        </row>
        <row r="96">
          <cell r="H96" t="str">
            <v>Penunjang pertanian/perkebunan</v>
          </cell>
        </row>
        <row r="97">
          <cell r="H97" t="str">
            <v>Penyediaan Pasokan Air (Kolam penampungan air, Sumur Dalam/Hidran)</v>
          </cell>
        </row>
        <row r="98">
          <cell r="H98" t="str">
            <v>Jaringan Perpipaan Proteksi Kebakaran</v>
          </cell>
        </row>
        <row r="99">
          <cell r="H99" t="str">
            <v>Motor pemadam kebakaran</v>
          </cell>
        </row>
        <row r="100">
          <cell r="H100" t="str">
            <v>Mobil pemadam kebakaran</v>
          </cell>
        </row>
        <row r="101">
          <cell r="H101" t="str">
            <v>Alat Pemadam Api Ringan (APAR)</v>
          </cell>
        </row>
      </sheetData>
      <sheetData sheetId="2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mus_UpPKP"/>
      <sheetName val="RekapLogbook"/>
      <sheetName val="Sheet3"/>
      <sheetName val="Sheet4"/>
      <sheetName val="Input Baseline"/>
      <sheetName val="NUMERIK"/>
      <sheetName val="Kekumuhan Awal_RT_PKP"/>
      <sheetName val="Kekumuhan awal_Kawasan_PKP"/>
      <sheetName val="Data Investasi"/>
      <sheetName val="Outcome"/>
      <sheetName val="Grafik Masalah_Kumuh Awal"/>
      <sheetName val="Kekumuhan Akhir_RT_PKP"/>
      <sheetName val="Kekumuhan Akhir_Kaw_PKP"/>
      <sheetName val="Grafik_Kumuh Akhir_PKP"/>
      <sheetName val="Spider Web"/>
      <sheetName val="Kesimpulan Capaian"/>
      <sheetName val="Peta Infrastruktur"/>
      <sheetName val="Peta Layanan"/>
      <sheetName val="Capaian RT"/>
      <sheetName val="{master}"/>
      <sheetName val="Nama Dusu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">
          <cell r="H4" t="str">
            <v>Jalan Tanah</v>
          </cell>
        </row>
        <row r="5">
          <cell r="H5" t="str">
            <v xml:space="preserve">Jalan Beton </v>
          </cell>
        </row>
        <row r="6">
          <cell r="H6" t="str">
            <v>Jalan Sirtu</v>
          </cell>
        </row>
        <row r="7">
          <cell r="H7" t="str">
            <v>Jalan Makadam</v>
          </cell>
        </row>
        <row r="8">
          <cell r="H8" t="str">
            <v>Jalan Telford</v>
          </cell>
        </row>
        <row r="9">
          <cell r="H9" t="str">
            <v>Tembok Penahan (Siring/Plengsengan/Bronjong)</v>
          </cell>
        </row>
        <row r="10">
          <cell r="H10" t="str">
            <v>Jalan Paving Block</v>
          </cell>
        </row>
        <row r="11">
          <cell r="H11" t="str">
            <v>Jalan Lapen (Lapisan Penetrasi)</v>
          </cell>
        </row>
        <row r="12">
          <cell r="H12" t="str">
            <v>Jalan Buras (Leburan Aspal)</v>
          </cell>
        </row>
        <row r="13">
          <cell r="H13" t="str">
            <v>Jalan Aspal Hotmix</v>
          </cell>
        </row>
        <row r="14">
          <cell r="H14" t="str">
            <v>Jalan Kayu/Titian/Jerambah Kayu</v>
          </cell>
        </row>
        <row r="15">
          <cell r="H15" t="str">
            <v>Pedestrian/Jalur Pejalan Kaki</v>
          </cell>
        </row>
        <row r="16">
          <cell r="H16" t="str">
            <v>Drainase Lingkungan</v>
          </cell>
        </row>
        <row r="17">
          <cell r="H17" t="str">
            <v>Sumur Resapan Air Hujan</v>
          </cell>
        </row>
        <row r="18">
          <cell r="H18" t="str">
            <v>Resapan Biopori</v>
          </cell>
        </row>
        <row r="19">
          <cell r="H19" t="str">
            <v>Penutup Saluran/Parit (Plat beton,dll)</v>
          </cell>
        </row>
        <row r="20">
          <cell r="H20" t="str">
            <v>Tanggul Pengendali Banjir</v>
          </cell>
        </row>
        <row r="21">
          <cell r="H21" t="str">
            <v>Kolam Resapan</v>
          </cell>
        </row>
        <row r="22">
          <cell r="H22" t="str">
            <v>Pintu Air</v>
          </cell>
        </row>
        <row r="23">
          <cell r="H23" t="str">
            <v>Pompa Air &amp; Rumah Pompa</v>
          </cell>
        </row>
        <row r="24">
          <cell r="H24" t="str">
            <v>Normalisasi Saluran</v>
          </cell>
        </row>
        <row r="25">
          <cell r="H25" t="str">
            <v>Jembatan Kayu</v>
          </cell>
        </row>
        <row r="26">
          <cell r="H26" t="str">
            <v>Jembatan Besi</v>
          </cell>
        </row>
        <row r="27">
          <cell r="H27" t="str">
            <v>Jembatan Beton/Batu/Box Culvert</v>
          </cell>
        </row>
        <row r="28">
          <cell r="H28" t="str">
            <v>Gorong-gorong</v>
          </cell>
        </row>
        <row r="29">
          <cell r="H29" t="str">
            <v>Jembatan Pelimpas</v>
          </cell>
        </row>
        <row r="30">
          <cell r="H30" t="str">
            <v>Jembatan Gantung</v>
          </cell>
        </row>
        <row r="31">
          <cell r="H31" t="str">
            <v>Jembatan Komposit</v>
          </cell>
        </row>
        <row r="32">
          <cell r="H32" t="str">
            <v>Rehab/perbaikan Rumah Tidak Layak Huni (Aladin)</v>
          </cell>
        </row>
        <row r="33">
          <cell r="H33" t="str">
            <v>Penataan Rumah Deret/Rumah Susun</v>
          </cell>
        </row>
        <row r="34">
          <cell r="H34" t="str">
            <v>MCK Mandi + Cuci + Kakus</v>
          </cell>
        </row>
        <row r="35">
          <cell r="H35" t="str">
            <v>Jamban (closet+bak air+septictank+resapan)</v>
          </cell>
        </row>
        <row r="36">
          <cell r="H36" t="str">
            <v>Sumur Resapan</v>
          </cell>
        </row>
        <row r="37">
          <cell r="H37" t="str">
            <v>Closet Leher Angsa</v>
          </cell>
        </row>
        <row r="38">
          <cell r="H38" t="str">
            <v>Septictank Komunal</v>
          </cell>
        </row>
        <row r="39">
          <cell r="H39" t="str">
            <v>Instalasi Pengolahan Air Limbah (IPAL) Setempat/Terpusat</v>
          </cell>
        </row>
        <row r="40">
          <cell r="H40" t="str">
            <v>Bak sampah 3R</v>
          </cell>
        </row>
        <row r="41">
          <cell r="H41" t="str">
            <v>Gerobak/Motor Sampah</v>
          </cell>
        </row>
        <row r="42">
          <cell r="H42" t="str">
            <v>Tempat Pembuangan Sampah Sementara (TPS) 3R</v>
          </cell>
        </row>
        <row r="43">
          <cell r="H43" t="str">
            <v>Bangunan Pengolahan Sampah/TPS 3R</v>
          </cell>
        </row>
        <row r="44">
          <cell r="H44" t="str">
            <v>Komposter Sampah/TPS 3R (Peralatan Pengolahan)</v>
          </cell>
        </row>
        <row r="45">
          <cell r="H45" t="str">
            <v>Tempat  Pengolahan  Sampah  Terpadu (TPST)</v>
          </cell>
        </row>
        <row r="46">
          <cell r="H46" t="str">
            <v>Mobil Sampah</v>
          </cell>
        </row>
        <row r="47">
          <cell r="H47" t="str">
            <v>Saringan Sampah</v>
          </cell>
        </row>
        <row r="48">
          <cell r="H48" t="str">
            <v>Sumur Gali</v>
          </cell>
        </row>
        <row r="49">
          <cell r="H49" t="str">
            <v>Sumur Pompa Tangan ( SPT )</v>
          </cell>
        </row>
        <row r="50">
          <cell r="H50" t="str">
            <v>Penampung Air Hujan ( PAH )</v>
          </cell>
        </row>
        <row r="51">
          <cell r="H51" t="str">
            <v>Hidran Umum ( HU )/Kran Umum (KU)</v>
          </cell>
        </row>
        <row r="52">
          <cell r="H52" t="str">
            <v>Perpipaan</v>
          </cell>
        </row>
        <row r="53">
          <cell r="H53" t="str">
            <v>Pelindung Mata Air ( PMA )</v>
          </cell>
        </row>
        <row r="54">
          <cell r="H54" t="str">
            <v>Penangkap Air Permukaan ( PAP ) (Broncaptering/bakpengumpul)</v>
          </cell>
        </row>
        <row r="55">
          <cell r="H55" t="str">
            <v>Sumur Bor</v>
          </cell>
        </row>
        <row r="56">
          <cell r="H56" t="str">
            <v>Sumur Bor Dalam (SBD) / Sumur Arteris</v>
          </cell>
        </row>
        <row r="57">
          <cell r="H57" t="str">
            <v>Instalasi Pengolahan Air Sederhana (IPAS)</v>
          </cell>
        </row>
        <row r="58">
          <cell r="H58" t="str">
            <v>Bak Pembagi</v>
          </cell>
        </row>
        <row r="59">
          <cell r="H59" t="str">
            <v>Sambungan Rumah</v>
          </cell>
        </row>
        <row r="60">
          <cell r="H60" t="str">
            <v>Penerangan Umum</v>
          </cell>
        </row>
        <row r="61">
          <cell r="H61" t="str">
            <v>Pembangkitan Listrik Disel/Generator</v>
          </cell>
        </row>
        <row r="62">
          <cell r="H62" t="str">
            <v>Jaringan Listrik (kabel instalasi, dll)</v>
          </cell>
        </row>
        <row r="63">
          <cell r="H63" t="str">
            <v>Pembangkit Listrik Mikro Hidro(PLTMH)</v>
          </cell>
        </row>
        <row r="64">
          <cell r="H64" t="str">
            <v>Perbaikan Gedung Sekolah</v>
          </cell>
        </row>
        <row r="65">
          <cell r="H65" t="str">
            <v>Penambahan Ruang Kelas</v>
          </cell>
        </row>
        <row r="66">
          <cell r="H66" t="str">
            <v>Pembangunan gedung sekolah/baru (PAUD, TK, SD, SLTP,SLTA dan setingkatnya)</v>
          </cell>
        </row>
        <row r="67">
          <cell r="H67" t="str">
            <v>Pembangunan Balai Latihan Kerja (BLK)</v>
          </cell>
        </row>
        <row r="68">
          <cell r="H68" t="str">
            <v>Sarana Penunjang pendidikan(meubelair,pagar,wc sekolah, sarana perpustakaan)</v>
          </cell>
        </row>
        <row r="69">
          <cell r="H69" t="str">
            <v>Saluran Irigasi</v>
          </cell>
        </row>
        <row r="70">
          <cell r="H70" t="str">
            <v>Waduk/Embung/Bendung sederhana</v>
          </cell>
        </row>
        <row r="71">
          <cell r="H71" t="str">
            <v>Pintu Air/Bangunan Pembagi</v>
          </cell>
        </row>
        <row r="72">
          <cell r="H72" t="str">
            <v>Bangunan Pengambil Bebas</v>
          </cell>
        </row>
        <row r="73">
          <cell r="H73" t="str">
            <v>Bangunan Posyandu</v>
          </cell>
        </row>
        <row r="74">
          <cell r="H74" t="str">
            <v>Bangunan Poliklinik Desa(Polindes/poskesdes/pustu/pos bersalin desa))</v>
          </cell>
        </row>
        <row r="75">
          <cell r="H75" t="str">
            <v>Sarana penunjang kesehatan (mebelair/alat medis/dll)</v>
          </cell>
        </row>
        <row r="76">
          <cell r="H76" t="str">
            <v>Los Pasar/pasar tradisionil</v>
          </cell>
        </row>
        <row r="77">
          <cell r="H77" t="str">
            <v>Kios Pasar</v>
          </cell>
        </row>
        <row r="78">
          <cell r="H78" t="str">
            <v>Tempat Pelelangan Ikan</v>
          </cell>
        </row>
        <row r="79">
          <cell r="H79" t="str">
            <v>Pasar Khusus (galeri/ruang pamer)</v>
          </cell>
        </row>
        <row r="80">
          <cell r="H80" t="str">
            <v>Sarana PKL</v>
          </cell>
        </row>
        <row r="81">
          <cell r="H81" t="str">
            <v>Saluran Pembuangan Limbah rumah tangga, industri, sarana komersial,sarana umum (Green Water)</v>
          </cell>
        </row>
        <row r="82">
          <cell r="H82" t="str">
            <v>Jaringan Perpipaan Pembuangan Air Limbah (Black Water)</v>
          </cell>
        </row>
        <row r="83">
          <cell r="H83" t="str">
            <v>Tambatan Perahu/Dermaga</v>
          </cell>
        </row>
        <row r="84">
          <cell r="H84" t="str">
            <v>Ruang Terbuka Hijau (Taman Lingkungan, Taman rekreasi/hiburan)</v>
          </cell>
        </row>
        <row r="85">
          <cell r="H85" t="str">
            <v>Jalur Hijau (penghijauan)/Median</v>
          </cell>
        </row>
        <row r="86">
          <cell r="H86" t="str">
            <v>Ruang Terbuka Non Hijau (RTNH) seperti prasarana olahraga, sarana bermain</v>
          </cell>
        </row>
        <row r="87">
          <cell r="H87" t="str">
            <v>Sarana penunjang taman/RTH (pagar gapura,bangku,papan info, prasasti, lampu taman, pot)</v>
          </cell>
        </row>
        <row r="88">
          <cell r="H88" t="str">
            <v>Balai Pertemuan Warga</v>
          </cell>
        </row>
        <row r="89">
          <cell r="H89" t="str">
            <v>Pembangunan Kandang komunal</v>
          </cell>
        </row>
        <row r="90">
          <cell r="H90" t="str">
            <v>Tempat Pengolahan Hasil Ternak</v>
          </cell>
        </row>
        <row r="91">
          <cell r="H91" t="str">
            <v>Pengolahan Limbah Ternak</v>
          </cell>
        </row>
        <row r="92">
          <cell r="H92" t="str">
            <v>Tambak Ikan/Kolam Ikan</v>
          </cell>
        </row>
        <row r="93">
          <cell r="H93" t="str">
            <v>Keramba Ikan</v>
          </cell>
        </row>
        <row r="94">
          <cell r="H94" t="str">
            <v>Tempat Pengolahan Ikan</v>
          </cell>
        </row>
        <row r="95">
          <cell r="H95" t="str">
            <v>Sentra Pembibitan/Budidaya tanaman/Horticultura</v>
          </cell>
        </row>
        <row r="96">
          <cell r="H96" t="str">
            <v>Penunjang pertanian/perkebunan</v>
          </cell>
        </row>
        <row r="97">
          <cell r="H97" t="str">
            <v>Penyediaan Pasokan Air (Kolam penampungan air, Sumur Dalam/Hidran)</v>
          </cell>
        </row>
        <row r="98">
          <cell r="H98" t="str">
            <v>Jaringan Perpipaan Proteksi Kebakaran</v>
          </cell>
        </row>
        <row r="99">
          <cell r="H99" t="str">
            <v>Motor pemadam kebakaran</v>
          </cell>
        </row>
        <row r="100">
          <cell r="H100" t="str">
            <v>Mobil pemadam kebakaran</v>
          </cell>
        </row>
        <row r="101">
          <cell r="H101" t="str">
            <v>Alat Pemadam Api Ringan (APAR)</v>
          </cell>
        </row>
      </sheetData>
      <sheetData sheetId="2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nta 2011"/>
      <sheetName val="Usulan Kegiatan_2011"/>
      <sheetName val="Rekap Total Usulan Keg_2011"/>
      <sheetName val="Rekap Usulan Keg_2011"/>
      <sheetName val="Dok Istisna'a_2011"/>
      <sheetName val="Dok Jeddah_2011"/>
      <sheetName val="Rekap Dok ICDD_2011"/>
      <sheetName val="Kode Kegiatan"/>
      <sheetName val="Parame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">
          <cell r="B3" t="str">
            <v>Jalan Tanah</v>
          </cell>
        </row>
        <row r="4">
          <cell r="B4" t="str">
            <v>Jalan Beton</v>
          </cell>
        </row>
        <row r="5">
          <cell r="B5" t="str">
            <v>Jalan Rabat Beton</v>
          </cell>
        </row>
        <row r="6">
          <cell r="B6" t="str">
            <v>Jalan Paving Block</v>
          </cell>
        </row>
        <row r="7">
          <cell r="B7" t="str">
            <v>Jalan Aspal Manual</v>
          </cell>
        </row>
        <row r="8">
          <cell r="B8" t="str">
            <v>Jalan Hotmix</v>
          </cell>
        </row>
        <row r="9">
          <cell r="B9" t="str">
            <v>Jalan Sirtu</v>
          </cell>
        </row>
        <row r="10">
          <cell r="B10" t="str">
            <v>Jalan Makadam</v>
          </cell>
        </row>
        <row r="11">
          <cell r="B11" t="str">
            <v>Jalan Telford</v>
          </cell>
        </row>
        <row r="12">
          <cell r="B12" t="str">
            <v>Tembok Penahan Tanah (TPT)</v>
          </cell>
        </row>
        <row r="13">
          <cell r="B13" t="str">
            <v>Tembok Penahan Jalan (Plengsengan)</v>
          </cell>
        </row>
        <row r="14">
          <cell r="B14" t="str">
            <v>Talud/Siring</v>
          </cell>
        </row>
        <row r="16">
          <cell r="B16" t="str">
            <v>Saluran air hujan Terbuka (Batu Kali, Pas. Bata, Buis Beton)</v>
          </cell>
        </row>
        <row r="17">
          <cell r="B17" t="str">
            <v>Saluran Air hujan Tertutup (Buis Beton, Pipa PVC)</v>
          </cell>
        </row>
        <row r="19">
          <cell r="B19" t="str">
            <v>Jembatan Kayu</v>
          </cell>
        </row>
        <row r="20">
          <cell r="B20" t="str">
            <v>Jembatan Besi</v>
          </cell>
        </row>
        <row r="21">
          <cell r="B21" t="str">
            <v>Jembatan Beton / Batu</v>
          </cell>
        </row>
        <row r="22">
          <cell r="B22" t="str">
            <v>Gorong-gorong</v>
          </cell>
        </row>
        <row r="23">
          <cell r="B23" t="str">
            <v>Plat Duiker</v>
          </cell>
        </row>
        <row r="25">
          <cell r="B25" t="str">
            <v>Perbaikan Rumah Tidak Layak Huni</v>
          </cell>
        </row>
        <row r="27">
          <cell r="B27" t="str">
            <v>MCK ( Mandi + Cuci + Kakus )</v>
          </cell>
        </row>
        <row r="28">
          <cell r="B28" t="str">
            <v>Jamban Keluarga</v>
          </cell>
        </row>
        <row r="29">
          <cell r="B29" t="str">
            <v>Jamban Umum</v>
          </cell>
        </row>
        <row r="30">
          <cell r="B30" t="str">
            <v>Septictank Komunal</v>
          </cell>
        </row>
        <row r="32">
          <cell r="B32" t="str">
            <v>Bak sampah Keluarga</v>
          </cell>
        </row>
        <row r="33">
          <cell r="B33" t="str">
            <v>Gerobak Sampah</v>
          </cell>
        </row>
        <row r="34">
          <cell r="B34" t="str">
            <v>Tempat Pembuangan Sampah Sementara (TPS)</v>
          </cell>
        </row>
        <row r="36">
          <cell r="B36" t="str">
            <v>Sumur Gali (Kerek)</v>
          </cell>
        </row>
        <row r="37">
          <cell r="B37" t="str">
            <v>Sumur Pompa Tangan ( SPT )</v>
          </cell>
        </row>
        <row r="38">
          <cell r="B38" t="str">
            <v>Penampung Air Hujan ( PAH )</v>
          </cell>
        </row>
        <row r="39">
          <cell r="B39" t="str">
            <v>Hidran Umum ( HU )</v>
          </cell>
        </row>
        <row r="40">
          <cell r="B40" t="str">
            <v>Hidran Kebakaran</v>
          </cell>
        </row>
        <row r="41">
          <cell r="B41" t="str">
            <v xml:space="preserve">Sumur Bor </v>
          </cell>
        </row>
        <row r="42">
          <cell r="B42" t="str">
            <v>Sumur Artesis</v>
          </cell>
        </row>
        <row r="43">
          <cell r="B43" t="str">
            <v>PAM</v>
          </cell>
        </row>
        <row r="44">
          <cell r="B44" t="str">
            <v>Perpipaan</v>
          </cell>
        </row>
        <row r="45">
          <cell r="B45" t="str">
            <v>Pelindung Mata Air ( PMA )</v>
          </cell>
        </row>
        <row r="46">
          <cell r="B46" t="str">
            <v>Penangkap Air Permukaan (PAP)</v>
          </cell>
        </row>
        <row r="48">
          <cell r="B48" t="str">
            <v>Penerangan Jalan Umum (PJU)</v>
          </cell>
        </row>
        <row r="49">
          <cell r="B49" t="str">
            <v>Pembangkit listrik Mikro Hidro (PLTMH)</v>
          </cell>
        </row>
        <row r="50">
          <cell r="B50" t="str">
            <v>Pembangkit Listrik Disel/Generator</v>
          </cell>
        </row>
        <row r="51">
          <cell r="B51" t="str">
            <v>Jaringan Kabel Listrik</v>
          </cell>
        </row>
        <row r="53">
          <cell r="B53" t="str">
            <v>Bangunan Pendidikan Anak Usia Dini (PAUD)</v>
          </cell>
        </row>
        <row r="54">
          <cell r="B54" t="str">
            <v>Perbaikan Gedung Sekolah</v>
          </cell>
        </row>
        <row r="55">
          <cell r="B55" t="str">
            <v>Penambahan Ruang (Kelas/Guru/Lab / Perpustakaan)</v>
          </cell>
        </row>
        <row r="57">
          <cell r="B57" t="str">
            <v>Saluran irigasi</v>
          </cell>
        </row>
        <row r="58">
          <cell r="B58" t="str">
            <v>Pintu Air</v>
          </cell>
        </row>
        <row r="59">
          <cell r="B59" t="str">
            <v>Waduk / Embung</v>
          </cell>
        </row>
        <row r="61">
          <cell r="B61" t="str">
            <v>Bangunan Posyandu</v>
          </cell>
        </row>
        <row r="63">
          <cell r="B63" t="str">
            <v>Kios</v>
          </cell>
        </row>
        <row r="64">
          <cell r="B64" t="str">
            <v>Los Pasar</v>
          </cell>
        </row>
        <row r="65">
          <cell r="B65" t="str">
            <v>Tempat Pelelangan Ikan (TPI)</v>
          </cell>
        </row>
        <row r="67">
          <cell r="B67" t="str">
            <v>Saluran Pembuangan Limbah</v>
          </cell>
        </row>
        <row r="69">
          <cell r="B69" t="str">
            <v>Tambatan Perahu</v>
          </cell>
        </row>
        <row r="71">
          <cell r="B71" t="str">
            <v>Plat Penutup Saluran</v>
          </cell>
        </row>
        <row r="72">
          <cell r="B72" t="str">
            <v>Pagar Pengaman Jalan/Kali (Railing)</v>
          </cell>
        </row>
        <row r="74">
          <cell r="B74" t="str">
            <v>Sumur Resapan Air Hujan</v>
          </cell>
        </row>
        <row r="75">
          <cell r="B75" t="str">
            <v>Resapan Biopori</v>
          </cell>
        </row>
        <row r="76">
          <cell r="B76" t="str">
            <v>Bak Kontrol Saluran</v>
          </cell>
        </row>
        <row r="78">
          <cell r="B78" t="str">
            <v>Pemberian uang tunai</v>
          </cell>
        </row>
        <row r="79">
          <cell r="B79" t="str">
            <v>Sembako murah (nilai subsidinya)</v>
          </cell>
        </row>
        <row r="80">
          <cell r="B80" t="str">
            <v>Pelatihan Bidang Pertanian</v>
          </cell>
        </row>
        <row r="81">
          <cell r="B81" t="str">
            <v>Pelatihan Bidang Peternakan</v>
          </cell>
        </row>
        <row r="82">
          <cell r="B82" t="str">
            <v>Pelatihan Bidang Pertukangan</v>
          </cell>
        </row>
        <row r="83">
          <cell r="B83" t="str">
            <v>Pelatihan Bidang Pendidikan</v>
          </cell>
        </row>
        <row r="84">
          <cell r="B84" t="str">
            <v>Pelatihan Bidang Kesehatan</v>
          </cell>
        </row>
        <row r="85">
          <cell r="B85" t="str">
            <v>Pelatihan Bidang Keselamatan</v>
          </cell>
        </row>
        <row r="86">
          <cell r="B86" t="str">
            <v>Pelatihan Ketrampilan</v>
          </cell>
        </row>
        <row r="87">
          <cell r="B87" t="str">
            <v>Beasiswa</v>
          </cell>
        </row>
        <row r="88">
          <cell r="B88" t="str">
            <v>Imunisasi</v>
          </cell>
        </row>
        <row r="89">
          <cell r="B89" t="str">
            <v>Periksa Kehamilan</v>
          </cell>
        </row>
        <row r="90">
          <cell r="B90" t="str">
            <v>Perbaikan gizi</v>
          </cell>
        </row>
        <row r="91">
          <cell r="B91" t="str">
            <v>Lain - lain Sosial</v>
          </cell>
        </row>
        <row r="93">
          <cell r="B93" t="str">
            <v>Industri Rumah Tangga</v>
          </cell>
        </row>
        <row r="94">
          <cell r="B94" t="str">
            <v>Perdagangan</v>
          </cell>
        </row>
        <row r="95">
          <cell r="B95" t="str">
            <v>Peningkatan SDM</v>
          </cell>
        </row>
        <row r="96">
          <cell r="B96" t="str">
            <v>Lain - lain Ekonomi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nta 2011"/>
      <sheetName val="Usulan Kegiatan_2011"/>
      <sheetName val="Rekap Total Usulan Keg_2011"/>
      <sheetName val="Rekap Usulan Keg_2011"/>
      <sheetName val="Dok Istisna'a_2011"/>
      <sheetName val="Dok Jeddah_2011"/>
      <sheetName val="Rekap Dok ICDD_2011"/>
      <sheetName val="Kode Kegiatan"/>
      <sheetName val="Parame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">
          <cell r="B3" t="str">
            <v>Jalan Tanah</v>
          </cell>
        </row>
        <row r="4">
          <cell r="B4" t="str">
            <v>Jalan Beton</v>
          </cell>
        </row>
        <row r="5">
          <cell r="B5" t="str">
            <v>Jalan Rabat Beton</v>
          </cell>
        </row>
        <row r="6">
          <cell r="B6" t="str">
            <v>Jalan Paving Block</v>
          </cell>
        </row>
        <row r="7">
          <cell r="B7" t="str">
            <v>Jalan Aspal Manual</v>
          </cell>
        </row>
        <row r="8">
          <cell r="B8" t="str">
            <v>Jalan Hotmix</v>
          </cell>
        </row>
        <row r="9">
          <cell r="B9" t="str">
            <v>Jalan Sirtu</v>
          </cell>
        </row>
        <row r="10">
          <cell r="B10" t="str">
            <v>Jalan Makadam</v>
          </cell>
        </row>
        <row r="11">
          <cell r="B11" t="str">
            <v>Jalan Telford</v>
          </cell>
        </row>
        <row r="12">
          <cell r="B12" t="str">
            <v>Tembok Penahan Tanah (TPT)</v>
          </cell>
        </row>
        <row r="13">
          <cell r="B13" t="str">
            <v>Tembok Penahan Jalan (Plengsengan)</v>
          </cell>
        </row>
        <row r="14">
          <cell r="B14" t="str">
            <v>Talud/Siring</v>
          </cell>
        </row>
        <row r="16">
          <cell r="B16" t="str">
            <v>Saluran air hujan Terbuka (Batu Kali, Pas. Bata, Buis Beton)</v>
          </cell>
        </row>
        <row r="17">
          <cell r="B17" t="str">
            <v>Saluran Air hujan Tertutup (Buis Beton, Pipa PVC)</v>
          </cell>
        </row>
        <row r="19">
          <cell r="B19" t="str">
            <v>Jembatan Kayu</v>
          </cell>
        </row>
        <row r="20">
          <cell r="B20" t="str">
            <v>Jembatan Besi</v>
          </cell>
        </row>
        <row r="21">
          <cell r="B21" t="str">
            <v>Jembatan Beton / Batu</v>
          </cell>
        </row>
        <row r="22">
          <cell r="B22" t="str">
            <v>Gorong-gorong</v>
          </cell>
        </row>
        <row r="23">
          <cell r="B23" t="str">
            <v>Plat Duiker</v>
          </cell>
        </row>
        <row r="25">
          <cell r="B25" t="str">
            <v>Perbaikan Rumah Tidak Layak Huni</v>
          </cell>
        </row>
        <row r="27">
          <cell r="B27" t="str">
            <v>MCK ( Mandi + Cuci + Kakus )</v>
          </cell>
        </row>
        <row r="28">
          <cell r="B28" t="str">
            <v>Jamban Keluarga</v>
          </cell>
        </row>
        <row r="29">
          <cell r="B29" t="str">
            <v>Jamban Umum</v>
          </cell>
        </row>
        <row r="30">
          <cell r="B30" t="str">
            <v>Septictank Komunal</v>
          </cell>
        </row>
        <row r="32">
          <cell r="B32" t="str">
            <v>Bak sampah Keluarga</v>
          </cell>
        </row>
        <row r="33">
          <cell r="B33" t="str">
            <v>Gerobak Sampah</v>
          </cell>
        </row>
        <row r="34">
          <cell r="B34" t="str">
            <v>Tempat Pembuangan Sampah Sementara (TPS)</v>
          </cell>
        </row>
        <row r="36">
          <cell r="B36" t="str">
            <v>Sumur Gali (Kerek)</v>
          </cell>
        </row>
        <row r="37">
          <cell r="B37" t="str">
            <v>Sumur Pompa Tangan ( SPT )</v>
          </cell>
        </row>
        <row r="38">
          <cell r="B38" t="str">
            <v>Penampung Air Hujan ( PAH )</v>
          </cell>
        </row>
        <row r="39">
          <cell r="B39" t="str">
            <v>Hidran Umum ( HU )</v>
          </cell>
        </row>
        <row r="40">
          <cell r="B40" t="str">
            <v>Hidran Kebakaran</v>
          </cell>
        </row>
        <row r="41">
          <cell r="B41" t="str">
            <v xml:space="preserve">Sumur Bor </v>
          </cell>
        </row>
        <row r="42">
          <cell r="B42" t="str">
            <v>Sumur Artesis</v>
          </cell>
        </row>
        <row r="43">
          <cell r="B43" t="str">
            <v>PAM</v>
          </cell>
        </row>
        <row r="44">
          <cell r="B44" t="str">
            <v>Perpipaan</v>
          </cell>
        </row>
        <row r="45">
          <cell r="B45" t="str">
            <v>Pelindung Mata Air ( PMA )</v>
          </cell>
        </row>
        <row r="46">
          <cell r="B46" t="str">
            <v>Penangkap Air Permukaan (PAP)</v>
          </cell>
        </row>
        <row r="48">
          <cell r="B48" t="str">
            <v>Penerangan Jalan Umum (PJU)</v>
          </cell>
        </row>
        <row r="49">
          <cell r="B49" t="str">
            <v>Pembangkit listrik Mikro Hidro (PLTMH)</v>
          </cell>
        </row>
        <row r="50">
          <cell r="B50" t="str">
            <v>Pembangkit Listrik Disel/Generator</v>
          </cell>
        </row>
        <row r="51">
          <cell r="B51" t="str">
            <v>Jaringan Kabel Listrik</v>
          </cell>
        </row>
        <row r="53">
          <cell r="B53" t="str">
            <v>Bangunan Pendidikan Anak Usia Dini (PAUD)</v>
          </cell>
        </row>
        <row r="54">
          <cell r="B54" t="str">
            <v>Perbaikan Gedung Sekolah</v>
          </cell>
        </row>
        <row r="55">
          <cell r="B55" t="str">
            <v>Penambahan Ruang (Kelas/Guru/Lab / Perpustakaan)</v>
          </cell>
        </row>
        <row r="57">
          <cell r="B57" t="str">
            <v>Saluran irigasi</v>
          </cell>
        </row>
        <row r="58">
          <cell r="B58" t="str">
            <v>Pintu Air</v>
          </cell>
        </row>
        <row r="59">
          <cell r="B59" t="str">
            <v>Waduk / Embung</v>
          </cell>
        </row>
        <row r="61">
          <cell r="B61" t="str">
            <v>Bangunan Posyandu</v>
          </cell>
        </row>
        <row r="63">
          <cell r="B63" t="str">
            <v>Kios</v>
          </cell>
        </row>
        <row r="64">
          <cell r="B64" t="str">
            <v>Los Pasar</v>
          </cell>
        </row>
        <row r="65">
          <cell r="B65" t="str">
            <v>Tempat Pelelangan Ikan (TPI)</v>
          </cell>
        </row>
        <row r="67">
          <cell r="B67" t="str">
            <v>Saluran Pembuangan Limbah</v>
          </cell>
        </row>
        <row r="69">
          <cell r="B69" t="str">
            <v>Tambatan Perahu</v>
          </cell>
        </row>
        <row r="71">
          <cell r="B71" t="str">
            <v>Plat Penutup Saluran</v>
          </cell>
        </row>
        <row r="72">
          <cell r="B72" t="str">
            <v>Pagar Pengaman Jalan/Kali (Railing)</v>
          </cell>
        </row>
        <row r="74">
          <cell r="B74" t="str">
            <v>Sumur Resapan Air Hujan</v>
          </cell>
        </row>
        <row r="75">
          <cell r="B75" t="str">
            <v>Resapan Biopori</v>
          </cell>
        </row>
        <row r="76">
          <cell r="B76" t="str">
            <v>Bak Kontrol Saluran</v>
          </cell>
        </row>
        <row r="78">
          <cell r="B78" t="str">
            <v>Pemberian uang tunai</v>
          </cell>
        </row>
        <row r="79">
          <cell r="B79" t="str">
            <v>Sembako murah (nilai subsidinya)</v>
          </cell>
        </row>
        <row r="80">
          <cell r="B80" t="str">
            <v>Pelatihan Bidang Pertanian</v>
          </cell>
        </row>
        <row r="81">
          <cell r="B81" t="str">
            <v>Pelatihan Bidang Peternakan</v>
          </cell>
        </row>
        <row r="82">
          <cell r="B82" t="str">
            <v>Pelatihan Bidang Pertukangan</v>
          </cell>
        </row>
        <row r="83">
          <cell r="B83" t="str">
            <v>Pelatihan Bidang Pendidikan</v>
          </cell>
        </row>
        <row r="84">
          <cell r="B84" t="str">
            <v>Pelatihan Bidang Kesehatan</v>
          </cell>
        </row>
        <row r="85">
          <cell r="B85" t="str">
            <v>Pelatihan Bidang Keselamatan</v>
          </cell>
        </row>
        <row r="86">
          <cell r="B86" t="str">
            <v>Pelatihan Ketrampilan</v>
          </cell>
        </row>
        <row r="87">
          <cell r="B87" t="str">
            <v>Beasiswa</v>
          </cell>
        </row>
        <row r="88">
          <cell r="B88" t="str">
            <v>Imunisasi</v>
          </cell>
        </row>
        <row r="89">
          <cell r="B89" t="str">
            <v>Periksa Kehamilan</v>
          </cell>
        </row>
        <row r="90">
          <cell r="B90" t="str">
            <v>Perbaikan gizi</v>
          </cell>
        </row>
        <row r="91">
          <cell r="B91" t="str">
            <v>Lain - lain Sosial</v>
          </cell>
        </row>
        <row r="93">
          <cell r="B93" t="str">
            <v>Industri Rumah Tangga</v>
          </cell>
        </row>
        <row r="94">
          <cell r="B94" t="str">
            <v>Perdagangan</v>
          </cell>
        </row>
        <row r="95">
          <cell r="B95" t="str">
            <v>Peningkatan SDM</v>
          </cell>
        </row>
        <row r="96">
          <cell r="B96" t="str">
            <v>Lain - lain Ekonomi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st"/>
      <sheetName val="Ctt"/>
      <sheetName val="Kel"/>
      <sheetName val="CairBKM"/>
      <sheetName val="KSM"/>
      <sheetName val="Proposal"/>
      <sheetName val="RPD"/>
      <sheetName val="LPJ"/>
      <sheetName val="LPJ-infra"/>
      <sheetName val="RkpLkp"/>
      <sheetName val="info"/>
      <sheetName val="sejarah"/>
      <sheetName val="WR"/>
      <sheetName val="print"/>
      <sheetName val="Glosarry"/>
      <sheetName val="INDIKASI"/>
      <sheetName val="IAI"/>
      <sheetName val="PELMAS"/>
    </sheetNames>
    <sheetDataSet>
      <sheetData sheetId="0" refreshError="1"/>
      <sheetData sheetId="1" refreshError="1"/>
      <sheetData sheetId="2">
        <row r="1">
          <cell r="F1">
            <v>1204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st"/>
      <sheetName val="Ctt"/>
      <sheetName val="Kel"/>
      <sheetName val="CairBKM"/>
      <sheetName val="KSM"/>
      <sheetName val="Proposal"/>
      <sheetName val="RPD"/>
      <sheetName val="LPJ"/>
      <sheetName val="LPJ-infra"/>
      <sheetName val="RkpLkp"/>
      <sheetName val="info"/>
      <sheetName val="sejarah"/>
      <sheetName val="WR"/>
      <sheetName val="print"/>
      <sheetName val="Glosarry"/>
      <sheetName val="INDIKASI"/>
      <sheetName val="IAI"/>
      <sheetName val="PELMAS"/>
    </sheetNames>
    <sheetDataSet>
      <sheetData sheetId="0" refreshError="1"/>
      <sheetData sheetId="1" refreshError="1"/>
      <sheetData sheetId="2">
        <row r="1">
          <cell r="F1">
            <v>1204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GiatMak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GiatMak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umus_UpPKP"/>
      <sheetName val="RekapLogbook"/>
      <sheetName val="Input Baseline"/>
      <sheetName val="NUMERIK"/>
      <sheetName val="Kekumuhan Awal_RT_PKP"/>
      <sheetName val="Kekumuhan awal_Kawasan_PKP"/>
      <sheetName val="Grafik Masalah_Kumuh Awal"/>
      <sheetName val="Data Investasi"/>
      <sheetName val="Outcome"/>
      <sheetName val="Kekumuhan Akhir_RT_PKP"/>
      <sheetName val="Kekumuhan Akhir_Kaw_PKP"/>
      <sheetName val="Grafik_Kumuh Akhir_PKP"/>
      <sheetName val="Spider Web"/>
      <sheetName val="Kesimpulan Capaian"/>
      <sheetName val="Kode Kelurahan"/>
      <sheetName val="Peta Infrastruktur"/>
      <sheetName val="Peta Layanan"/>
      <sheetName val="Sheet1"/>
      <sheetName val="REKAP DESA"/>
    </sheetNames>
    <sheetDataSet>
      <sheetData sheetId="0"/>
      <sheetData sheetId="1"/>
      <sheetData sheetId="2"/>
      <sheetData sheetId="3">
        <row r="6">
          <cell r="E6" t="str">
            <v>SELOSARI</v>
          </cell>
          <cell r="K6">
            <v>43.8</v>
          </cell>
        </row>
        <row r="8">
          <cell r="K8">
            <v>43.8</v>
          </cell>
        </row>
        <row r="10">
          <cell r="E10" t="str">
            <v>MAGETAN</v>
          </cell>
          <cell r="K10">
            <v>414</v>
          </cell>
        </row>
        <row r="12">
          <cell r="E12" t="str">
            <v>KAB. MAGETAN</v>
          </cell>
          <cell r="K12">
            <v>1552</v>
          </cell>
        </row>
        <row r="14">
          <cell r="E14" t="str">
            <v>JAWA TIMUR</v>
          </cell>
          <cell r="K14">
            <v>491</v>
          </cell>
        </row>
        <row r="18">
          <cell r="K18">
            <v>147</v>
          </cell>
        </row>
        <row r="20">
          <cell r="K20">
            <v>0</v>
          </cell>
        </row>
        <row r="22">
          <cell r="K22">
            <v>136</v>
          </cell>
        </row>
        <row r="25">
          <cell r="K25">
            <v>5320</v>
          </cell>
        </row>
        <row r="26">
          <cell r="K26">
            <v>5320</v>
          </cell>
        </row>
        <row r="28">
          <cell r="K28">
            <v>1814</v>
          </cell>
        </row>
        <row r="31">
          <cell r="K31">
            <v>0</v>
          </cell>
        </row>
        <row r="33">
          <cell r="K33">
            <v>2</v>
          </cell>
        </row>
        <row r="36">
          <cell r="K36">
            <v>0</v>
          </cell>
        </row>
        <row r="38">
          <cell r="K38">
            <v>2910</v>
          </cell>
        </row>
        <row r="40">
          <cell r="K40">
            <v>2910</v>
          </cell>
        </row>
        <row r="42">
          <cell r="K42">
            <v>0</v>
          </cell>
        </row>
        <row r="45">
          <cell r="K45">
            <v>2910</v>
          </cell>
        </row>
        <row r="48">
          <cell r="K48">
            <v>800</v>
          </cell>
        </row>
        <row r="51">
          <cell r="K51">
            <v>6</v>
          </cell>
        </row>
        <row r="53">
          <cell r="K53">
            <v>14</v>
          </cell>
        </row>
        <row r="56">
          <cell r="K56">
            <v>78</v>
          </cell>
        </row>
        <row r="59">
          <cell r="K59">
            <v>296</v>
          </cell>
        </row>
        <row r="61">
          <cell r="K61">
            <v>78</v>
          </cell>
        </row>
        <row r="64">
          <cell r="K64">
            <v>356</v>
          </cell>
        </row>
        <row r="66">
          <cell r="K66">
            <v>414</v>
          </cell>
        </row>
      </sheetData>
      <sheetData sheetId="4"/>
      <sheetData sheetId="5"/>
      <sheetData sheetId="6"/>
      <sheetData sheetId="7"/>
      <sheetData sheetId="8">
        <row r="6">
          <cell r="M6">
            <v>0</v>
          </cell>
          <cell r="Q6" t="str">
            <v xml:space="preserve">, , , , , , , , , , , , , , , , , , , , , , , , , , , , , , , , , , , , , , , , , , , , </v>
          </cell>
        </row>
        <row r="51">
          <cell r="M51">
            <v>0</v>
          </cell>
          <cell r="Q51" t="str">
            <v xml:space="preserve">, , , , , , , , , , , , , , , , , , , </v>
          </cell>
        </row>
        <row r="71">
          <cell r="M71">
            <v>18</v>
          </cell>
          <cell r="Q71" t="str">
            <v xml:space="preserve">Bangunan Gedung RT002-RW006, Bangunan Gedung RT002-RW004, Bangunan Gedung RT002-RW006, Bangunan Gedung RT003-RW002, Bangunan Gedung RT001-RW005, Bangunan Gedung RT004-RW005, , , , , , , , , , , , , , , , , , , , , , , , , , , , , , , , , , , , , , , </v>
          </cell>
        </row>
        <row r="116">
          <cell r="M116">
            <v>0</v>
          </cell>
          <cell r="Q116" t="str">
            <v xml:space="preserve">, , , , , , , , , , , , , , , , , , , </v>
          </cell>
        </row>
        <row r="136">
          <cell r="M136">
            <v>400</v>
          </cell>
          <cell r="Q136" t="str">
            <v xml:space="preserve">Jln.buras (Leburan Aspal) RT004-RW002, Jln.buras (Leburan Aspal) RT001-RW003, , , , , , , , , , , , , , , , , , , , , , , , , , , , , , , , , , , , , , , , , , , </v>
          </cell>
        </row>
        <row r="181">
          <cell r="Q181" t="str">
            <v xml:space="preserve">, , , , , , , , , , , , , , , , , , , </v>
          </cell>
        </row>
        <row r="182">
          <cell r="Q182">
            <v>0</v>
          </cell>
        </row>
        <row r="201">
          <cell r="Q201" t="str">
            <v xml:space="preserve">, , , , , , , , , , , , , , , , , , , , , , , , , , , , , , , , , , , , , , , , , , , , </v>
          </cell>
        </row>
        <row r="202">
          <cell r="Q202">
            <v>0</v>
          </cell>
        </row>
        <row r="246">
          <cell r="M246">
            <v>0</v>
          </cell>
          <cell r="Q246" t="str">
            <v xml:space="preserve">, , , , , , , , , , , , , , , , , , , </v>
          </cell>
        </row>
        <row r="266">
          <cell r="M266">
            <v>0</v>
          </cell>
          <cell r="Q266" t="str">
            <v xml:space="preserve">, , , , , , , , , , , , , , , , , , , , , , , , , , , , , , , , , , , , , , , , , , , , </v>
          </cell>
        </row>
        <row r="311">
          <cell r="M311">
            <v>0</v>
          </cell>
          <cell r="Q311" t="str">
            <v xml:space="preserve">, , , , , , , , , , , , , , , , , , , </v>
          </cell>
        </row>
        <row r="331">
          <cell r="M331">
            <v>0</v>
          </cell>
          <cell r="Q331" t="str">
            <v xml:space="preserve">, , , , , , , , , , , , , , , , , , , </v>
          </cell>
        </row>
        <row r="351">
          <cell r="M351">
            <v>0</v>
          </cell>
          <cell r="Q351" t="str">
            <v xml:space="preserve">, , , , , , , , , , , , , , , , , , , , , , , , , , , , , , , , , , , , , , , , , , , , </v>
          </cell>
        </row>
        <row r="396">
          <cell r="Q396" t="str">
            <v xml:space="preserve">, , , , , , , , , , , , , , , , , , , , , , , , , , , , , , , , , , , , , , , , , , , , </v>
          </cell>
        </row>
        <row r="397">
          <cell r="Q397">
            <v>0</v>
          </cell>
        </row>
        <row r="441">
          <cell r="Q441" t="str">
            <v xml:space="preserve">, , , , , , , , , , , , , , , , , , , , , , , , , , , , , , , , , , , , , , , , , , , , , , , , , , , , , , </v>
          </cell>
        </row>
        <row r="442">
          <cell r="Q442">
            <v>0</v>
          </cell>
        </row>
        <row r="496">
          <cell r="Q496" t="str">
            <v xml:space="preserve">Pengolaan sampah RT001-RW005, , , , , , , , , , , , , , , , , , , , , , , , , , , , , , , , , , , , , , , , , , , , </v>
          </cell>
        </row>
        <row r="497">
          <cell r="Q497">
            <v>0</v>
          </cell>
        </row>
        <row r="541">
          <cell r="Q541" t="str">
            <v xml:space="preserve">, , , , , , , , , , , , , , , , , , , , , , , , , , , , , , , , , , , , , , , , , , , , </v>
          </cell>
        </row>
        <row r="542">
          <cell r="Q542">
            <v>0</v>
          </cell>
        </row>
        <row r="586">
          <cell r="Q586" t="str">
            <v xml:space="preserve">, , , , , , , , , , , , , , , , , , , , , , , , , , , , , , , , , , , , , , , , , , , , </v>
          </cell>
        </row>
        <row r="587">
          <cell r="Q587">
            <v>0</v>
          </cell>
        </row>
        <row r="631">
          <cell r="Q631" t="str">
            <v xml:space="preserve">, , , , , , , , , , , , , , , , , , , </v>
          </cell>
        </row>
        <row r="632">
          <cell r="Q632">
            <v>0</v>
          </cell>
        </row>
        <row r="651">
          <cell r="Q651" t="str">
            <v xml:space="preserve">, , , , , , , , , , , , , , , , , , , </v>
          </cell>
        </row>
        <row r="652">
          <cell r="Q652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umus_UpPKP"/>
      <sheetName val="RekapLogbook"/>
      <sheetName val="Input Baseline"/>
      <sheetName val="NUMERIK"/>
      <sheetName val="Kekumuhan Awal_RT_PKP"/>
      <sheetName val="Kekumuhan awal_Kawasan_PKP"/>
      <sheetName val="Grafik Masalah_Kumuh Awal"/>
      <sheetName val="Data Investasi"/>
      <sheetName val="Outcome"/>
      <sheetName val="Kekumuhan Akhir_RT_PKP"/>
      <sheetName val="Kekumuhan Akhir_Kaw_PKP"/>
      <sheetName val="Grafik_Kumuh Akhir_PKP"/>
      <sheetName val="Spider Web"/>
      <sheetName val="Kesimpulan Capaian"/>
      <sheetName val="Kode Kelurahan"/>
      <sheetName val="Peta Infrastruktur"/>
      <sheetName val="Peta Layanan"/>
      <sheetName val="Sheet1"/>
      <sheetName val="REKAP DESA"/>
    </sheetNames>
    <sheetDataSet>
      <sheetData sheetId="0"/>
      <sheetData sheetId="1"/>
      <sheetData sheetId="2"/>
      <sheetData sheetId="3">
        <row r="6">
          <cell r="E6" t="str">
            <v>RINGINAGUNG</v>
          </cell>
          <cell r="K6">
            <v>12.01</v>
          </cell>
        </row>
        <row r="8">
          <cell r="K8">
            <v>12.01</v>
          </cell>
        </row>
        <row r="10">
          <cell r="E10" t="str">
            <v>MAGETAN</v>
          </cell>
          <cell r="K10">
            <v>735</v>
          </cell>
        </row>
        <row r="12">
          <cell r="E12" t="str">
            <v>KAB. MAGETAN</v>
          </cell>
          <cell r="K12">
            <v>2882</v>
          </cell>
        </row>
        <row r="14">
          <cell r="E14" t="str">
            <v>JAWA TIMUR</v>
          </cell>
          <cell r="K14">
            <v>883</v>
          </cell>
        </row>
        <row r="18">
          <cell r="K18">
            <v>319</v>
          </cell>
        </row>
        <row r="20">
          <cell r="K20">
            <v>0</v>
          </cell>
        </row>
        <row r="22">
          <cell r="K22">
            <v>199</v>
          </cell>
        </row>
        <row r="25">
          <cell r="K25">
            <v>12873</v>
          </cell>
        </row>
        <row r="26">
          <cell r="K26">
            <v>11843</v>
          </cell>
        </row>
        <row r="28">
          <cell r="K28">
            <v>4859</v>
          </cell>
        </row>
        <row r="31">
          <cell r="K31">
            <v>2</v>
          </cell>
        </row>
        <row r="33">
          <cell r="K33">
            <v>59</v>
          </cell>
        </row>
        <row r="36">
          <cell r="K36">
            <v>0</v>
          </cell>
        </row>
        <row r="38">
          <cell r="K38">
            <v>10520</v>
          </cell>
        </row>
        <row r="40">
          <cell r="K40">
            <v>7730</v>
          </cell>
        </row>
        <row r="42">
          <cell r="K42">
            <v>700</v>
          </cell>
        </row>
        <row r="45">
          <cell r="K45">
            <v>9930</v>
          </cell>
        </row>
        <row r="48">
          <cell r="K48">
            <v>5065</v>
          </cell>
        </row>
        <row r="51">
          <cell r="K51">
            <v>16</v>
          </cell>
        </row>
        <row r="53">
          <cell r="K53">
            <v>24</v>
          </cell>
        </row>
        <row r="56">
          <cell r="K56">
            <v>704</v>
          </cell>
        </row>
        <row r="59">
          <cell r="K59">
            <v>840</v>
          </cell>
        </row>
        <row r="61">
          <cell r="K61">
            <v>806</v>
          </cell>
        </row>
        <row r="64">
          <cell r="K64">
            <v>0</v>
          </cell>
        </row>
        <row r="66">
          <cell r="K66">
            <v>735</v>
          </cell>
        </row>
      </sheetData>
      <sheetData sheetId="4"/>
      <sheetData sheetId="5"/>
      <sheetData sheetId="6"/>
      <sheetData sheetId="7"/>
      <sheetData sheetId="8">
        <row r="6">
          <cell r="M6">
            <v>0</v>
          </cell>
          <cell r="Q6" t="str">
            <v xml:space="preserve">, , , , , , , , , , , , , , , , , , , , , , , , , , , , , , , , , , , , , , , , , , , , </v>
          </cell>
        </row>
        <row r="51">
          <cell r="M51">
            <v>0</v>
          </cell>
          <cell r="Q51" t="str">
            <v xml:space="preserve">, , , , , , , , , , , , , , , , , , , </v>
          </cell>
        </row>
        <row r="71">
          <cell r="M71">
            <v>31</v>
          </cell>
          <cell r="Q71" t="str">
            <v xml:space="preserve">Bangunan Gedung RT002-RW004  , Bangunan Gedung RT001-RW004  , Bangunan Gedung RT001-RW002  , Bangunan Gedung RT002-RW002  , Bangunan Gedung RT003-RW002  , Bangunan Gedung RT004-RW002  , Bangunan Gedung RT002-RW003  , Bangunan Gedung RT001-RW002, Bangunan Gedung RT001-RW005  , Bangunan Gedung RT002-RW005  , Bangunan Gedung RT001-RW001  , Bangunan Gedung RT003-RW001  , Bangunan Gedung RT002-RW001  , Bangunan Gedung RT002-RW003  , Bangunan Gedung RT004-RW003  , Bangunan Gedung RT001-RW003  , Rehab/perbaikan Rumah Tidak Layak Huni (Aladin) RT002-RW001, , , , , , , , , , , , , , , , , , , , , , , , , , , , </v>
          </cell>
        </row>
        <row r="116">
          <cell r="M116">
            <v>105</v>
          </cell>
          <cell r="Q116" t="str">
            <v xml:space="preserve">Jalan Buras (Leburan Aspal) RT003-RW002, , , , , , , , , , , , , , , , , , , </v>
          </cell>
        </row>
        <row r="136">
          <cell r="M136">
            <v>1076</v>
          </cell>
          <cell r="Q136" t="str">
            <v xml:space="preserve">Jalan Lingkungan RT004-RW002, Jalan Lingkungan RT003-RW002, Jalan Lingkungan RT004-RW002, Jalan Lingkungan RT001-RW002, Jalan Buras (Leburan Aspal) RT002-RW001, Jalan Buras (Leburan Aspal) RT003-RW002, , , , , , , , , , , , , , , , , , , , , , , , , , , , , , , , , , , , , , , </v>
          </cell>
        </row>
        <row r="181">
          <cell r="Q181" t="str">
            <v xml:space="preserve">, , , , , , , , , , , , , , , , , , , </v>
          </cell>
        </row>
        <row r="182">
          <cell r="Q182">
            <v>0</v>
          </cell>
        </row>
        <row r="201">
          <cell r="Q201" t="str">
            <v xml:space="preserve">, , , , , , , , , , , , , , , , , , , , , , , , , , , , , , , , , , , , , , , , , , , , </v>
          </cell>
        </row>
        <row r="202">
          <cell r="Q202">
            <v>0</v>
          </cell>
        </row>
        <row r="246">
          <cell r="M246">
            <v>0</v>
          </cell>
          <cell r="Q246" t="str">
            <v xml:space="preserve">, , , , , , , , , , , , , , , , , , , </v>
          </cell>
        </row>
        <row r="266">
          <cell r="M266">
            <v>0</v>
          </cell>
          <cell r="Q266" t="str">
            <v xml:space="preserve">, , , , , , , , , , , , , , , , , , , , , , , , , , , , , , , , , , , , , , , , , , , , </v>
          </cell>
        </row>
        <row r="311">
          <cell r="M311">
            <v>0</v>
          </cell>
          <cell r="Q311" t="str">
            <v xml:space="preserve">, , , , , , , , , , , , , , , , , , , </v>
          </cell>
        </row>
        <row r="331">
          <cell r="M331">
            <v>0</v>
          </cell>
          <cell r="Q331" t="str">
            <v xml:space="preserve">, , , , , , , , , , , , , , , , , , , </v>
          </cell>
        </row>
        <row r="351">
          <cell r="M351">
            <v>581</v>
          </cell>
          <cell r="Q351" t="str">
            <v xml:space="preserve">Drainase Lingkungan RT003-RW002  , , , , , , , , , , , , , , , , , , , , , , , , , , , , , , , , , , , , , , , , , , , , </v>
          </cell>
        </row>
        <row r="396">
          <cell r="Q396" t="str">
            <v xml:space="preserve">, , , , , , , , , , , , , , , , , , , , , , , , , , , , , , , , , , , , , , , , , , , , </v>
          </cell>
        </row>
        <row r="397">
          <cell r="Q397">
            <v>0</v>
          </cell>
        </row>
        <row r="441">
          <cell r="Q441" t="str">
            <v xml:space="preserve">MCK Mandi + Cuci + Kakus RT004-RW002, , , , , , , , , , , , , , , , , , , , , , , , , , , , , , , , , , , , , , , , , , , , , , , , , , , , , , </v>
          </cell>
        </row>
        <row r="442">
          <cell r="Q442">
            <v>0</v>
          </cell>
        </row>
        <row r="496">
          <cell r="Q496" t="str">
            <v xml:space="preserve">, , , , , , , , , , , , , , , , , , , , , , , , , , , , , , , , , , , , , , , , , , , , </v>
          </cell>
        </row>
        <row r="497">
          <cell r="Q497">
            <v>0</v>
          </cell>
        </row>
        <row r="541">
          <cell r="Q541" t="str">
            <v xml:space="preserve">, , , , , , , , , , , , , , , , , , , , , , , , , , , , , , , , , , , , , , , , , , , , </v>
          </cell>
        </row>
        <row r="542">
          <cell r="Q542">
            <v>0</v>
          </cell>
        </row>
        <row r="586">
          <cell r="Q586" t="str">
            <v xml:space="preserve">, , , , , , , , , , , , , , , , , , , , , , , , , , , , , , , , , , , , , , , , , , , , </v>
          </cell>
        </row>
        <row r="587">
          <cell r="Q587">
            <v>0</v>
          </cell>
        </row>
        <row r="631">
          <cell r="Q631" t="str">
            <v xml:space="preserve">, , , , , , , , , , , , , , , , , , , </v>
          </cell>
        </row>
        <row r="632">
          <cell r="Q632">
            <v>0</v>
          </cell>
        </row>
        <row r="651">
          <cell r="Q651" t="str">
            <v xml:space="preserve">, , , , , , , , , , , , , , , , , , , </v>
          </cell>
        </row>
        <row r="652">
          <cell r="Q652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umus_UpPKP"/>
      <sheetName val="RekapLogbook"/>
      <sheetName val="Input Baseline"/>
      <sheetName val="NUMERIK"/>
      <sheetName val="Kekumuhan Awal_RT_PKP"/>
      <sheetName val="Kekumuhan awal_Kawasan_PKP"/>
      <sheetName val="Grafik Masalah_Kumuh Awal"/>
      <sheetName val="Data Investasi"/>
      <sheetName val="Outcome"/>
      <sheetName val="Kekumuhan Akhir_RT_PKP"/>
      <sheetName val="Kekumuhan Akhir_Kaw_PKP"/>
      <sheetName val="Grafik_Kumuh Akhir_PKP"/>
      <sheetName val="Spider Web"/>
      <sheetName val="Kesimpulan Capaian"/>
      <sheetName val="Kode Kelurahan"/>
      <sheetName val="Peta Infrastruktur"/>
      <sheetName val="Peta Layanan"/>
      <sheetName val="Sheet1"/>
      <sheetName val="REKAP DESA"/>
    </sheetNames>
    <sheetDataSet>
      <sheetData sheetId="0"/>
      <sheetData sheetId="1"/>
      <sheetData sheetId="2"/>
      <sheetData sheetId="3">
        <row r="6">
          <cell r="E6" t="str">
            <v>MAGETAN</v>
          </cell>
          <cell r="K6">
            <v>24.9</v>
          </cell>
        </row>
        <row r="8">
          <cell r="K8">
            <v>24.9</v>
          </cell>
        </row>
        <row r="10">
          <cell r="E10" t="str">
            <v>MAGETAN</v>
          </cell>
          <cell r="K10">
            <v>477</v>
          </cell>
        </row>
        <row r="12">
          <cell r="E12" t="str">
            <v>KAB. MAGETAN</v>
          </cell>
          <cell r="K12">
            <v>1752</v>
          </cell>
        </row>
        <row r="14">
          <cell r="E14" t="str">
            <v>JAWA TIMUR</v>
          </cell>
          <cell r="K14">
            <v>571</v>
          </cell>
        </row>
        <row r="18">
          <cell r="K18">
            <v>163</v>
          </cell>
        </row>
        <row r="20">
          <cell r="K20">
            <v>0</v>
          </cell>
        </row>
        <row r="22">
          <cell r="K22">
            <v>65</v>
          </cell>
        </row>
        <row r="25">
          <cell r="K25">
            <v>6179</v>
          </cell>
        </row>
        <row r="26">
          <cell r="K26">
            <v>5259</v>
          </cell>
        </row>
        <row r="28">
          <cell r="K28">
            <v>884</v>
          </cell>
        </row>
        <row r="31">
          <cell r="K31">
            <v>0</v>
          </cell>
        </row>
        <row r="33">
          <cell r="K33">
            <v>4</v>
          </cell>
        </row>
        <row r="36">
          <cell r="K36">
            <v>0</v>
          </cell>
        </row>
        <row r="38">
          <cell r="K38">
            <v>9966</v>
          </cell>
        </row>
        <row r="40">
          <cell r="K40">
            <v>7986</v>
          </cell>
        </row>
        <row r="42">
          <cell r="K42">
            <v>0</v>
          </cell>
        </row>
        <row r="45">
          <cell r="K45">
            <v>9966</v>
          </cell>
        </row>
        <row r="48">
          <cell r="K48">
            <v>2792</v>
          </cell>
        </row>
        <row r="51">
          <cell r="K51">
            <v>10</v>
          </cell>
        </row>
        <row r="53">
          <cell r="K53">
            <v>14</v>
          </cell>
        </row>
        <row r="56">
          <cell r="K56">
            <v>571</v>
          </cell>
        </row>
        <row r="59">
          <cell r="K59">
            <v>45</v>
          </cell>
        </row>
        <row r="61">
          <cell r="K61">
            <v>571</v>
          </cell>
        </row>
        <row r="64">
          <cell r="K64">
            <v>0</v>
          </cell>
        </row>
        <row r="66">
          <cell r="K66">
            <v>477</v>
          </cell>
        </row>
      </sheetData>
      <sheetData sheetId="4"/>
      <sheetData sheetId="5"/>
      <sheetData sheetId="6"/>
      <sheetData sheetId="7"/>
      <sheetData sheetId="8">
        <row r="6">
          <cell r="M6">
            <v>0</v>
          </cell>
          <cell r="Q6" t="str">
            <v xml:space="preserve">, , , , , , , , , , , , , , , , , , , , , , , , , , , , , , , , , , , , , , , , , , , , </v>
          </cell>
        </row>
        <row r="51">
          <cell r="M51">
            <v>0</v>
          </cell>
          <cell r="Q51" t="str">
            <v xml:space="preserve">, , , , , , , , , , , , , , , , , , , </v>
          </cell>
        </row>
        <row r="71">
          <cell r="M71">
            <v>19</v>
          </cell>
          <cell r="Q71" t="str">
            <v xml:space="preserve">Bangunan Gedung RT004-RW001, Bangunan Gedung RT004-RW004, Bangunan Gedung RT004-RW001, Bangunan Gedung RT008-RW001, Bangunan Gedung RT002-RW002, , , , , , , , , , , , , , , , , , , , , , , , , , , , , , , , , , , , , , , , </v>
          </cell>
        </row>
        <row r="116">
          <cell r="M116">
            <v>0</v>
          </cell>
          <cell r="Q116" t="str">
            <v xml:space="preserve">, , , , , , , , , , , , , , , , , , , </v>
          </cell>
        </row>
        <row r="136">
          <cell r="M136">
            <v>221</v>
          </cell>
          <cell r="Q136" t="str">
            <v xml:space="preserve">Jalan Paving Block RT007-RW001, Jalan Paving Block RT002-RW002, Jalan Lingkungan RT001-RW001, , , , , , , , , , , , , , , , , , , , , , , , , , , , , , , , , , , , , , , , , , </v>
          </cell>
        </row>
        <row r="181">
          <cell r="Q181" t="str">
            <v xml:space="preserve">, , , , , , , , , , , , , , , , , , , </v>
          </cell>
        </row>
        <row r="182">
          <cell r="Q182">
            <v>0</v>
          </cell>
        </row>
        <row r="201">
          <cell r="Q201" t="str">
            <v xml:space="preserve">, , , , , , , , , , , , , , , , , , , , , , , , , , , , , , , , , , , , , , , , , , , , </v>
          </cell>
        </row>
        <row r="202">
          <cell r="Q202">
            <v>0</v>
          </cell>
        </row>
        <row r="246">
          <cell r="M246">
            <v>0</v>
          </cell>
          <cell r="Q246" t="str">
            <v xml:space="preserve">, , , , , , , , , , , , , , , , , , , </v>
          </cell>
        </row>
        <row r="266">
          <cell r="M266">
            <v>0</v>
          </cell>
          <cell r="Q266" t="str">
            <v xml:space="preserve">, , , , , , , , , , , , , , , , , , , , , , , , , , , , , , , , , , , , , , , , , , , , </v>
          </cell>
        </row>
        <row r="311">
          <cell r="M311">
            <v>0</v>
          </cell>
          <cell r="Q311" t="str">
            <v xml:space="preserve">, , , , , , , , , , , , , , , , , , , </v>
          </cell>
        </row>
        <row r="331">
          <cell r="M331">
            <v>0</v>
          </cell>
          <cell r="Q331" t="str">
            <v xml:space="preserve">, , , , , , , , , , , , , , , , , , , </v>
          </cell>
        </row>
        <row r="351">
          <cell r="M351">
            <v>0</v>
          </cell>
          <cell r="Q351" t="str">
            <v xml:space="preserve">, , , , , , , , , , , , , , , , , , , , , , , , , , , , , , , , , , , , , , , , , , , , </v>
          </cell>
        </row>
        <row r="396">
          <cell r="Q396" t="str">
            <v xml:space="preserve">, , , , , , , , , , , , , , , , , , , , , , , , , , , , , , , , , , , , , , , , , , , , </v>
          </cell>
        </row>
        <row r="397">
          <cell r="Q397">
            <v>0</v>
          </cell>
        </row>
        <row r="441">
          <cell r="Q441" t="str">
            <v xml:space="preserve">, , , , , , , , , , , , , , , , , , , , , , , , , , , , , , , , , , , , , , , , , , , , , , , , , , , , , , </v>
          </cell>
        </row>
        <row r="442">
          <cell r="Q442">
            <v>0</v>
          </cell>
        </row>
        <row r="496">
          <cell r="Q496" t="str">
            <v xml:space="preserve">, , , , , , , , , , , , , , , , , , , , , , , , , , , , , , , , , , , , , , , , , , , , </v>
          </cell>
        </row>
        <row r="497">
          <cell r="Q497">
            <v>0</v>
          </cell>
        </row>
        <row r="541">
          <cell r="Q541" t="str">
            <v xml:space="preserve">, , , , , , , , , , , , , , , , , , , , , , , , , , , , , , , , , , , , , , , , , , , , </v>
          </cell>
        </row>
        <row r="542">
          <cell r="Q542">
            <v>0</v>
          </cell>
        </row>
        <row r="586">
          <cell r="Q586" t="str">
            <v xml:space="preserve">, , , , , , , , , , , , , , , , , , , , , , , , , , , , , , , , , , , , , , , , , , , , </v>
          </cell>
        </row>
        <row r="587">
          <cell r="Q587">
            <v>0</v>
          </cell>
        </row>
        <row r="631">
          <cell r="Q631" t="str">
            <v xml:space="preserve">, , , , , , , , , , , , , , , , , , , </v>
          </cell>
        </row>
        <row r="632">
          <cell r="Q632">
            <v>0</v>
          </cell>
        </row>
        <row r="651">
          <cell r="Q651" t="str">
            <v xml:space="preserve">, , , , , , , , , , , , , , , , , , , </v>
          </cell>
        </row>
        <row r="652">
          <cell r="Q652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umus_UpPKP"/>
      <sheetName val="RekapLogbook"/>
      <sheetName val="Input Baseline"/>
      <sheetName val="NUMERIK"/>
      <sheetName val="Kekumuhan Awal_RT_PKP"/>
      <sheetName val="Kekumuhan awal_Kawasan_PKP"/>
      <sheetName val="Grafik Masalah_Kumuh Awal"/>
      <sheetName val="Data Investasi"/>
      <sheetName val="Outcome"/>
      <sheetName val="Kekumuhan Akhir_RT_PKP"/>
      <sheetName val="Kekumuhan Akhir_Kaw_PKP"/>
      <sheetName val="Grafik_Kumuh Akhir_PKP"/>
      <sheetName val="Spider Web"/>
      <sheetName val="Kesimpulan Capaian"/>
      <sheetName val="Kode Kelurahan"/>
      <sheetName val="Peta Infrastruktur"/>
      <sheetName val="Peta Layanan"/>
      <sheetName val="Sheet1"/>
      <sheetName val="REKAP DESA"/>
    </sheetNames>
    <sheetDataSet>
      <sheetData sheetId="0"/>
      <sheetData sheetId="1"/>
      <sheetData sheetId="2"/>
      <sheetData sheetId="3">
        <row r="6">
          <cell r="E6" t="str">
            <v>CANDIREJO</v>
          </cell>
          <cell r="K6">
            <v>15.610000000000001</v>
          </cell>
        </row>
        <row r="8">
          <cell r="K8">
            <v>15.610000000000001</v>
          </cell>
        </row>
        <row r="10">
          <cell r="E10" t="str">
            <v>MAGETAN</v>
          </cell>
          <cell r="K10">
            <v>571</v>
          </cell>
        </row>
        <row r="12">
          <cell r="E12" t="str">
            <v>KAB. MAGETAN</v>
          </cell>
          <cell r="K12">
            <v>2167</v>
          </cell>
        </row>
        <row r="14">
          <cell r="E14" t="str">
            <v>JAWA TIMUR</v>
          </cell>
          <cell r="K14">
            <v>679</v>
          </cell>
        </row>
        <row r="18">
          <cell r="K18">
            <v>401</v>
          </cell>
        </row>
        <row r="20">
          <cell r="K20">
            <v>0</v>
          </cell>
        </row>
        <row r="22">
          <cell r="K22">
            <v>79</v>
          </cell>
        </row>
        <row r="25">
          <cell r="K25">
            <v>17200</v>
          </cell>
        </row>
        <row r="26">
          <cell r="K26">
            <v>15852</v>
          </cell>
        </row>
        <row r="28">
          <cell r="K28">
            <v>7370</v>
          </cell>
        </row>
        <row r="31">
          <cell r="K31">
            <v>4</v>
          </cell>
        </row>
        <row r="33">
          <cell r="K33">
            <v>7</v>
          </cell>
        </row>
        <row r="36">
          <cell r="K36">
            <v>0</v>
          </cell>
        </row>
        <row r="38">
          <cell r="K38">
            <v>7302</v>
          </cell>
        </row>
        <row r="40">
          <cell r="K40">
            <v>5347</v>
          </cell>
        </row>
        <row r="42">
          <cell r="K42">
            <v>0</v>
          </cell>
        </row>
        <row r="45">
          <cell r="K45">
            <v>7152</v>
          </cell>
        </row>
        <row r="48">
          <cell r="K48">
            <v>4435</v>
          </cell>
        </row>
        <row r="51">
          <cell r="K51">
            <v>36</v>
          </cell>
        </row>
        <row r="53">
          <cell r="K53">
            <v>45</v>
          </cell>
        </row>
        <row r="56">
          <cell r="K56">
            <v>679</v>
          </cell>
        </row>
        <row r="59">
          <cell r="K59">
            <v>568</v>
          </cell>
        </row>
        <row r="61">
          <cell r="K61">
            <v>679</v>
          </cell>
        </row>
        <row r="64">
          <cell r="K64">
            <v>68</v>
          </cell>
        </row>
        <row r="66">
          <cell r="K66">
            <v>571</v>
          </cell>
        </row>
      </sheetData>
      <sheetData sheetId="4"/>
      <sheetData sheetId="5"/>
      <sheetData sheetId="6"/>
      <sheetData sheetId="7"/>
      <sheetData sheetId="8">
        <row r="6">
          <cell r="M6">
            <v>0</v>
          </cell>
          <cell r="Q6" t="str">
            <v xml:space="preserve">, , , , , , , , , , , , , , , , , , , , , , , , , , , , , , , , , , , , , , , , , , , , </v>
          </cell>
        </row>
        <row r="51">
          <cell r="M51">
            <v>0</v>
          </cell>
          <cell r="Q51" t="str">
            <v xml:space="preserve">, , , , , , , , , , , , , , , , , , , </v>
          </cell>
        </row>
        <row r="71">
          <cell r="M71">
            <v>9</v>
          </cell>
          <cell r="Q71" t="str">
            <v xml:space="preserve">BangunanGedung RT004-RW004, BangunanGedung RT001-RW003, BangunanGedung RT003-RW001, BangunanGedung RT002-RW003, BangunanGedung RT003-RW003, BangunanGedung RT005-RW002, BangunanGedung RT003-RW004, , , , , , , , , , , , , , , , , , , , , , , , , , , , , , , , , , , , , , </v>
          </cell>
        </row>
        <row r="116">
          <cell r="M116">
            <v>0</v>
          </cell>
          <cell r="Q116" t="str">
            <v xml:space="preserve">, , , , , , , , , , , , , , , , , , , </v>
          </cell>
        </row>
        <row r="136">
          <cell r="M136">
            <v>925</v>
          </cell>
          <cell r="Q136" t="str">
            <v xml:space="preserve">Jalan Lingkungan RT005-RW001, Jalan Lingkungan RT002-RW002, Jalan Lingkungan RT002-RW003, Jalan Lingkungan RT003-RW004, , , , , , , , , , , , , , , , , , , , , , , , , , , , , , , , , , , , , , , , , </v>
          </cell>
        </row>
        <row r="181">
          <cell r="Q181" t="str">
            <v xml:space="preserve">, , , , , , , , , , , , , , , , , , , </v>
          </cell>
        </row>
        <row r="182">
          <cell r="Q182">
            <v>0</v>
          </cell>
        </row>
        <row r="201">
          <cell r="Q201" t="str">
            <v xml:space="preserve">, , , , , , , , , , , , , , , , , , , , , , , , , , , , , , , , , , , , , , , , , , , , </v>
          </cell>
        </row>
        <row r="202">
          <cell r="Q202">
            <v>0</v>
          </cell>
        </row>
        <row r="246">
          <cell r="M246">
            <v>17</v>
          </cell>
          <cell r="Q246" t="str">
            <v xml:space="preserve">Drainase Lingkungan RT003-RW004, , , , , , , , , , , , , , , , , , , </v>
          </cell>
        </row>
        <row r="266">
          <cell r="M266">
            <v>0</v>
          </cell>
          <cell r="Q266" t="str">
            <v xml:space="preserve">, , , , , , , , , , , , , , , , , , , , , , , , , , , , , , , , , , , , , , , , , , , , </v>
          </cell>
        </row>
        <row r="311">
          <cell r="M311">
            <v>0</v>
          </cell>
          <cell r="Q311" t="str">
            <v xml:space="preserve">, , , , , , , , , , , , , , , , , , , </v>
          </cell>
        </row>
        <row r="331">
          <cell r="M331">
            <v>0</v>
          </cell>
          <cell r="Q331" t="str">
            <v xml:space="preserve">, , , , , , , , , , , , , , , , , , , </v>
          </cell>
        </row>
        <row r="351">
          <cell r="M351">
            <v>0</v>
          </cell>
          <cell r="Q351" t="str">
            <v xml:space="preserve">, , , , , , , , , , , , , , , , , , , , , , , , , , , , , , , , , , , , , , , , , , , , </v>
          </cell>
        </row>
        <row r="396">
          <cell r="Q396" t="str">
            <v xml:space="preserve">, , , , , , , , , , , , , , , , , , , , , , , , , , , , , , , , , , , , , , , , , , , , </v>
          </cell>
        </row>
        <row r="397">
          <cell r="Q397">
            <v>0</v>
          </cell>
        </row>
        <row r="441">
          <cell r="Q441" t="str">
            <v xml:space="preserve">, , , , , , , , , , , , , , , , , , , , , , , , , , , , , , , , , , , , , , , , , , , , , , , , , , , , , , </v>
          </cell>
        </row>
        <row r="442">
          <cell r="Q442">
            <v>0</v>
          </cell>
        </row>
        <row r="496">
          <cell r="Q496" t="str">
            <v xml:space="preserve">, , , , , , , , , , , , , , , , , , , , , , , , , , , , , , , , , , , , , , , , , , , , </v>
          </cell>
        </row>
        <row r="497">
          <cell r="Q497">
            <v>0</v>
          </cell>
        </row>
        <row r="541">
          <cell r="Q541" t="str">
            <v xml:space="preserve">, , , , , , , , , , , , , , , , , , , , , , , , , , , , , , , , , , , , , , , , , , , , </v>
          </cell>
        </row>
        <row r="542">
          <cell r="Q542">
            <v>0</v>
          </cell>
        </row>
        <row r="586">
          <cell r="Q586" t="str">
            <v xml:space="preserve">, , , , , , , , , , , , , , , , , , , , , , , , , , , , , , , , , , , , , , , , , , , , </v>
          </cell>
        </row>
        <row r="587">
          <cell r="Q587">
            <v>0</v>
          </cell>
        </row>
        <row r="631">
          <cell r="Q631" t="str">
            <v xml:space="preserve">, , , , , , , , , , , , , , , , , , , </v>
          </cell>
        </row>
        <row r="632">
          <cell r="Q632">
            <v>0</v>
          </cell>
        </row>
        <row r="651">
          <cell r="Q651" t="str">
            <v xml:space="preserve">, , , , , , , , , , , , , , , , , , , </v>
          </cell>
        </row>
        <row r="652">
          <cell r="Q652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umus_UpPKP"/>
      <sheetName val="RekapLogbook"/>
      <sheetName val="Input Baseline"/>
      <sheetName val="NUMERIK"/>
      <sheetName val="Kekumuhan Awal_RT_PKP"/>
      <sheetName val="Kekumuhan awal_Kawasan_PKP"/>
      <sheetName val="Grafik Masalah_Kumuh Awal"/>
      <sheetName val="Data Investasi"/>
      <sheetName val="Outcome"/>
      <sheetName val="Kekumuhan Akhir_RT_PKP"/>
      <sheetName val="Kekumuhan Akhir_Kaw_PKP"/>
      <sheetName val="Grafik_Kumuh Akhir_PKP"/>
      <sheetName val="Spider Web"/>
      <sheetName val="Kesimpulan Capaian"/>
      <sheetName val="Kode Kelurahan"/>
      <sheetName val="Peta Infrastruktur"/>
      <sheetName val="Peta Layanan"/>
      <sheetName val="Sheet1"/>
      <sheetName val="REKAP DESA"/>
    </sheetNames>
    <sheetDataSet>
      <sheetData sheetId="0"/>
      <sheetData sheetId="1"/>
      <sheetData sheetId="2"/>
      <sheetData sheetId="3">
        <row r="6">
          <cell r="E6" t="e">
            <v>#REF!</v>
          </cell>
          <cell r="K6">
            <v>8.9000000000000021</v>
          </cell>
        </row>
        <row r="8">
          <cell r="K8">
            <v>8.9000000000000021</v>
          </cell>
        </row>
        <row r="10">
          <cell r="E10" t="e">
            <v>#REF!</v>
          </cell>
          <cell r="K10">
            <v>195</v>
          </cell>
        </row>
        <row r="12">
          <cell r="E12" t="e">
            <v>#REF!</v>
          </cell>
          <cell r="K12">
            <v>741</v>
          </cell>
        </row>
        <row r="14">
          <cell r="E14" t="e">
            <v>#REF!</v>
          </cell>
          <cell r="K14">
            <v>240</v>
          </cell>
        </row>
        <row r="18">
          <cell r="K18">
            <v>195</v>
          </cell>
        </row>
        <row r="20">
          <cell r="K20">
            <v>0</v>
          </cell>
        </row>
        <row r="22">
          <cell r="K22">
            <v>31</v>
          </cell>
        </row>
        <row r="25">
          <cell r="K25">
            <v>3033</v>
          </cell>
        </row>
        <row r="26">
          <cell r="K26">
            <v>3033</v>
          </cell>
        </row>
        <row r="28">
          <cell r="K28">
            <v>1644</v>
          </cell>
        </row>
        <row r="31">
          <cell r="K31">
            <v>1</v>
          </cell>
        </row>
        <row r="33">
          <cell r="K33">
            <v>9</v>
          </cell>
        </row>
        <row r="36">
          <cell r="K36">
            <v>0</v>
          </cell>
        </row>
        <row r="38">
          <cell r="K38">
            <v>3742</v>
          </cell>
        </row>
        <row r="40">
          <cell r="K40">
            <v>3441</v>
          </cell>
        </row>
        <row r="42">
          <cell r="K42">
            <v>151</v>
          </cell>
        </row>
        <row r="45">
          <cell r="K45">
            <v>3091</v>
          </cell>
        </row>
        <row r="48">
          <cell r="K48">
            <v>1799</v>
          </cell>
        </row>
        <row r="51">
          <cell r="K51">
            <v>6</v>
          </cell>
        </row>
        <row r="53">
          <cell r="K53">
            <v>3</v>
          </cell>
        </row>
        <row r="56">
          <cell r="K56">
            <v>19</v>
          </cell>
        </row>
        <row r="59">
          <cell r="K59">
            <v>29</v>
          </cell>
        </row>
        <row r="61">
          <cell r="K61">
            <v>206</v>
          </cell>
        </row>
        <row r="64">
          <cell r="K64">
            <v>0</v>
          </cell>
        </row>
        <row r="66">
          <cell r="K66">
            <v>195</v>
          </cell>
        </row>
      </sheetData>
      <sheetData sheetId="4"/>
      <sheetData sheetId="5"/>
      <sheetData sheetId="6"/>
      <sheetData sheetId="7"/>
      <sheetData sheetId="8">
        <row r="6">
          <cell r="M6">
            <v>0</v>
          </cell>
          <cell r="Q6" t="str">
            <v xml:space="preserve">, , , , , , , , , , , , , , , , , , , , , , , , , , , , , , , , , , , , , , , , , , , , </v>
          </cell>
        </row>
        <row r="51">
          <cell r="M51">
            <v>0</v>
          </cell>
          <cell r="Q51" t="str">
            <v xml:space="preserve">, , , , , , , , , , , , , , , , , , , </v>
          </cell>
        </row>
        <row r="71">
          <cell r="M71">
            <v>13</v>
          </cell>
          <cell r="Q71" t="str">
            <v xml:space="preserve">Bangunan Gedung RT003-RW002, Bangunan Gedung RT004-RW001, Bangunan Gedung RT003-RW002, Bangunan Gedung RT002-RW001, Bangunan Gedung RT003-RW002, Bangunan Gedung RT004-RW001, , , , , , , , , , , , , , , , , , , , , , , , , , , , , , , , , , , , , , , </v>
          </cell>
        </row>
        <row r="116">
          <cell r="M116">
            <v>0</v>
          </cell>
          <cell r="Q116" t="str">
            <v xml:space="preserve">, , , , , , , , , , , , , , , , , , , </v>
          </cell>
        </row>
        <row r="136">
          <cell r="M136">
            <v>0</v>
          </cell>
          <cell r="Q136" t="str">
            <v xml:space="preserve">, , , , , , , , , , , , , , , , , , , , , , , , , , , , , , , , , , , , , , , , , , , , </v>
          </cell>
        </row>
        <row r="181">
          <cell r="Q181" t="str">
            <v xml:space="preserve">, , , , , , , , , , , , , , , , , , , </v>
          </cell>
        </row>
        <row r="182">
          <cell r="Q182">
            <v>0</v>
          </cell>
        </row>
        <row r="201">
          <cell r="Q201" t="str">
            <v xml:space="preserve">, , , , , , , , , , , , , , , , , , , , , , , , , , , , , , , , , , , , , , , , , , , , </v>
          </cell>
        </row>
        <row r="202">
          <cell r="Q202">
            <v>0</v>
          </cell>
        </row>
        <row r="246">
          <cell r="M246">
            <v>0</v>
          </cell>
          <cell r="Q246" t="str">
            <v xml:space="preserve">, , , , , , , , , , , , , , , , , , , </v>
          </cell>
        </row>
        <row r="266">
          <cell r="M266">
            <v>0</v>
          </cell>
          <cell r="Q266" t="str">
            <v xml:space="preserve">, , , , , , , , , , , , , , , , , , , , , , , , , , , , , , , , , , , , , , , , , , , , </v>
          </cell>
        </row>
        <row r="311">
          <cell r="M311">
            <v>0</v>
          </cell>
          <cell r="Q311" t="str">
            <v xml:space="preserve">, , , , , , , , , , , , , , , , , , , </v>
          </cell>
        </row>
        <row r="331">
          <cell r="M331">
            <v>0</v>
          </cell>
          <cell r="Q331" t="str">
            <v xml:space="preserve">, , , , , , , , , , , , , , , , , , , </v>
          </cell>
        </row>
        <row r="351">
          <cell r="M351">
            <v>0</v>
          </cell>
          <cell r="Q351" t="str">
            <v xml:space="preserve">, , , , , , , , , , , , , , , , , , , , , , , , , , , , , , , , , , , , , , , , , , , , </v>
          </cell>
        </row>
        <row r="396">
          <cell r="Q396" t="str">
            <v xml:space="preserve">, , , , , , , , , , , , , , , , , , , , , , , , , , , , , , , , , , , , , , , , , , , , </v>
          </cell>
        </row>
        <row r="397">
          <cell r="Q397">
            <v>0</v>
          </cell>
        </row>
        <row r="441">
          <cell r="Q441" t="str">
            <v xml:space="preserve">, , , , , , , , , , , , , , , , , , , , , , , , , , , , , , , , , , , , , , , , , , , , , , , , , , , , , , </v>
          </cell>
        </row>
        <row r="442">
          <cell r="Q442">
            <v>0</v>
          </cell>
        </row>
        <row r="496">
          <cell r="Q496" t="str">
            <v xml:space="preserve">, , , , , , , , , , , , , , , , , , , , , , , , , , , , , , , , , , , , , , , , , , , , </v>
          </cell>
        </row>
        <row r="497">
          <cell r="Q497">
            <v>0</v>
          </cell>
        </row>
        <row r="541">
          <cell r="Q541" t="str">
            <v xml:space="preserve">, , , , , , , , , , , , , , , , , , , , , , , , , , , , , , , , , , , , , , , , , , , , </v>
          </cell>
        </row>
        <row r="542">
          <cell r="Q542">
            <v>0</v>
          </cell>
        </row>
        <row r="586">
          <cell r="Q586" t="str">
            <v xml:space="preserve">, , , , , , , , , , , , , , , , , , , , , , , , , , , , , , , , , , , , , , , , , , , , </v>
          </cell>
        </row>
        <row r="587">
          <cell r="Q587">
            <v>0</v>
          </cell>
        </row>
        <row r="631">
          <cell r="Q631" t="str">
            <v xml:space="preserve">, , , , , , , , , , , , , , , , , , , </v>
          </cell>
        </row>
        <row r="632">
          <cell r="Q632">
            <v>0</v>
          </cell>
        </row>
        <row r="651">
          <cell r="Q651" t="str">
            <v xml:space="preserve">, , , , , , , , , , , , , , , , , , , </v>
          </cell>
        </row>
        <row r="652">
          <cell r="Q652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umus_UpPKP"/>
      <sheetName val="RekapLogbook"/>
      <sheetName val="Input Baseline"/>
      <sheetName val="NUMERIK"/>
      <sheetName val="Kekumuhan Awal_RT_PKP"/>
      <sheetName val="Kekumuhan awal_Kawasan_PKP"/>
      <sheetName val="Grafik Masalah_Kumuh Awal"/>
      <sheetName val="Data Investasi"/>
      <sheetName val="Outcome"/>
      <sheetName val="Kekumuhan Akhir_RT_PKP"/>
      <sheetName val="Kekumuhan Akhir_Kaw_PKP"/>
      <sheetName val="Grafik_Kumuh Akhir_PKP"/>
      <sheetName val="Spider Web"/>
      <sheetName val="Kesimpulan Capaian"/>
      <sheetName val="Kode Kelurahan"/>
      <sheetName val="Peta Infrastruktur"/>
      <sheetName val="Peta Layanan"/>
      <sheetName val="Sheet1"/>
      <sheetName val="REKAP DESA"/>
    </sheetNames>
    <sheetDataSet>
      <sheetData sheetId="0"/>
      <sheetData sheetId="1"/>
      <sheetData sheetId="2"/>
      <sheetData sheetId="3">
        <row r="6">
          <cell r="E6" t="str">
            <v>BARON</v>
          </cell>
          <cell r="K6">
            <v>59.199999999999989</v>
          </cell>
        </row>
        <row r="8">
          <cell r="K8">
            <v>59.199999999999989</v>
          </cell>
        </row>
        <row r="10">
          <cell r="E10" t="str">
            <v>MAGETAN</v>
          </cell>
          <cell r="K10">
            <v>807</v>
          </cell>
        </row>
        <row r="12">
          <cell r="E12" t="str">
            <v>KAB. MAGETAN</v>
          </cell>
          <cell r="K12">
            <v>2644</v>
          </cell>
        </row>
        <row r="14">
          <cell r="E14" t="str">
            <v>JAWA TIMUR</v>
          </cell>
          <cell r="K14">
            <v>917</v>
          </cell>
        </row>
        <row r="18">
          <cell r="K18">
            <v>73</v>
          </cell>
        </row>
        <row r="20">
          <cell r="K20">
            <v>0</v>
          </cell>
        </row>
        <row r="22">
          <cell r="K22">
            <v>57</v>
          </cell>
        </row>
        <row r="25">
          <cell r="K25">
            <v>13323</v>
          </cell>
        </row>
        <row r="26">
          <cell r="K26">
            <v>12423</v>
          </cell>
        </row>
        <row r="28">
          <cell r="K28">
            <v>950</v>
          </cell>
        </row>
        <row r="31">
          <cell r="K31">
            <v>52</v>
          </cell>
        </row>
        <row r="33">
          <cell r="K33">
            <v>61</v>
          </cell>
        </row>
        <row r="36">
          <cell r="K36">
            <v>0</v>
          </cell>
        </row>
        <row r="38">
          <cell r="K38">
            <v>14470</v>
          </cell>
        </row>
        <row r="40">
          <cell r="K40">
            <v>12935</v>
          </cell>
        </row>
        <row r="42">
          <cell r="K42">
            <v>450</v>
          </cell>
        </row>
        <row r="45">
          <cell r="K45">
            <v>10905</v>
          </cell>
        </row>
        <row r="48">
          <cell r="K48">
            <v>2374</v>
          </cell>
        </row>
        <row r="51">
          <cell r="K51">
            <v>17</v>
          </cell>
        </row>
        <row r="53">
          <cell r="K53">
            <v>5</v>
          </cell>
        </row>
        <row r="56">
          <cell r="K56">
            <v>917</v>
          </cell>
        </row>
        <row r="59">
          <cell r="K59">
            <v>835</v>
          </cell>
        </row>
        <row r="61">
          <cell r="K61">
            <v>873</v>
          </cell>
        </row>
        <row r="64">
          <cell r="K64">
            <v>189</v>
          </cell>
        </row>
        <row r="66">
          <cell r="K66">
            <v>807</v>
          </cell>
        </row>
      </sheetData>
      <sheetData sheetId="4"/>
      <sheetData sheetId="5"/>
      <sheetData sheetId="6"/>
      <sheetData sheetId="7"/>
      <sheetData sheetId="8">
        <row r="6">
          <cell r="M6">
            <v>0</v>
          </cell>
          <cell r="Q6" t="str">
            <v xml:space="preserve">, , , , , , , , , , , , , , , , , , , , , , , , , , , , , , , , , , , , , , , , , , , , </v>
          </cell>
        </row>
        <row r="51">
          <cell r="M51">
            <v>0</v>
          </cell>
          <cell r="Q51" t="str">
            <v xml:space="preserve">, , , , , , , , , , , , , , , , , , , </v>
          </cell>
        </row>
        <row r="71">
          <cell r="M71">
            <v>25</v>
          </cell>
          <cell r="Q71" t="str">
            <v xml:space="preserve">Bangunan Gedung RT004-RW001, Bangunan Gedung RT006-RW001, Bangunan Gedung RT001-RW001, Bangunan Gedung RT007-RW001, Bangunan Gedung RT008-RW001, Bangunan Gedung RT002-RW002, Bangunan Gedung RT003-RW002, Bangunan Gedung RT005-RW002, Bangunan Gedung RT006-RW002, Bangunan Gedung RT004-RW002, Bangunan Gedung RT001-RW003, Bangunan Gedung RT004-RW003, Bangunan Gedung RT002-RW003, Bangunan Gedung RT003-RW003, Bangunan Gedung RT004-RW001, , , , , , , , , , , , , , , , , , , , , , , , , , , , , , </v>
          </cell>
        </row>
        <row r="116">
          <cell r="M116">
            <v>0</v>
          </cell>
          <cell r="Q116" t="str">
            <v xml:space="preserve">, , , , , , , , , , , , , , , , , , , </v>
          </cell>
        </row>
        <row r="136">
          <cell r="M136">
            <v>1776</v>
          </cell>
          <cell r="Q136" t="str">
            <v xml:space="preserve">Jalan Lingkungan RT006-RW001, Jalan Lingkungan RT001-RW001, Jalan Lingkungan RT006-RW001, Jalan Lingkungan RT004-RW001, Jalan Lingkungan RT007-RW001, Jalan Lingkungan RT002-RW001, Jalan Lingkungan RT003-RW001, , , , , , , , , , , , , , , , , , , , , , , , , , , , , , , , , , , , , , </v>
          </cell>
        </row>
        <row r="181">
          <cell r="Q181" t="str">
            <v xml:space="preserve">, , , , , , , , , , , , , , , , , , , </v>
          </cell>
        </row>
        <row r="182">
          <cell r="Q182">
            <v>0</v>
          </cell>
        </row>
        <row r="201">
          <cell r="Q201" t="str">
            <v xml:space="preserve">, , , , , , , , , , , , , , , , , , , , , , , , , , , , , , , , , , , , , , , , , , , , </v>
          </cell>
        </row>
        <row r="202">
          <cell r="Q202">
            <v>0</v>
          </cell>
        </row>
        <row r="246">
          <cell r="M246">
            <v>0</v>
          </cell>
          <cell r="Q246" t="str">
            <v xml:space="preserve">, , , , , , , , , , , , , , , , , , , </v>
          </cell>
        </row>
        <row r="266">
          <cell r="M266">
            <v>0</v>
          </cell>
          <cell r="Q266" t="str">
            <v xml:space="preserve">, , , , , , , , , , , , , , , , , , , , , , , , , , , , , , , , , , , , , , , , , , , , </v>
          </cell>
        </row>
        <row r="311">
          <cell r="M311">
            <v>0</v>
          </cell>
          <cell r="Q311" t="str">
            <v xml:space="preserve">, , , , , , , , , , , , , , , , , , , </v>
          </cell>
        </row>
        <row r="331">
          <cell r="M331">
            <v>0</v>
          </cell>
          <cell r="Q331" t="str">
            <v xml:space="preserve">, , , , , , , , , , , , , , , , , , , </v>
          </cell>
        </row>
        <row r="351">
          <cell r="M351">
            <v>533</v>
          </cell>
          <cell r="Q351" t="str">
            <v xml:space="preserve">Drainase Lingkungan RT002-RW001, Drainase Lingkungan RT003-RW001, Drainase Lingkungan RT001-RW001, Drainase Lingkungan RT008-RW001, Drainase Lingkungan RT007-RW001, Drainase Lingkungan RT002-RW001, , , , , , , , , , , , , , , , , , , , , , , , , , , , , , , , , , , , , , , </v>
          </cell>
        </row>
        <row r="396">
          <cell r="Q396" t="str">
            <v xml:space="preserve">, , , , , , , , , , , , , , , , , , , , , , , , , , , , , , , , , , , , , , , , , , , , </v>
          </cell>
        </row>
        <row r="397">
          <cell r="Q397">
            <v>0</v>
          </cell>
        </row>
        <row r="441">
          <cell r="Q441" t="str">
            <v xml:space="preserve">, , , , , , , , , , , , , , , , , , , , , , , , , , , , , , , , , , , , , , , , , , , , , , , , , , , , , , </v>
          </cell>
        </row>
        <row r="442">
          <cell r="Q442">
            <v>0</v>
          </cell>
        </row>
        <row r="496">
          <cell r="Q496" t="str">
            <v xml:space="preserve">, , , , , , , , , , , , , , , , , , , , , , , , , , , , , , , , , , , , , , , , , , , , </v>
          </cell>
        </row>
        <row r="497">
          <cell r="Q497">
            <v>0</v>
          </cell>
        </row>
        <row r="541">
          <cell r="Q541" t="str">
            <v xml:space="preserve">, , , , , , , , , , , , , , , , , , , , , , , , , , , , , , , , , , , , , , , , , , , , </v>
          </cell>
        </row>
        <row r="542">
          <cell r="Q542">
            <v>0</v>
          </cell>
        </row>
        <row r="586">
          <cell r="Q586" t="str">
            <v xml:space="preserve">, , , , , , , , , , , , , , , , , , , , , , , , , , , , , , , , , , , , , , , , , , , , </v>
          </cell>
        </row>
        <row r="587">
          <cell r="Q587">
            <v>0</v>
          </cell>
        </row>
        <row r="631">
          <cell r="Q631" t="str">
            <v xml:space="preserve">, , , , , , , , , , , , , , , , , , , </v>
          </cell>
        </row>
        <row r="632">
          <cell r="Q632">
            <v>0</v>
          </cell>
        </row>
        <row r="651">
          <cell r="Q651" t="str">
            <v xml:space="preserve">, , , , , , , , , , , , , , , , , , , </v>
          </cell>
        </row>
        <row r="652">
          <cell r="Q652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umus_UpPKP"/>
      <sheetName val="RekapLogbook"/>
      <sheetName val="Input Baseline"/>
      <sheetName val="NUMERIK"/>
      <sheetName val="Kekumuhan Awal_RT_PKP"/>
      <sheetName val="Kekumuhan awal_Kawasan_PKP"/>
      <sheetName val="Grafik Masalah_Kumuh Awal"/>
      <sheetName val="Data Investasi"/>
      <sheetName val="Outcome"/>
      <sheetName val="Kekumuhan Akhir_RT_PKP"/>
      <sheetName val="Kekumuhan Akhir_Kaw_PKP"/>
      <sheetName val="Grafik_Kumuh Akhir_PKP"/>
      <sheetName val="Spider Web"/>
      <sheetName val="Kesimpulan Capaian"/>
      <sheetName val="Peta Infrastruktur"/>
      <sheetName val="Peta Layanan"/>
      <sheetName val="Sheet1"/>
    </sheetNames>
    <sheetDataSet>
      <sheetData sheetId="0"/>
      <sheetData sheetId="1"/>
      <sheetData sheetId="2"/>
      <sheetData sheetId="3">
        <row r="6">
          <cell r="E6" t="str">
            <v>LEDOK WETAN</v>
          </cell>
          <cell r="K6">
            <v>0.48379629629629628</v>
          </cell>
        </row>
        <row r="8">
          <cell r="K8">
            <v>0.48379629629629628</v>
          </cell>
        </row>
        <row r="10">
          <cell r="E10" t="str">
            <v>BOJONEGORO</v>
          </cell>
          <cell r="K10">
            <v>976</v>
          </cell>
        </row>
        <row r="12">
          <cell r="E12" t="str">
            <v>KAB. BOJONEGORO</v>
          </cell>
          <cell r="K12">
            <v>3707</v>
          </cell>
        </row>
        <row r="14">
          <cell r="E14" t="str">
            <v>JAWA TIMUR</v>
          </cell>
          <cell r="K14">
            <v>1099</v>
          </cell>
        </row>
        <row r="18">
          <cell r="K18">
            <v>372</v>
          </cell>
        </row>
        <row r="20">
          <cell r="K20">
            <v>0.48379629629629628</v>
          </cell>
        </row>
        <row r="22">
          <cell r="K22">
            <v>84</v>
          </cell>
        </row>
        <row r="25">
          <cell r="K25">
            <v>11894.73</v>
          </cell>
        </row>
        <row r="26">
          <cell r="K26">
            <v>11598.73</v>
          </cell>
        </row>
        <row r="28">
          <cell r="K28">
            <v>5565.73</v>
          </cell>
        </row>
        <row r="31">
          <cell r="K31">
            <v>118</v>
          </cell>
        </row>
        <row r="33">
          <cell r="K33">
            <v>601</v>
          </cell>
        </row>
        <row r="36">
          <cell r="K36">
            <v>7.4999999999999983E-2</v>
          </cell>
        </row>
        <row r="38">
          <cell r="K38">
            <v>5772.18</v>
          </cell>
        </row>
        <row r="40">
          <cell r="K40">
            <v>3834.18</v>
          </cell>
        </row>
        <row r="42">
          <cell r="K42">
            <v>902</v>
          </cell>
        </row>
        <row r="45">
          <cell r="K45">
            <v>3834.18</v>
          </cell>
        </row>
        <row r="48">
          <cell r="K48">
            <v>310.21000000000004</v>
          </cell>
        </row>
        <row r="51">
          <cell r="K51">
            <v>71</v>
          </cell>
        </row>
        <row r="53">
          <cell r="K53">
            <v>170</v>
          </cell>
        </row>
        <row r="56">
          <cell r="K56">
            <v>281</v>
          </cell>
        </row>
        <row r="59">
          <cell r="K59">
            <v>173</v>
          </cell>
        </row>
        <row r="61">
          <cell r="K61">
            <v>281</v>
          </cell>
        </row>
        <row r="64">
          <cell r="K64">
            <v>516</v>
          </cell>
        </row>
        <row r="66">
          <cell r="K66">
            <v>891</v>
          </cell>
        </row>
      </sheetData>
      <sheetData sheetId="4"/>
      <sheetData sheetId="5"/>
      <sheetData sheetId="6"/>
      <sheetData sheetId="7"/>
      <sheetData sheetId="8">
        <row r="6">
          <cell r="M6">
            <v>0</v>
          </cell>
          <cell r="Q6" t="str">
            <v xml:space="preserve">, , , , , , , , , , , , , , , , , , , , , , , , , , , , , , , , , , , , , , , , , , , , </v>
          </cell>
        </row>
        <row r="51">
          <cell r="M51">
            <v>0</v>
          </cell>
          <cell r="Q51" t="str">
            <v xml:space="preserve">, , , , , , , , , , , , , , , , , , , </v>
          </cell>
        </row>
        <row r="71">
          <cell r="M71">
            <v>1</v>
          </cell>
          <cell r="Q71" t="str">
            <v xml:space="preserve">Rehab/perbaikan Rumah Tidak Layak Huni (Aladin) RT006-RW001, , , , , , , , , , , , , , , , , , , , , , , , , , , , , , , , , , , , , , , , , , , , </v>
          </cell>
        </row>
        <row r="116">
          <cell r="M116">
            <v>0</v>
          </cell>
          <cell r="Q116" t="str">
            <v xml:space="preserve">, , , , , , , , , , , , , , , , , , , </v>
          </cell>
        </row>
        <row r="136">
          <cell r="M136">
            <v>422</v>
          </cell>
          <cell r="Q136" t="str">
            <v xml:space="preserve">Jalan Paving Block RT001-RW001, Jalan Paving Block RT001-RW001, Jalan Paving Block RT002-RW001, Jalan Paving Block RT003-RW001, , , , , , , , , , , , , , , , , , , , , , , , , , , , , , , , , , , , , , , , , </v>
          </cell>
        </row>
        <row r="181">
          <cell r="Q181" t="str">
            <v xml:space="preserve">, , , , , , , , , , , , , , , , , , , </v>
          </cell>
        </row>
        <row r="182">
          <cell r="Q182">
            <v>0</v>
          </cell>
        </row>
        <row r="201">
          <cell r="Q201" t="str">
            <v xml:space="preserve">, , , , , , , , , , , , , , , , , , , , , , , , , , , , , , , , , , , , , , , , , , , , </v>
          </cell>
        </row>
        <row r="202">
          <cell r="Q202">
            <v>0</v>
          </cell>
        </row>
        <row r="246">
          <cell r="M246">
            <v>0</v>
          </cell>
          <cell r="Q246" t="str">
            <v xml:space="preserve">, , , , , , , , , , , , , , , , , , , </v>
          </cell>
        </row>
        <row r="266">
          <cell r="M266">
            <v>432</v>
          </cell>
          <cell r="Q266" t="str">
            <v xml:space="preserve">Drainase Lingkungan RT003-RW001, Drainase Lingkungan RT008-RW002, , , , , , , , , , , , , , , , , , , , , , , , , , , , , , , , , , , , , , , , , , , </v>
          </cell>
        </row>
        <row r="311">
          <cell r="M311">
            <v>0</v>
          </cell>
          <cell r="Q311" t="str">
            <v xml:space="preserve">, , , , , , , , , , , , , , , , , , , </v>
          </cell>
        </row>
        <row r="331">
          <cell r="M331">
            <v>569</v>
          </cell>
          <cell r="Q331" t="str">
            <v xml:space="preserve">Drainase Lingkungan RT004-RW001, Drainase Lingkungan RT005-RW001, Drainase Lingkungan RT007-RW001, Drainase Lingkungan RT007-RW001, , , , , , , , , , , , , , , , </v>
          </cell>
        </row>
        <row r="351">
          <cell r="M351">
            <v>0</v>
          </cell>
          <cell r="Q351" t="str">
            <v xml:space="preserve">, , , , , , , , , , , , , , , , , , , , , , , , , , , , , , , , , , , , , , , , , , , , </v>
          </cell>
        </row>
        <row r="396">
          <cell r="Q396" t="str">
            <v xml:space="preserve">, , , , , , , , , , , , , , , , , , , , , , , , , , , , , , , , , , , , , , , , , , , , </v>
          </cell>
        </row>
        <row r="397">
          <cell r="Q397">
            <v>0</v>
          </cell>
        </row>
        <row r="441">
          <cell r="Q441" t="str">
            <v xml:space="preserve">, , , , , , , , , , , , , , , , , , , , , , , , , , , , , , , , , , , , , , , , , , , , , , , , , , , , , , </v>
          </cell>
        </row>
        <row r="442">
          <cell r="Q442">
            <v>0</v>
          </cell>
        </row>
        <row r="496">
          <cell r="Q496" t="str">
            <v xml:space="preserve">, , , , , , , , , , , , , , , , , , , , , , , , , , , , , , , , , , , , , , , , , , , , </v>
          </cell>
        </row>
        <row r="497">
          <cell r="Q497">
            <v>0</v>
          </cell>
        </row>
        <row r="541">
          <cell r="Q541" t="str">
            <v xml:space="preserve">, , , , , , , , , , , , , , , , , , , , , , , , , , , , , , , , , , , , , , , , , , , , </v>
          </cell>
        </row>
        <row r="542">
          <cell r="Q542">
            <v>0</v>
          </cell>
        </row>
        <row r="586">
          <cell r="Q586" t="str">
            <v xml:space="preserve">, , , , , , , , , , , , , , , , , , , , , , , , , , , , , , , , , , , , , , , , , , , , </v>
          </cell>
        </row>
        <row r="587">
          <cell r="Q587">
            <v>0</v>
          </cell>
        </row>
        <row r="631">
          <cell r="Q631" t="str">
            <v xml:space="preserve">, , , , , , , , , , , , , , , , , , , </v>
          </cell>
        </row>
        <row r="632">
          <cell r="Q632">
            <v>0</v>
          </cell>
        </row>
        <row r="651">
          <cell r="Q651" t="str">
            <v xml:space="preserve">Mobil pemadam kebakaran RT001-RW001, Mobil pemadam kebakaran RT002-RW001, Mobil pemadam kebakaran RT003-RW001, Mobil pemadam kebakaran RT004-RW001, Mobil pemadam kebakaran RT005-RW001, Mobil pemadam kebakaran RT006-RW001, Mobil pemadam kebakaran RT007-RW001, Mobil pemadam kebakaran RT001-RW002, Mobil pemadam kebakaran RT002-RW002, Mobil pemadam kebakaran RT004-RW002, Mobil pemadam kebakaran RT005-RW002, Mobil pemadam kebakaran RT010-RW002, , , , , , , , </v>
          </cell>
        </row>
        <row r="652">
          <cell r="Q652">
            <v>989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umus_UpPKP"/>
      <sheetName val="RekapLogbook"/>
      <sheetName val="Input Baseline"/>
      <sheetName val="NUMERIK"/>
      <sheetName val="Kekumuhan Awal_RT_PKP"/>
      <sheetName val="Kekumuhan awal_Kawasan_PKP"/>
      <sheetName val="Grafik Masalah_Kumuh Awal"/>
      <sheetName val="Data Investasi"/>
      <sheetName val="Outcome"/>
      <sheetName val="Kekumuhan Akhir_RT_PKP"/>
      <sheetName val="Kekumuhan Akhir_Kaw_PKP"/>
      <sheetName val="Grafik_Kumuh Akhir_PKP"/>
      <sheetName val="Spider Web"/>
      <sheetName val="Kesimpulan Capaian"/>
      <sheetName val="Peta Infrastruktur"/>
      <sheetName val="Peta Layanan"/>
      <sheetName val="Sheet1"/>
    </sheetNames>
    <sheetDataSet>
      <sheetData sheetId="0"/>
      <sheetData sheetId="1"/>
      <sheetData sheetId="2"/>
      <sheetData sheetId="3">
        <row r="6">
          <cell r="E6" t="str">
            <v>LEDOK KULON</v>
          </cell>
          <cell r="K6">
            <v>3.0700000000000007</v>
          </cell>
        </row>
        <row r="8">
          <cell r="K8">
            <v>3.0700000000000007</v>
          </cell>
        </row>
        <row r="10">
          <cell r="E10" t="str">
            <v>BOJONEGORO</v>
          </cell>
          <cell r="K10">
            <v>975</v>
          </cell>
        </row>
        <row r="12">
          <cell r="E12" t="str">
            <v>KAB. BOJONEGORO</v>
          </cell>
          <cell r="K12">
            <v>3854</v>
          </cell>
        </row>
        <row r="14">
          <cell r="E14" t="str">
            <v>JAWA TIMUR</v>
          </cell>
          <cell r="K14">
            <v>1105</v>
          </cell>
        </row>
        <row r="18">
          <cell r="K18">
            <v>164</v>
          </cell>
        </row>
        <row r="20">
          <cell r="K20">
            <v>2.1036637710781809</v>
          </cell>
        </row>
        <row r="22">
          <cell r="K22">
            <v>144</v>
          </cell>
        </row>
        <row r="25">
          <cell r="K25">
            <v>10121</v>
          </cell>
        </row>
        <row r="26">
          <cell r="K26">
            <v>9628</v>
          </cell>
        </row>
        <row r="28">
          <cell r="K28">
            <v>1687</v>
          </cell>
        </row>
        <row r="31">
          <cell r="K31">
            <v>510</v>
          </cell>
        </row>
        <row r="33">
          <cell r="K33">
            <v>31</v>
          </cell>
        </row>
        <row r="36">
          <cell r="K36">
            <v>0.90999999999999992</v>
          </cell>
        </row>
        <row r="38">
          <cell r="K38">
            <v>5810</v>
          </cell>
        </row>
        <row r="40">
          <cell r="K40">
            <v>3910</v>
          </cell>
        </row>
        <row r="42">
          <cell r="K42">
            <v>0</v>
          </cell>
        </row>
        <row r="45">
          <cell r="K45">
            <v>3532</v>
          </cell>
        </row>
        <row r="48">
          <cell r="K48">
            <v>872.3</v>
          </cell>
        </row>
        <row r="51">
          <cell r="K51">
            <v>24</v>
          </cell>
        </row>
        <row r="53">
          <cell r="K53">
            <v>28</v>
          </cell>
        </row>
        <row r="56">
          <cell r="K56">
            <v>1105</v>
          </cell>
        </row>
        <row r="59">
          <cell r="K59">
            <v>761</v>
          </cell>
        </row>
        <row r="61">
          <cell r="K61">
            <v>1105</v>
          </cell>
        </row>
        <row r="64">
          <cell r="K64">
            <v>583</v>
          </cell>
        </row>
        <row r="66">
          <cell r="K66">
            <v>863</v>
          </cell>
        </row>
      </sheetData>
      <sheetData sheetId="4"/>
      <sheetData sheetId="5"/>
      <sheetData sheetId="6"/>
      <sheetData sheetId="7"/>
      <sheetData sheetId="8">
        <row r="6">
          <cell r="M6">
            <v>0</v>
          </cell>
          <cell r="Q6" t="str">
            <v xml:space="preserve">, , , , , , , , , , , , , , , , , , , , , , , , , , , , , , , , , , , , , , , , , , , , </v>
          </cell>
        </row>
        <row r="51">
          <cell r="M51">
            <v>0</v>
          </cell>
          <cell r="Q51" t="str">
            <v xml:space="preserve">, , , , , , , , , , , , , , , , , , , </v>
          </cell>
        </row>
        <row r="71">
          <cell r="M71">
            <v>0</v>
          </cell>
          <cell r="Q71" t="str">
            <v xml:space="preserve">, , , , , , , , , , , , , , , , , , , , , , , , , , , , , , , , , , , , , , , , , , , , </v>
          </cell>
        </row>
        <row r="116">
          <cell r="M116">
            <v>293</v>
          </cell>
          <cell r="Q116" t="str">
            <v xml:space="preserve">Jalan Paving Block RT004-RW004, , , , , , , , , , , , , , , , , , , </v>
          </cell>
        </row>
        <row r="136">
          <cell r="M136">
            <v>1063</v>
          </cell>
          <cell r="Q136" t="str">
            <v xml:space="preserve">Jalan Paving Block RT004-RW004, Jalan Paving Block RT004-RW003, Jalan Paving Block RT002-RW004, Jalan Paving Block RT004-RW003, Jalan Paving Block RT004-RW003, Jalan Paving Block RT004-RW003, Jalan Paving Block RT004-RW003, Jalan Paving Block RT005-RW003, Jalan Paving Block RT001-RW004, Jalan Paving Block RT001-RW003, , , , , , , , , , , , , , , , , , , , , , , , , , , , , , , , , , , </v>
          </cell>
        </row>
        <row r="181">
          <cell r="Q181" t="str">
            <v xml:space="preserve">, , , , , , , , , , , , , , , , , , , </v>
          </cell>
        </row>
        <row r="182">
          <cell r="Q182">
            <v>0</v>
          </cell>
        </row>
        <row r="201">
          <cell r="Q201" t="str">
            <v xml:space="preserve">, , , , , , , , , , , , , , , , , , , , , , , , , , , , , , , , , , , , , , , , , , , , </v>
          </cell>
        </row>
        <row r="202">
          <cell r="Q202">
            <v>0</v>
          </cell>
        </row>
        <row r="246">
          <cell r="M246">
            <v>0</v>
          </cell>
          <cell r="Q246" t="str">
            <v xml:space="preserve">, , , , , , , , , , , , , , , , , , , </v>
          </cell>
        </row>
        <row r="266">
          <cell r="M266">
            <v>227</v>
          </cell>
          <cell r="Q266" t="str">
            <v xml:space="preserve">Saluran Drainase RT001-RW004, , , , , , , , , , , , , , , , , , , , , , , , , , , , , , , , , , , , , , , , , , , , </v>
          </cell>
        </row>
        <row r="311">
          <cell r="M311">
            <v>0</v>
          </cell>
          <cell r="Q311" t="str">
            <v xml:space="preserve">, , , , , , , , , , , , , , , , , , , </v>
          </cell>
        </row>
        <row r="331">
          <cell r="M331">
            <v>535</v>
          </cell>
          <cell r="Q331" t="str">
            <v xml:space="preserve">Drainase Lingkungan RT004-RW003, Drainase Lingkungan RT004-RW003, , , , , , , , , , , , , , , , , , </v>
          </cell>
        </row>
        <row r="351">
          <cell r="M351">
            <v>129</v>
          </cell>
          <cell r="Q351" t="str">
            <v xml:space="preserve">Saluran Drainase RT001-RW003, , , , , , , , , , , , , , , , , , , , , , , , , , , , , , , , , , , , , , , , , , , , </v>
          </cell>
        </row>
        <row r="396">
          <cell r="Q396" t="str">
            <v xml:space="preserve">Instalasi Pengolahan Air Limbah (IPAL) Setempat/Terpusat RT005-RW003, Instalasi Pengolahan Air Limbah (IPAL) Setempat/Terpusat RT002-RW004, Instalasi Pengolahan Air Limbah (IPAL) Setempat/Terpusat RT004-RW003, , , , , , , , , , , , , , , , , , , , , , , , , , , , , , , , , , , , , , , , , , </v>
          </cell>
        </row>
        <row r="397">
          <cell r="Q397">
            <v>280</v>
          </cell>
        </row>
        <row r="441">
          <cell r="Q441" t="str">
            <v xml:space="preserve">Instalasi Pengolahan Air Limbah (IPAL) Setempat/Terpusat RT002-RW004, , , , , , , , , , , , , , , , , , , , , , , , , , , , , , , , , , , , , , , , , , , , , , , , , , , , , , </v>
          </cell>
        </row>
        <row r="442">
          <cell r="Q442">
            <v>129</v>
          </cell>
        </row>
        <row r="496">
          <cell r="Q496" t="str">
            <v xml:space="preserve">Gerobak Motor Sampah RT005-RW002, Gerobak Motor Sampah RT001-RW003, Gerobak Motor Sampah RT002-RW003, Gerobak Motor Sampah RT003-RW003, Gerobak Motor Sampah RT004-RW003, Gerobak Motor Sampah RT005-RW003, Gerobak Motor Sampah RT006-RW003, Gerobak Motor Sampah RT001-RW004, Gerobak Motor Sampah RT002-RW004, Gerobak Motor Sampah RT003-RW004, Gerobak Motor Sampah RT004-RW004, Gerobak Motor Sampah RT003-RW002, Gerobak Motor Sampah RT004-RW002, , , , , , , , , , , , , , , , , , , , , , , , , , , , , , , , </v>
          </cell>
        </row>
        <row r="497">
          <cell r="Q497">
            <v>1105</v>
          </cell>
        </row>
        <row r="541">
          <cell r="Q541" t="str">
            <v xml:space="preserve">Gerobak Motor Sampah RT005-RW002, Gerobak Motor Sampah RT001-RW003, Gerobak Motor Sampah RT002-RW003, Gerobak Motor Sampah RT003-RW003, Gerobak Motor Sampah RT005-RW003, Gerobak Motor Sampah RT006-RW003, Gerobak Motor Sampah RT002-RW004, Gerobak Motor Sampah RT003-RW004, Gerobak Motor Sampah RT004-RW004, Gerobak Motor Sampah RT003-RW002, Gerobak Motor Sampah RT004-RW002, , , , , , , , , , , , , , , , , , , , , , , , , , , , , , , , , , </v>
          </cell>
        </row>
        <row r="542">
          <cell r="Q542">
            <v>954</v>
          </cell>
        </row>
        <row r="586">
          <cell r="Q586" t="str">
            <v xml:space="preserve">Gerobak Motor Sampah RT005-RW002, Gerobak Motor Sampah RT001-RW003, Gerobak Motor Sampah RT002-RW003, Gerobak Motor Sampah RT003-RW003, Gerobak Motor Sampah RT004-RW003, Gerobak Motor Sampah RT005-RW003, Gerobak Motor Sampah RT006-RW003, Gerobak Motor Sampah RT001-RW004, Gerobak Motor Sampah RT002-RW004, Gerobak Motor Sampah RT003-RW004, Gerobak Motor Sampah RT004-RW004, Gerobak Motor Sampah RT003-RW002, Gerobak Motor Sampah RT004-RW002, , , , , , , , , , , , , , , , , , , , , , , , , , , , , , , , </v>
          </cell>
        </row>
        <row r="587">
          <cell r="Q587">
            <v>1105</v>
          </cell>
        </row>
        <row r="631">
          <cell r="Q631" t="str">
            <v xml:space="preserve">, , , , , , , , , , , , , , , , , , , </v>
          </cell>
        </row>
        <row r="632">
          <cell r="Q632">
            <v>0</v>
          </cell>
        </row>
        <row r="651">
          <cell r="Q651" t="str">
            <v xml:space="preserve">Mobil pemadam kebakaran RT005-RW002, Mobil pemadam kebakaran RT001-RW003, Mobil pemadam kebakaran RT002-RW003, Mobil pemadam kebakaran RT003-RW003, Mobil pemadam kebakaran RT004-RW003, Mobil pemadam kebakaran RT005-RW003, Mobil pemadam kebakaran RT006-RW003, Mobil pemadam kebakaran RT001-RW004, Mobil pemadam kebakaran RT002-RW004, Mobil pemadam kebakaran RT003-RW002, Mobil pemadam kebakaran RT004-RW002, , , , , , , , , </v>
          </cell>
        </row>
        <row r="652">
          <cell r="Q652">
            <v>1031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umus_UpPKP"/>
      <sheetName val="RekapLogbook"/>
      <sheetName val="Input Baseline"/>
      <sheetName val="NUMERIK"/>
      <sheetName val="Kekumuhan Awal_RT_PKP"/>
      <sheetName val="Kekumuhan awal_Kawasan_PKP"/>
      <sheetName val="Grafik Masalah_Kumuh Awal"/>
      <sheetName val="Data Investasi"/>
      <sheetName val="Outcome"/>
      <sheetName val="Kekumuhan Akhir_RT_PKP"/>
      <sheetName val="Kekumuhan Akhir_Kaw_PKP"/>
      <sheetName val="Grafik_Kumuh Akhir_PKP"/>
      <sheetName val="Spider Web"/>
      <sheetName val="Kesimpulan Capaian"/>
      <sheetName val="Peta Infrastruktur"/>
      <sheetName val="Peta Layanan"/>
      <sheetName val="Sheet1"/>
    </sheetNames>
    <sheetDataSet>
      <sheetData sheetId="0"/>
      <sheetData sheetId="1"/>
      <sheetData sheetId="2"/>
      <sheetData sheetId="3">
        <row r="6">
          <cell r="E6" t="str">
            <v>KLANGON</v>
          </cell>
          <cell r="K6">
            <v>1.7099999999999995</v>
          </cell>
        </row>
        <row r="8">
          <cell r="K8">
            <v>1.7099999999999995</v>
          </cell>
        </row>
        <row r="10">
          <cell r="E10" t="str">
            <v>BOJONEGORO</v>
          </cell>
          <cell r="K10">
            <v>282</v>
          </cell>
        </row>
        <row r="12">
          <cell r="E12" t="str">
            <v>KAB. BOJONEGORO</v>
          </cell>
          <cell r="K12">
            <v>1050</v>
          </cell>
        </row>
        <row r="14">
          <cell r="E14" t="str">
            <v>JAWA TIMUR</v>
          </cell>
          <cell r="K14">
            <v>315</v>
          </cell>
        </row>
        <row r="18">
          <cell r="K18">
            <v>10</v>
          </cell>
        </row>
        <row r="20">
          <cell r="K20">
            <v>0.1503516998827667</v>
          </cell>
        </row>
        <row r="22">
          <cell r="K22">
            <v>19</v>
          </cell>
        </row>
        <row r="25">
          <cell r="K25">
            <v>2566</v>
          </cell>
        </row>
        <row r="26">
          <cell r="K26">
            <v>2466</v>
          </cell>
        </row>
        <row r="28">
          <cell r="K28">
            <v>330</v>
          </cell>
        </row>
        <row r="31">
          <cell r="K31">
            <v>0</v>
          </cell>
        </row>
        <row r="33">
          <cell r="K33">
            <v>1</v>
          </cell>
        </row>
        <row r="36">
          <cell r="K36">
            <v>1.999999999999999E-2</v>
          </cell>
        </row>
        <row r="38">
          <cell r="K38">
            <v>3678</v>
          </cell>
        </row>
        <row r="40">
          <cell r="K40">
            <v>2845</v>
          </cell>
        </row>
        <row r="42">
          <cell r="K42">
            <v>0</v>
          </cell>
        </row>
        <row r="45">
          <cell r="K45">
            <v>1335</v>
          </cell>
        </row>
        <row r="48">
          <cell r="K48">
            <v>270</v>
          </cell>
        </row>
        <row r="51">
          <cell r="K51">
            <v>0</v>
          </cell>
        </row>
        <row r="53">
          <cell r="K53">
            <v>11</v>
          </cell>
        </row>
        <row r="56">
          <cell r="K56">
            <v>278</v>
          </cell>
        </row>
        <row r="59">
          <cell r="K59">
            <v>257</v>
          </cell>
        </row>
        <row r="61">
          <cell r="K61">
            <v>278</v>
          </cell>
        </row>
        <row r="64">
          <cell r="K64">
            <v>282</v>
          </cell>
        </row>
        <row r="66">
          <cell r="K66">
            <v>282</v>
          </cell>
        </row>
      </sheetData>
      <sheetData sheetId="4"/>
      <sheetData sheetId="5"/>
      <sheetData sheetId="6"/>
      <sheetData sheetId="7"/>
      <sheetData sheetId="8">
        <row r="6">
          <cell r="M6">
            <v>0</v>
          </cell>
          <cell r="Q6" t="str">
            <v xml:space="preserve">, , , , , , , , , , , , , , , , , , , , , , , , , , , , , , , , , , , , , , , , , , , , </v>
          </cell>
        </row>
        <row r="51">
          <cell r="M51">
            <v>0</v>
          </cell>
          <cell r="Q51" t="str">
            <v xml:space="preserve">, , , , , , , , , , , , , , , , , , , </v>
          </cell>
        </row>
        <row r="71">
          <cell r="M71">
            <v>0</v>
          </cell>
          <cell r="Q71" t="str">
            <v xml:space="preserve">, , , , , , , , , , , , , , , , , , , , , , , , , , , , , , , , , , , , , , , , , , , , </v>
          </cell>
        </row>
        <row r="116">
          <cell r="M116">
            <v>0</v>
          </cell>
          <cell r="Q116" t="str">
            <v xml:space="preserve">, , , , , , , , , , , , , , , , , , , </v>
          </cell>
        </row>
        <row r="136">
          <cell r="M136">
            <v>132</v>
          </cell>
          <cell r="Q136" t="str">
            <v xml:space="preserve">Jalan Paving RT007-RW001, Jalan Paving RT010-RW002, , , , , , , , , , , , , , , , , , , , , , , , , , , , , , , , , , , , , , , , , , , </v>
          </cell>
        </row>
        <row r="181">
          <cell r="Q181" t="str">
            <v xml:space="preserve">, , , , , , , , , , , , , , , , , , , </v>
          </cell>
        </row>
        <row r="182">
          <cell r="Q182">
            <v>0</v>
          </cell>
        </row>
        <row r="201">
          <cell r="Q201" t="str">
            <v xml:space="preserve">, , , , , , , , , , , , , , , , , , , , , , , , , , , , , , , , , , , , , , , , , , , , </v>
          </cell>
        </row>
        <row r="202">
          <cell r="Q202">
            <v>0</v>
          </cell>
        </row>
        <row r="246">
          <cell r="M246">
            <v>0</v>
          </cell>
          <cell r="Q246" t="str">
            <v xml:space="preserve">, , , , , , , , , , , , , , , , , , , </v>
          </cell>
        </row>
        <row r="266">
          <cell r="M266">
            <v>402.2</v>
          </cell>
          <cell r="Q266" t="str">
            <v xml:space="preserve">Saluran Drainase RT006-RW001, Virocement RT006-RW001, Saluran Drainase RT011-RW002, Saluran Drainase RT010-RW002, Drainase Lingkungan RT006-RW001, , , , , , , , , , , , , , , , , , , , , , , , , , , , , , , , , , , , , , , , </v>
          </cell>
        </row>
        <row r="311">
          <cell r="M311">
            <v>0</v>
          </cell>
          <cell r="Q311" t="str">
            <v xml:space="preserve">, , , , , , , , , , , , , , , , , , , </v>
          </cell>
        </row>
        <row r="331">
          <cell r="M331">
            <v>1113.0999999999999</v>
          </cell>
          <cell r="Q331" t="str">
            <v xml:space="preserve">Drainase Lingkungan RT006-RW001, Drainase Lingkungan RT007-RW001, Drainase Lingkungan RT007-RW001, Drainase Lingkungan RT007-RW001, Normalisasi Saluran RT011-RW002, Drainase Lingkungan RT007-RW001, , , , , , , , , , , , , , </v>
          </cell>
        </row>
        <row r="351">
          <cell r="M351">
            <v>175</v>
          </cell>
          <cell r="Q351" t="str">
            <v xml:space="preserve">Normalisasi Saluran RT006-RW001, Saluran Drainase RT007-RW001, Drainase Lingkungan RT007-RW001, , , , , , , , , , , , , , , , , , , , , , , , , , , , , , , , , , , , , , , , , , </v>
          </cell>
        </row>
        <row r="396">
          <cell r="Q396" t="str">
            <v xml:space="preserve">, , , , , , , , , , , , , , , , , , , , , , , , , , , , , , , , , , , , , , , , , , , , </v>
          </cell>
        </row>
        <row r="397">
          <cell r="Q397">
            <v>0</v>
          </cell>
        </row>
        <row r="441">
          <cell r="Q441" t="str">
            <v xml:space="preserve">, , , , , , , , , , , , , , , , , , , , , , , , , , , , , , , , , , , , , , , , , , , , , , , , , , , , , , </v>
          </cell>
        </row>
        <row r="442">
          <cell r="Q442">
            <v>0</v>
          </cell>
        </row>
        <row r="496">
          <cell r="Q496" t="str">
            <v xml:space="preserve">Gerobak Sampah Motor RT006-RW001, Gerobak Sampah Dorong RT007-RW001, Gerobak Sampah Dorong RT010-RW002, , , , , , , , , , , , , , , , , , , , , , , , , , , , , , , , , , , , , , , , , , </v>
          </cell>
        </row>
        <row r="497">
          <cell r="Q497">
            <v>278</v>
          </cell>
        </row>
        <row r="541">
          <cell r="Q541" t="str">
            <v xml:space="preserve">Gerobak Sampah Dorong RT007-RW001, Gerobak Sampah Dorong RT010-RW002, Gerobak Sampah Motor RT011-RW002, , , , , , , , , , , , , , , , , , , , , , , , , , , , , , , , , , , , , , , , , , </v>
          </cell>
        </row>
        <row r="542">
          <cell r="Q542">
            <v>258</v>
          </cell>
        </row>
        <row r="586">
          <cell r="Q586" t="str">
            <v xml:space="preserve">Gerobak Sampah Motor RT006-RW001, Gerobak Sampah Dorong RT007-RW001, Gerobak Sampah Dorong RT010-RW002, , , , , , , , , , , , , , , , , , , , , , , , , , , , , , , , , , , , , , , , , , </v>
          </cell>
        </row>
        <row r="587">
          <cell r="Q587">
            <v>278</v>
          </cell>
        </row>
        <row r="631">
          <cell r="Q631" t="str">
            <v xml:space="preserve">, , , , , , , , , , , , , , , , , , , </v>
          </cell>
        </row>
        <row r="632">
          <cell r="Q632">
            <v>0</v>
          </cell>
        </row>
        <row r="651">
          <cell r="Q651" t="str">
            <v xml:space="preserve">Mobil pemadam kebakaran RT006-RW001, Mobil pemadam kebakaran RT007-RW001, Mobil pemadam kebakaran RT010-RW002, Mobil pemadam kebakaran RT011-RW002, , , , , , , , , , , , , , , , </v>
          </cell>
        </row>
        <row r="652">
          <cell r="Q652">
            <v>315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umus_UpPKP"/>
      <sheetName val="RekapLogbook"/>
      <sheetName val="Input Baseline"/>
      <sheetName val="NUMERIK"/>
      <sheetName val="Kekumuhan Awal_RT_PKP"/>
      <sheetName val="Kekumuhan awal_Kawasan_PKP"/>
      <sheetName val="Grafik Masalah_Kumuh Awal"/>
      <sheetName val="Data Investasi"/>
      <sheetName val="Outcome"/>
      <sheetName val="Kekumuhan Akhir_RT_PKP"/>
      <sheetName val="Kekumuhan Akhir_Kaw_PKP"/>
      <sheetName val="Grafik_Kumuh Akhir_PKP"/>
      <sheetName val="Spider Web"/>
      <sheetName val="Kesimpulan Capaian"/>
      <sheetName val="Peta Infrastruktur"/>
      <sheetName val="Peta Layanan"/>
      <sheetName val="Sheet1"/>
    </sheetNames>
    <sheetDataSet>
      <sheetData sheetId="0"/>
      <sheetData sheetId="1"/>
      <sheetData sheetId="2"/>
      <sheetData sheetId="3">
        <row r="6">
          <cell r="E6" t="str">
            <v>KARANG PACAR</v>
          </cell>
          <cell r="K6">
            <v>5.48</v>
          </cell>
        </row>
        <row r="8">
          <cell r="K8">
            <v>5.48</v>
          </cell>
        </row>
        <row r="10">
          <cell r="E10" t="str">
            <v>BOJONEGORO</v>
          </cell>
          <cell r="K10">
            <v>185</v>
          </cell>
        </row>
        <row r="12">
          <cell r="E12" t="str">
            <v>KAB. BOJONEGORO</v>
          </cell>
          <cell r="K12">
            <v>639</v>
          </cell>
        </row>
        <row r="14">
          <cell r="E14" t="str">
            <v>JAWA TIMUR</v>
          </cell>
          <cell r="K14">
            <v>192</v>
          </cell>
        </row>
        <row r="18">
          <cell r="K18">
            <v>5</v>
          </cell>
        </row>
        <row r="20">
          <cell r="K20">
            <v>0</v>
          </cell>
        </row>
        <row r="22">
          <cell r="K22">
            <v>11</v>
          </cell>
        </row>
        <row r="25">
          <cell r="K25">
            <v>1313</v>
          </cell>
        </row>
        <row r="26">
          <cell r="K26">
            <v>1313</v>
          </cell>
        </row>
        <row r="28">
          <cell r="K28">
            <v>129</v>
          </cell>
        </row>
        <row r="31">
          <cell r="K31">
            <v>31</v>
          </cell>
        </row>
        <row r="33">
          <cell r="K33">
            <v>31</v>
          </cell>
        </row>
        <row r="36">
          <cell r="K36">
            <v>0</v>
          </cell>
        </row>
        <row r="38">
          <cell r="K38">
            <v>2092</v>
          </cell>
        </row>
        <row r="40">
          <cell r="K40">
            <v>777</v>
          </cell>
        </row>
        <row r="42">
          <cell r="K42">
            <v>330</v>
          </cell>
        </row>
        <row r="45">
          <cell r="K45">
            <v>777</v>
          </cell>
        </row>
        <row r="48">
          <cell r="K48">
            <v>385</v>
          </cell>
        </row>
        <row r="51">
          <cell r="K51">
            <v>0</v>
          </cell>
        </row>
        <row r="53">
          <cell r="K53">
            <v>0</v>
          </cell>
        </row>
        <row r="56">
          <cell r="K56">
            <v>192</v>
          </cell>
        </row>
        <row r="59">
          <cell r="K59">
            <v>0</v>
          </cell>
        </row>
        <row r="61">
          <cell r="K61">
            <v>192</v>
          </cell>
        </row>
        <row r="64">
          <cell r="K64">
            <v>185</v>
          </cell>
        </row>
        <row r="66">
          <cell r="K66">
            <v>185</v>
          </cell>
        </row>
      </sheetData>
      <sheetData sheetId="4"/>
      <sheetData sheetId="5"/>
      <sheetData sheetId="6"/>
      <sheetData sheetId="7"/>
      <sheetData sheetId="8">
        <row r="6">
          <cell r="M6">
            <v>0</v>
          </cell>
          <cell r="Q6" t="str">
            <v xml:space="preserve">, , , , , , , , , , , , , , , , , , , , , , , , , , , , , , , , , , , , , , , , , , , , </v>
          </cell>
        </row>
        <row r="51">
          <cell r="M51">
            <v>0</v>
          </cell>
          <cell r="Q51" t="str">
            <v xml:space="preserve">, , , , , , , , , , , , , , , , , , , </v>
          </cell>
        </row>
        <row r="71">
          <cell r="M71">
            <v>0</v>
          </cell>
          <cell r="Q71" t="str">
            <v xml:space="preserve">, , , , , , , , , , , , , , , , , , , , , , , , , , , , , , , , , , , , , , , , , , , , </v>
          </cell>
        </row>
        <row r="116">
          <cell r="M116">
            <v>0</v>
          </cell>
          <cell r="Q116" t="str">
            <v xml:space="preserve">, , , , , , , , , , , , , , , , , , , </v>
          </cell>
        </row>
        <row r="136">
          <cell r="M136">
            <v>0</v>
          </cell>
          <cell r="Q136" t="str">
            <v xml:space="preserve">, , , , , , , , , , , , , , , , , , , , , , , , , , , , , , , , , , , , , , , , , , , , </v>
          </cell>
        </row>
        <row r="181">
          <cell r="Q181" t="str">
            <v xml:space="preserve">, , , , , , , , , , , , , , , , , , , </v>
          </cell>
        </row>
        <row r="182">
          <cell r="Q182">
            <v>0</v>
          </cell>
        </row>
        <row r="201">
          <cell r="Q201" t="str">
            <v xml:space="preserve">, , , , , , , , , , , , , , , , , , , , , , , , , , , , , , , , , , , , , , , , , , , , </v>
          </cell>
        </row>
        <row r="202">
          <cell r="Q202">
            <v>0</v>
          </cell>
        </row>
        <row r="246">
          <cell r="M246">
            <v>0</v>
          </cell>
          <cell r="Q246" t="str">
            <v xml:space="preserve">, , , , , , , , , , , , , , , , , , , </v>
          </cell>
        </row>
        <row r="266">
          <cell r="M266">
            <v>345</v>
          </cell>
          <cell r="Q266" t="str">
            <v xml:space="preserve">Saluran Drainase RT001-RW001, Drainase Lingkungan RT002-RW001, , , , , , , , , , , , , , , , , , , , , , , , , , , , , , , , , , , , , , , , , , , </v>
          </cell>
        </row>
        <row r="311">
          <cell r="M311">
            <v>364</v>
          </cell>
          <cell r="Q311" t="str">
            <v xml:space="preserve">Saluran Drainase RT020-RW003, , , , , , , , , , , , , , , , , , , </v>
          </cell>
        </row>
        <row r="331">
          <cell r="M331">
            <v>787.5</v>
          </cell>
          <cell r="Q331" t="str">
            <v xml:space="preserve">Drainase Lingkungan RT001-RW001, Saluran Drainase RT020-RW003, Drainase Lingkungan RT020-RW003, Drainase Lingkungan RT001-RW001, Normalisasi Drainase RT002-RW001, , , , , , , , , , , , , , , </v>
          </cell>
        </row>
        <row r="351">
          <cell r="M351">
            <v>364</v>
          </cell>
          <cell r="Q351" t="str">
            <v xml:space="preserve">Saluran Drainase RT020-RW003, , , , , , , , , , , , , , , , , , , , , , , , , , , , , , , , , , , , , , , , , , , , </v>
          </cell>
        </row>
        <row r="396">
          <cell r="Q396" t="str">
            <v xml:space="preserve">, , , , , , , , , , , , , , , , , , , , , , , , , , , , , , , , , , , , , , , , , , , , </v>
          </cell>
        </row>
        <row r="397">
          <cell r="Q397">
            <v>0</v>
          </cell>
        </row>
        <row r="441">
          <cell r="Q441" t="str">
            <v xml:space="preserve">, , , , , , , , , , , , , , , , , , , , , , , , , , , , , , , , , , , , , , , , , , , , , , , , , , , , , , </v>
          </cell>
        </row>
        <row r="442">
          <cell r="Q442">
            <v>0</v>
          </cell>
        </row>
        <row r="496">
          <cell r="Q496" t="str">
            <v xml:space="preserve">Gerobak Motor Sampah RT020-RW003, Gerobak Motor Sampah RT001-RW001, Gerobak Motor Sampah RT002-RW001, , , , , , , , , , , , , , , , , , , , , , , , , , , , , , , , , , , , , , , , , , </v>
          </cell>
        </row>
        <row r="497">
          <cell r="Q497">
            <v>198</v>
          </cell>
        </row>
        <row r="541">
          <cell r="Q541" t="str">
            <v xml:space="preserve">, , , , , , , , , , , , , , , , , , , , , , , , , , , , , , , , , , , , , , , , , , , , </v>
          </cell>
        </row>
        <row r="542">
          <cell r="Q542">
            <v>0</v>
          </cell>
        </row>
        <row r="586">
          <cell r="Q586" t="str">
            <v xml:space="preserve">Gerobak Motor Sampah RT020-RW003, Gerobak Motor Sampah RT001-RW001, Gerobak Motor Sampah RT002-RW001, , , , , , , , , , , , , , , , , , , , , , , , , , , , , , , , , , , , , , , , , , </v>
          </cell>
        </row>
        <row r="587">
          <cell r="Q587">
            <v>198</v>
          </cell>
        </row>
        <row r="631">
          <cell r="Q631" t="str">
            <v xml:space="preserve">, , , , , , , , , , , , , , , , , , , </v>
          </cell>
        </row>
        <row r="632">
          <cell r="Q632">
            <v>0</v>
          </cell>
        </row>
        <row r="651">
          <cell r="Q651" t="str">
            <v xml:space="preserve">Mobil pemadam kebakaran RT001-RW001, Mobil pemadam kebakaran RT002-RW001, Mobil pemadam kebakaran RT020-RW003, , , , , , , , , , , , , , , , , </v>
          </cell>
        </row>
        <row r="652">
          <cell r="Q652">
            <v>194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umus_UpPKP"/>
      <sheetName val="RekapLogbook"/>
      <sheetName val="Input Baseline"/>
      <sheetName val="NUMERIK"/>
      <sheetName val="Kekumuhan Awal_RT_PKP"/>
      <sheetName val="Kekumuhan awal_Kawasan_PKP"/>
      <sheetName val="Grafik Masalah_Kumuh Awal"/>
      <sheetName val="Data Investasi"/>
      <sheetName val="Outcome"/>
      <sheetName val="Kekumuhan Akhir_RT_PKP"/>
      <sheetName val="Kekumuhan Akhir_Kaw_PKP"/>
      <sheetName val="Grafik_Kumuh Akhir_PKP"/>
      <sheetName val="Spider Web"/>
      <sheetName val="Kesimpulan Capaian"/>
      <sheetName val="Peta Infrastruktur"/>
      <sheetName val="Peta Layanan"/>
      <sheetName val="Sheet1"/>
      <sheetName val="Sheet2"/>
    </sheetNames>
    <sheetDataSet>
      <sheetData sheetId="0"/>
      <sheetData sheetId="1"/>
      <sheetData sheetId="2"/>
      <sheetData sheetId="3">
        <row r="6">
          <cell r="E6" t="str">
            <v>KADIPATEN</v>
          </cell>
          <cell r="K6">
            <v>7.03</v>
          </cell>
        </row>
        <row r="8">
          <cell r="K8">
            <v>7.03</v>
          </cell>
        </row>
        <row r="10">
          <cell r="E10" t="str">
            <v>BOJONEGORO</v>
          </cell>
          <cell r="K10">
            <v>424</v>
          </cell>
        </row>
        <row r="12">
          <cell r="E12" t="str">
            <v>KAB. BOJONEGORO</v>
          </cell>
          <cell r="K12">
            <v>1619</v>
          </cell>
        </row>
        <row r="14">
          <cell r="E14" t="str">
            <v>JAWA TIMUR</v>
          </cell>
          <cell r="K14">
            <v>517</v>
          </cell>
        </row>
        <row r="18">
          <cell r="K18">
            <v>134</v>
          </cell>
        </row>
        <row r="20">
          <cell r="K20">
            <v>7.03</v>
          </cell>
        </row>
        <row r="22">
          <cell r="K22">
            <v>54</v>
          </cell>
        </row>
        <row r="25">
          <cell r="K25">
            <v>5637</v>
          </cell>
        </row>
        <row r="26">
          <cell r="K26">
            <v>5618</v>
          </cell>
        </row>
        <row r="28">
          <cell r="K28">
            <v>959</v>
          </cell>
        </row>
        <row r="31">
          <cell r="K31">
            <v>82</v>
          </cell>
        </row>
        <row r="33">
          <cell r="K33">
            <v>30</v>
          </cell>
        </row>
        <row r="36">
          <cell r="K36">
            <v>6.4099999999999993</v>
          </cell>
        </row>
        <row r="38">
          <cell r="K38">
            <v>6535</v>
          </cell>
        </row>
        <row r="40">
          <cell r="K40">
            <v>6473</v>
          </cell>
        </row>
        <row r="42">
          <cell r="K42">
            <v>0</v>
          </cell>
        </row>
        <row r="45">
          <cell r="K45">
            <v>5805</v>
          </cell>
        </row>
        <row r="48">
          <cell r="K48">
            <v>1461</v>
          </cell>
        </row>
        <row r="51">
          <cell r="K51">
            <v>5</v>
          </cell>
        </row>
        <row r="53">
          <cell r="K53">
            <v>8</v>
          </cell>
        </row>
        <row r="56">
          <cell r="K56">
            <v>432</v>
          </cell>
        </row>
        <row r="59">
          <cell r="K59">
            <v>165</v>
          </cell>
        </row>
        <row r="61">
          <cell r="K61">
            <v>432</v>
          </cell>
        </row>
        <row r="64">
          <cell r="K64">
            <v>246</v>
          </cell>
        </row>
        <row r="66">
          <cell r="K66">
            <v>424</v>
          </cell>
        </row>
      </sheetData>
      <sheetData sheetId="4"/>
      <sheetData sheetId="5"/>
      <sheetData sheetId="6"/>
      <sheetData sheetId="7"/>
      <sheetData sheetId="8">
        <row r="6">
          <cell r="M6">
            <v>0</v>
          </cell>
          <cell r="Q6" t="str">
            <v xml:space="preserve">, , , , , , , , , , , , , , , , , , , , , , , , , , , , , , , , , , , , , , , , , , , , </v>
          </cell>
        </row>
        <row r="51">
          <cell r="M51">
            <v>0</v>
          </cell>
          <cell r="Q51" t="str">
            <v xml:space="preserve">, , , , , , , , , , , , , , , , , , , </v>
          </cell>
        </row>
        <row r="71">
          <cell r="M71">
            <v>0</v>
          </cell>
          <cell r="Q71" t="str">
            <v xml:space="preserve">, , , , , , , , , , , , , , , , , , , , , , , , , , , , , , , , , , , , , , , , , , , , </v>
          </cell>
        </row>
        <row r="116">
          <cell r="M116">
            <v>0</v>
          </cell>
          <cell r="Q116" t="str">
            <v xml:space="preserve">, , , , , , , , , , , , , , , , , , , </v>
          </cell>
        </row>
        <row r="136">
          <cell r="M136">
            <v>137.80000000000001</v>
          </cell>
          <cell r="Q136" t="str">
            <v xml:space="preserve">Jalan Paving Block RT008-RW002, Jalan Paving Block RT010-RW003, , , , , , , , , , , , , , , , , , , , , , , , , , , , , , , , , , , , , , , , , , , </v>
          </cell>
        </row>
        <row r="181">
          <cell r="Q181" t="str">
            <v xml:space="preserve">, , , , , , , , , , , , , , , , , , , </v>
          </cell>
        </row>
        <row r="182">
          <cell r="Q182">
            <v>0</v>
          </cell>
        </row>
        <row r="201">
          <cell r="Q201" t="str">
            <v xml:space="preserve">, , , , , , , , , , , , , , , , , , , , , , , , , , , , , , , , , , , , , , , , , , , , </v>
          </cell>
        </row>
        <row r="202">
          <cell r="Q202">
            <v>0</v>
          </cell>
        </row>
        <row r="246">
          <cell r="M246">
            <v>0</v>
          </cell>
          <cell r="Q246" t="str">
            <v xml:space="preserve">, , , , , , , , , , , , , , , , , , , </v>
          </cell>
        </row>
        <row r="266">
          <cell r="M266">
            <v>0</v>
          </cell>
          <cell r="Q266" t="str">
            <v xml:space="preserve">, , , , , , , , , , , , , , , , , , , , , , , , , , , , , , , , , , , , , , , , , , , , </v>
          </cell>
        </row>
        <row r="311">
          <cell r="M311">
            <v>0</v>
          </cell>
          <cell r="Q311" t="str">
            <v xml:space="preserve">, , , , , , , , , , , , , , , , , , , </v>
          </cell>
        </row>
        <row r="331">
          <cell r="M331">
            <v>945.2</v>
          </cell>
          <cell r="Q331" t="str">
            <v xml:space="preserve">Drainase Lingkungan RT001-RW001, Drainase Lingkungan RT007-RW002, Drainase Lingkungan RT007-RW002, Drainase Lingkungan RT008-RW002, Drainase Lingkungan RT010-RW003, , , , , , , , , , , , , , , </v>
          </cell>
        </row>
        <row r="351">
          <cell r="M351">
            <v>320</v>
          </cell>
          <cell r="Q351" t="str">
            <v xml:space="preserve">Drainase Lingkungan RT008-RW002, Drainase Lingkungan RT015-RW001, , , , , , , , , , , , , , , , , , , , , , , , , , , , , , , , , , , , , , , , , , , </v>
          </cell>
        </row>
        <row r="396">
          <cell r="Q396" t="str">
            <v xml:space="preserve">, , , , , , , , , , , , , , , , , , , , , , , , , , , , , , , , , , , , , , , , , , , , </v>
          </cell>
        </row>
        <row r="397">
          <cell r="Q397">
            <v>0</v>
          </cell>
        </row>
        <row r="441">
          <cell r="Q441" t="str">
            <v xml:space="preserve">, , , , , , , , , , , , , , , , , , , , , , , , , , , , , , , , , , , , , , , , , , , , , , , , , , , , , , </v>
          </cell>
        </row>
        <row r="442">
          <cell r="Q442">
            <v>0</v>
          </cell>
        </row>
        <row r="496">
          <cell r="Q496" t="str">
            <v xml:space="preserve">, , , , , , , , , , , , , , , , , , , , , , , , , , , , , , , , , , , , , , , , , , , , </v>
          </cell>
        </row>
        <row r="497">
          <cell r="Q497">
            <v>0</v>
          </cell>
        </row>
        <row r="541">
          <cell r="Q541" t="str">
            <v xml:space="preserve">Gerobak/Motor Sampah RT010-RW003, , , , , , , , , , , , , , , , , , , , , , , , , , , , , , , , , , , , , , , , , , , , </v>
          </cell>
        </row>
        <row r="542">
          <cell r="Q542">
            <v>85</v>
          </cell>
        </row>
        <row r="586">
          <cell r="Q586" t="str">
            <v xml:space="preserve">Gerobak/Motor Sampah RT007-RW002, Gerobak/Motor Sampah RT008-RW002, , , , , , , , , , , , , , , , , , , , , , , , , , , , , , , , , , , , , , , , , , , </v>
          </cell>
        </row>
        <row r="587">
          <cell r="Q587">
            <v>147</v>
          </cell>
        </row>
        <row r="631">
          <cell r="Q631" t="str">
            <v xml:space="preserve">, , , , , , , , , , , , , , , , , , , </v>
          </cell>
        </row>
        <row r="632">
          <cell r="Q632">
            <v>0</v>
          </cell>
        </row>
        <row r="651">
          <cell r="Q651" t="str">
            <v xml:space="preserve">Mobil Pemadam Kebakaran RT001-RW001, Mobil Pemadam Kebakaran RT002-RW001, Mobil Pemadam Kebakaran RT005-RW001, Mobil Pemadam Kebakaran RT007-RW002, Mobil Pemadam Kebakaran RT008-RW002, Mobil Pemadam Kebakaran RT010-RW003, Mobil Pemadam Kebakaran RT015-RW001, , , , , , , , , , , , , </v>
          </cell>
        </row>
        <row r="652">
          <cell r="Q652">
            <v>517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umus_UpPKP"/>
      <sheetName val="RekapLogbook"/>
      <sheetName val="Input Baseline"/>
      <sheetName val="NUMERIK"/>
      <sheetName val="Kekumuhan Awal_RT_PKP"/>
      <sheetName val="Kekumuhan awal_Kawasan_PKP"/>
      <sheetName val="Grafik Masalah_Kumuh Awal"/>
      <sheetName val="Data Investasi"/>
      <sheetName val="Outcome"/>
      <sheetName val="Kekumuhan Akhir_RT_PKP"/>
      <sheetName val="Kekumuhan Akhir_Kaw_PKP"/>
      <sheetName val="Grafik_Kumuh Akhir_PKP"/>
      <sheetName val="Spider Web"/>
      <sheetName val="Kesimpulan Capaian"/>
      <sheetName val="Peta Infrastruktur"/>
      <sheetName val="Peta Layanan"/>
      <sheetName val="Sheet1"/>
    </sheetNames>
    <sheetDataSet>
      <sheetData sheetId="0"/>
      <sheetData sheetId="1"/>
      <sheetData sheetId="2"/>
      <sheetData sheetId="3">
        <row r="6">
          <cell r="E6" t="str">
            <v>JETAK</v>
          </cell>
          <cell r="K6">
            <v>2.1399999999999997</v>
          </cell>
        </row>
        <row r="8">
          <cell r="K8">
            <v>2.1399999999999997</v>
          </cell>
        </row>
        <row r="10">
          <cell r="E10" t="str">
            <v>BOJONEGORO</v>
          </cell>
          <cell r="K10">
            <v>407</v>
          </cell>
        </row>
        <row r="12">
          <cell r="E12" t="str">
            <v>KAB. BOJONEGORO</v>
          </cell>
          <cell r="K12">
            <v>1651</v>
          </cell>
        </row>
        <row r="14">
          <cell r="E14" t="str">
            <v>JAWA TIMUR</v>
          </cell>
          <cell r="K14">
            <v>475</v>
          </cell>
        </row>
        <row r="18">
          <cell r="K18">
            <v>198</v>
          </cell>
        </row>
        <row r="20">
          <cell r="K20">
            <v>1.18</v>
          </cell>
        </row>
        <row r="22">
          <cell r="K22">
            <v>64</v>
          </cell>
        </row>
        <row r="25">
          <cell r="K25">
            <v>5895.6</v>
          </cell>
        </row>
        <row r="26">
          <cell r="K26">
            <v>5895.6</v>
          </cell>
        </row>
        <row r="28">
          <cell r="K28">
            <v>1783</v>
          </cell>
        </row>
        <row r="31">
          <cell r="K31">
            <v>284</v>
          </cell>
        </row>
        <row r="33">
          <cell r="K33">
            <v>52</v>
          </cell>
        </row>
        <row r="36">
          <cell r="K36">
            <v>0</v>
          </cell>
        </row>
        <row r="38">
          <cell r="K38">
            <v>3207</v>
          </cell>
        </row>
        <row r="40">
          <cell r="K40">
            <v>2150</v>
          </cell>
        </row>
        <row r="42">
          <cell r="K42">
            <v>0</v>
          </cell>
        </row>
        <row r="45">
          <cell r="K45">
            <v>2050</v>
          </cell>
        </row>
        <row r="48">
          <cell r="K48">
            <v>570</v>
          </cell>
        </row>
        <row r="51">
          <cell r="K51">
            <v>27</v>
          </cell>
        </row>
        <row r="53">
          <cell r="K53">
            <v>13</v>
          </cell>
        </row>
        <row r="56">
          <cell r="K56">
            <v>475</v>
          </cell>
        </row>
        <row r="59">
          <cell r="K59">
            <v>415</v>
          </cell>
        </row>
        <row r="61">
          <cell r="K61">
            <v>475</v>
          </cell>
        </row>
        <row r="64">
          <cell r="K64">
            <v>106</v>
          </cell>
        </row>
        <row r="66">
          <cell r="K66">
            <v>407</v>
          </cell>
        </row>
      </sheetData>
      <sheetData sheetId="4"/>
      <sheetData sheetId="5"/>
      <sheetData sheetId="6"/>
      <sheetData sheetId="7"/>
      <sheetData sheetId="8">
        <row r="6">
          <cell r="M6">
            <v>0</v>
          </cell>
          <cell r="Q6" t="str">
            <v xml:space="preserve">, , , , , , , , , , , , , , , , , , , , , , , , , , , , , , , , , , , , , , , , , , , , </v>
          </cell>
        </row>
        <row r="51">
          <cell r="M51">
            <v>0</v>
          </cell>
          <cell r="Q51" t="str">
            <v xml:space="preserve">, , , , , , , , , , , , , , , , , , , </v>
          </cell>
        </row>
        <row r="71">
          <cell r="M71">
            <v>0</v>
          </cell>
          <cell r="Q71" t="str">
            <v xml:space="preserve">, , , , , , , , , , , , , , , , , , , , , , , , , , , , , , , , , , , , , , , , , , , , </v>
          </cell>
        </row>
        <row r="116">
          <cell r="M116">
            <v>0</v>
          </cell>
          <cell r="Q116" t="str">
            <v xml:space="preserve">, , , , , , , , , , , , , , , , , , , </v>
          </cell>
        </row>
        <row r="136">
          <cell r="M136">
            <v>756</v>
          </cell>
          <cell r="Q136" t="str">
            <v xml:space="preserve">Jalan Paving Block RT005-RW001, Jalan Paving Block RT006-RW001, Jalan Paving RT002-RW001, , , , , , , , , , , , , , , , , , , , , , , , , , , , , , , , , , , , , , , , , , </v>
          </cell>
        </row>
        <row r="181">
          <cell r="Q181" t="str">
            <v xml:space="preserve">Sumur Bor+Tandon RT004-RW001, Sumur Bor+Tandon RT005-RW001, , , , , , , , , , , , , , , , , , </v>
          </cell>
        </row>
        <row r="182">
          <cell r="Q182">
            <v>70</v>
          </cell>
        </row>
        <row r="201">
          <cell r="Q201" t="str">
            <v xml:space="preserve">Sumur Bor+Tandon RT004-RW001, , , , , , , , , , , , , , , , , , , , , , , , , , , , , , , , , , , , , , , , , , , , </v>
          </cell>
        </row>
        <row r="202">
          <cell r="Q202">
            <v>65</v>
          </cell>
        </row>
        <row r="246">
          <cell r="M246">
            <v>0</v>
          </cell>
          <cell r="Q246" t="str">
            <v xml:space="preserve">, , , , , , , , , , , , , , , , , , , </v>
          </cell>
        </row>
        <row r="266">
          <cell r="M266">
            <v>410</v>
          </cell>
          <cell r="Q266" t="str">
            <v xml:space="preserve">Drainase Lingkungan RT002-RW001, Drainase Lingkungan RT006-RW001, , , , , , , , , , , , , , , , , , , , , , , , , , , , , , , , , , , , , , , , , , , </v>
          </cell>
        </row>
        <row r="311">
          <cell r="M311">
            <v>0</v>
          </cell>
          <cell r="Q311" t="str">
            <v xml:space="preserve">, , , , , , , , , , , , , , , , , , , </v>
          </cell>
        </row>
        <row r="331">
          <cell r="M331">
            <v>942</v>
          </cell>
          <cell r="Q331" t="str">
            <v xml:space="preserve">Normalisasi Saluran RT002-RW001, Drainase Lingkungan RT005-RW001, Drainase Lingkungan RT006-RW001, Drainase Lingkungan RT005-RW001, , , , , , , , , , , , , , , , </v>
          </cell>
        </row>
        <row r="351">
          <cell r="M351">
            <v>268.5</v>
          </cell>
          <cell r="Q351" t="str">
            <v xml:space="preserve">Drainase Lingkungan RT002-RW001, Saluran Drainase RT002-RW001, Saluran Drainase RT005-RW001, Drainase Lingkungan RT005-RW001, , , , , , , , , , , , , , , , , , , , , , , , , , , , , , , , , , , , , , , , , </v>
          </cell>
        </row>
        <row r="396">
          <cell r="Q396" t="str">
            <v xml:space="preserve">, , , , , , , , , , , , , , , , , , , , , , , , , , , , , , , , , , , , , , , , , , , , </v>
          </cell>
        </row>
        <row r="397">
          <cell r="Q397">
            <v>0</v>
          </cell>
        </row>
        <row r="441">
          <cell r="Q441" t="str">
            <v xml:space="preserve">, , , , , , , , , , , , , , , , , , , , , , , , , , , , , , , , , , , , , , , , , , , , , , , , , , , , , , </v>
          </cell>
        </row>
        <row r="442">
          <cell r="Q442">
            <v>0</v>
          </cell>
        </row>
        <row r="496">
          <cell r="Q496" t="str">
            <v xml:space="preserve">Gerobak Sampah Motor RT001-RW001, Gerobak Sampah Motor RT002-RW001, Gerobak Sampah Motor RT004-RW001, Gerobak Sampah Motor RT005-RW001, Gerobak Sampah Motor RT006-RW001, Gerobak Sampah Motor RT007-RW001, , , , , , , , , , , , , , , , , , , , , , , , , , , , , , , , , , , , , , , </v>
          </cell>
        </row>
        <row r="497">
          <cell r="Q497">
            <v>475</v>
          </cell>
        </row>
        <row r="541">
          <cell r="Q541" t="str">
            <v xml:space="preserve">Gerobak/Motor Sampah RT002-RW001, Gerobak Sampah Motor RT001-RW001, Gerobak Sampah Motor RT002-RW001, Gerobak Sampah Motor RT004-RW001, Gerobak Sampah Motor RT005-RW001, Gerobak Sampah Motor RT006-RW001, Gerobak Sampah Motor RT007-RW001, , , , , , , , , , , , , , , , , , , , , , , , , , , , , , , , , , , , , , </v>
          </cell>
        </row>
        <row r="542">
          <cell r="Q542">
            <v>568</v>
          </cell>
        </row>
        <row r="586">
          <cell r="Q586" t="str">
            <v xml:space="preserve">Bak sampah 3R RT002-RW001, Gerobak Sampah Motor RT001-RW001, Gerobak Sampah Motor RT002-RW001, Gerobak Sampah Motor RT004-RW001, Gerobak Sampah Motor RT005-RW001, Gerobak Sampah Motor RT006-RW001, Gerobak Sampah Motor RT007-RW001, , , , , , , , , , , , , , , , , , , , , , , , , , , , , , , , , , , , , , </v>
          </cell>
        </row>
        <row r="587">
          <cell r="Q587">
            <v>568</v>
          </cell>
        </row>
        <row r="631">
          <cell r="Q631" t="str">
            <v xml:space="preserve">, , , , , , , , , , , , , , , , , , , </v>
          </cell>
        </row>
        <row r="632">
          <cell r="Q632">
            <v>0</v>
          </cell>
        </row>
        <row r="651">
          <cell r="Q651" t="str">
            <v xml:space="preserve">Alat Pemadam Api Ringan (APAR) RT002-RW001, Alat Pemadam Api Ringan (APAR) RT004-RW001, , , , , , , , , , , , , , , , , , </v>
          </cell>
        </row>
        <row r="652">
          <cell r="Q652">
            <v>158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umus_UpPKP"/>
      <sheetName val="RekapLogbook"/>
      <sheetName val="Input Baseline"/>
      <sheetName val="NUMERIK"/>
      <sheetName val="Kekumuhan Awal_RT_PKP"/>
      <sheetName val="Kekumuhan awal_Kawasan_PKP"/>
      <sheetName val="Grafik Masalah_Kumuh Awal"/>
      <sheetName val="Data Investasi"/>
      <sheetName val="Outcome"/>
      <sheetName val="Kekumuhan Akhir_RT_PKP"/>
      <sheetName val="Kekumuhan Akhir_Kaw_PKP"/>
      <sheetName val="Grafik_Kumuh Akhir_PKP"/>
      <sheetName val="Spider Web"/>
      <sheetName val="Kesimpulan Capaian"/>
      <sheetName val="Kode Kelurahan"/>
      <sheetName val="Peta Infrastruktur"/>
      <sheetName val="Peta Layanan"/>
      <sheetName val="Sheet1"/>
      <sheetName val="REKAP DESA"/>
      <sheetName val="2017"/>
      <sheetName val="analisa kpi"/>
      <sheetName val="kpi"/>
      <sheetName val="bantu"/>
    </sheetNames>
    <sheetDataSet>
      <sheetData sheetId="0"/>
      <sheetData sheetId="1"/>
      <sheetData sheetId="2"/>
      <sheetData sheetId="3">
        <row r="6">
          <cell r="E6" t="str">
            <v>TAWANGREJO</v>
          </cell>
          <cell r="K6">
            <v>15.749999999999996</v>
          </cell>
        </row>
        <row r="8">
          <cell r="K8">
            <v>15.749999999999996</v>
          </cell>
        </row>
        <row r="10">
          <cell r="E10" t="str">
            <v>KARTOHARJO</v>
          </cell>
          <cell r="K10">
            <v>456</v>
          </cell>
        </row>
        <row r="12">
          <cell r="E12" t="str">
            <v>KOTA MADIUN</v>
          </cell>
          <cell r="K12">
            <v>1684</v>
          </cell>
        </row>
        <row r="14">
          <cell r="E14" t="str">
            <v>JAWA TIMUR</v>
          </cell>
          <cell r="K14">
            <v>596</v>
          </cell>
        </row>
        <row r="18">
          <cell r="K18">
            <v>154</v>
          </cell>
        </row>
        <row r="20">
          <cell r="K20">
            <v>0</v>
          </cell>
        </row>
        <row r="22">
          <cell r="K22">
            <v>81</v>
          </cell>
        </row>
        <row r="25">
          <cell r="K25">
            <v>7663</v>
          </cell>
        </row>
        <row r="26">
          <cell r="K26">
            <v>7213</v>
          </cell>
        </row>
        <row r="28">
          <cell r="K28">
            <v>1015</v>
          </cell>
        </row>
        <row r="31">
          <cell r="K31">
            <v>98.429450289270008</v>
          </cell>
        </row>
        <row r="33">
          <cell r="K33">
            <v>0</v>
          </cell>
        </row>
        <row r="36">
          <cell r="K36">
            <v>2.0133999999999999</v>
          </cell>
        </row>
        <row r="38">
          <cell r="K38">
            <v>7888</v>
          </cell>
        </row>
        <row r="40">
          <cell r="K40">
            <v>6638</v>
          </cell>
        </row>
        <row r="42">
          <cell r="K42">
            <v>450</v>
          </cell>
        </row>
        <row r="45">
          <cell r="K45">
            <v>4540</v>
          </cell>
        </row>
        <row r="48">
          <cell r="K48">
            <v>1350</v>
          </cell>
        </row>
        <row r="51">
          <cell r="K51">
            <v>13.533794162826426</v>
          </cell>
        </row>
        <row r="53">
          <cell r="K53">
            <v>17.533794162826428</v>
          </cell>
        </row>
        <row r="56">
          <cell r="K56">
            <v>399</v>
          </cell>
        </row>
        <row r="59">
          <cell r="K59">
            <v>312.12316715542522</v>
          </cell>
        </row>
        <row r="61">
          <cell r="K61">
            <v>221</v>
          </cell>
        </row>
        <row r="64">
          <cell r="K64">
            <v>31</v>
          </cell>
        </row>
        <row r="66">
          <cell r="K66">
            <v>392</v>
          </cell>
        </row>
      </sheetData>
      <sheetData sheetId="4"/>
      <sheetData sheetId="5"/>
      <sheetData sheetId="6"/>
      <sheetData sheetId="7"/>
      <sheetData sheetId="8">
        <row r="6">
          <cell r="M6">
            <v>0</v>
          </cell>
          <cell r="Q6" t="str">
            <v xml:space="preserve">, , , , , , , , , , , , , , , , , , , , , , , , , , , , , , , , , , , , , , , , , , , , </v>
          </cell>
        </row>
        <row r="51">
          <cell r="M51">
            <v>0</v>
          </cell>
          <cell r="Q51" t="str">
            <v xml:space="preserve">, , , , , , , , , , , , , , , , , , , </v>
          </cell>
        </row>
        <row r="71">
          <cell r="M71">
            <v>1</v>
          </cell>
          <cell r="Q71" t="str">
            <v xml:space="preserve">RTLH RT007-RW003, , , , , , , , , , , , , , , , , , , , , , , , , , , , , , , , , , , , , , , , , , , , </v>
          </cell>
        </row>
        <row r="116">
          <cell r="M116">
            <v>225</v>
          </cell>
          <cell r="Q116" t="str">
            <v xml:space="preserve">Jalan Aspal RT007-RW003, Jalan Aspal RT023-RW006, , , , , , , , , , , , , , , , , , </v>
          </cell>
        </row>
        <row r="136">
          <cell r="M136">
            <v>625.20000000000005</v>
          </cell>
          <cell r="Q136" t="str">
            <v xml:space="preserve">Jalan Paving Block RT017-RW005, Jalan Paving Block RT019-RW006, Jalan Paving Block RT002-RW001, Jalan Paving Block RT002-RW001, Jalan Paving Block RT024-RW004, Jalan Paving Block RT002-RW001, Jalan Paving Block RT024-RW004, , , , , , , , , , , , , , , , , , , , , , , , , , , , , , , , , , , , , , </v>
          </cell>
        </row>
        <row r="181">
          <cell r="Q181" t="str">
            <v xml:space="preserve">, , , , , , , , , , , , , , , , , , , </v>
          </cell>
        </row>
        <row r="182">
          <cell r="Q182">
            <v>0</v>
          </cell>
        </row>
        <row r="201">
          <cell r="Q201" t="str">
            <v xml:space="preserve">, , , , , , , , , , , , , , , , , , , , , , , , , , , , , , , , , , , , , , , , , , , , </v>
          </cell>
        </row>
        <row r="202">
          <cell r="Q202">
            <v>0</v>
          </cell>
        </row>
        <row r="246">
          <cell r="M246">
            <v>0</v>
          </cell>
          <cell r="Q246" t="str">
            <v xml:space="preserve">, , , , , , , , , , , , , , , , , , , </v>
          </cell>
        </row>
        <row r="266">
          <cell r="M266">
            <v>97</v>
          </cell>
          <cell r="Q266" t="str">
            <v xml:space="preserve">Drainase Lingkungan RT002-RW001, Drainase Lingkungan RT017-RW005, , , , , , , , , , , , , , , , , , , , , , , , , , , , , , , , , , , , , , , , , , , </v>
          </cell>
        </row>
        <row r="311">
          <cell r="M311">
            <v>0</v>
          </cell>
          <cell r="Q311" t="str">
            <v xml:space="preserve">, , , , , , , , , , , , , , , , , , , </v>
          </cell>
        </row>
        <row r="331">
          <cell r="M331">
            <v>2050</v>
          </cell>
          <cell r="Q331" t="str">
            <v xml:space="preserve">Normalisasi Saluran RT024-RW004, Normalisasi Saluran RT002-RW001, Normalisasi Saluran RT012-RW004, , , , , , , , , , , , , , , , , </v>
          </cell>
        </row>
        <row r="351">
          <cell r="M351">
            <v>221</v>
          </cell>
          <cell r="Q351" t="str">
            <v xml:space="preserve">Drainase Lingkungan RT003-RW001, Drainase Lingkungan RT003-RW001, Drainase Lingkungan RT002-RW001, Drainase Lingkungan RT013-RW004, , , , , , , , , , , , , , , , , , , , , , , , , , , , , , , , , , , , , , , , , </v>
          </cell>
        </row>
        <row r="396">
          <cell r="Q396" t="str">
            <v xml:space="preserve">, , , , , , , , , , , , , , , , , , , , , , , , , , , , , , , , , , , , , , , , , , , , </v>
          </cell>
        </row>
        <row r="397">
          <cell r="Q397">
            <v>0</v>
          </cell>
        </row>
        <row r="441">
          <cell r="Q441" t="str">
            <v xml:space="preserve">, , , , , , , , , , , , , , , , , , , , , , , , , , , , , , , , , , , , , , , , , , , , , , , , , , , , , , </v>
          </cell>
        </row>
        <row r="442">
          <cell r="Q442">
            <v>0</v>
          </cell>
        </row>
        <row r="496">
          <cell r="Q496" t="str">
            <v xml:space="preserve">Gerobak/Motor Sampah RT017-RW005, Gerobak/Motor Sampah RT019-RW006, Cakupan Pelayanan Sampah RT018-RW005, Cakupan Pelayanan Sampah RT016-RW005, , , , , , , , , , , , , , , , , , , , , , , , , , , , , , , , , , , , , , , , , </v>
          </cell>
        </row>
        <row r="497">
          <cell r="Q497">
            <v>173</v>
          </cell>
        </row>
        <row r="541">
          <cell r="Q541" t="str">
            <v xml:space="preserve">Cakupan Pelayanan Sampah RT016-RW005, , , , , , , , , , , , , , , , , , , , , , , , , , , , , , , , , , , , , , , , , , , , </v>
          </cell>
        </row>
        <row r="542">
          <cell r="Q542">
            <v>34</v>
          </cell>
        </row>
        <row r="586">
          <cell r="Q586" t="str">
            <v xml:space="preserve">Cakupan Pelayanan Sampah RT018-RW005, , , , , , , , , , , , , , , , , , , , , , , , , , , , , , , , , , , , , , , , , , , , </v>
          </cell>
        </row>
        <row r="587">
          <cell r="Q587">
            <v>40</v>
          </cell>
        </row>
        <row r="631">
          <cell r="Q631" t="str">
            <v xml:space="preserve">Cakupan Pelayanan Kebakaran RT003-RW001, , , , , , , , , , , , , , , , , , , </v>
          </cell>
        </row>
        <row r="632">
          <cell r="Q632">
            <v>64</v>
          </cell>
        </row>
        <row r="651">
          <cell r="Q651" t="str">
            <v xml:space="preserve">Cakupan Pelayanan Kebakaran RT002-RW001, Cakupan Pelayanan Kebakaran RT003-RW001, Cakupan Pelayanan Kebakaran RT005-RW002, Cakupan Pelayanan Kebakaran RT007-RW003, Cakupan Pelayanan Kebakaran RT010-RW003, Cakupan Pelayanan Kebakaran RT012-RW004, Cakupan Pelayanan Kebakaran RT013-RW004, Cakupan Pelayanan Kebakaran RT017-RW005, Cakupan Pelayanan Kebakaran RT018-RW005, Cakupan Pelayanan Kebakaran RT023-RW006, Cakupan Pelayanan Kebakaran RT024-RW004, , , , , , , , , </v>
          </cell>
        </row>
        <row r="652">
          <cell r="Q652">
            <v>508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umus_UpPKP"/>
      <sheetName val="RekapLogbook"/>
      <sheetName val="Input Baseline"/>
      <sheetName val="NUMERIK"/>
      <sheetName val="Kekumuhan Awal_RT_PKP"/>
      <sheetName val="Kekumuhan awal_Kawasan_PKP"/>
      <sheetName val="Grafik Masalah_Kumuh Awal"/>
      <sheetName val="Data Investasi"/>
      <sheetName val="Outcome"/>
      <sheetName val="Kekumuhan Akhir_RT_PKP"/>
      <sheetName val="Kekumuhan Akhir_Kaw_PKP"/>
      <sheetName val="Grafik_Kumuh Akhir_PKP"/>
      <sheetName val="Spider Web"/>
      <sheetName val="Kesimpulan Capaian"/>
      <sheetName val="Kode Kelurahan"/>
      <sheetName val="Peta Infrastruktur"/>
      <sheetName val="Peta Layanan"/>
      <sheetName val="Sheet1"/>
      <sheetName val="REKAP DESA"/>
      <sheetName val="2017"/>
      <sheetName val="analisa kpi"/>
      <sheetName val="kpi"/>
      <sheetName val="bantu"/>
    </sheetNames>
    <sheetDataSet>
      <sheetData sheetId="0"/>
      <sheetData sheetId="1"/>
      <sheetData sheetId="2"/>
      <sheetData sheetId="3">
        <row r="6">
          <cell r="E6" t="str">
            <v>PANDEAN</v>
          </cell>
          <cell r="K6">
            <v>6.9399999999999995</v>
          </cell>
        </row>
        <row r="8">
          <cell r="K8">
            <v>6.9399999999999995</v>
          </cell>
        </row>
        <row r="10">
          <cell r="E10" t="str">
            <v>TAMAN</v>
          </cell>
          <cell r="K10">
            <v>308</v>
          </cell>
        </row>
        <row r="12">
          <cell r="E12" t="str">
            <v>KOTA MADIUN</v>
          </cell>
          <cell r="K12">
            <v>1193</v>
          </cell>
        </row>
        <row r="14">
          <cell r="E14" t="str">
            <v>JAWA TIMUR</v>
          </cell>
          <cell r="K14">
            <v>403</v>
          </cell>
        </row>
        <row r="18">
          <cell r="K18">
            <v>16</v>
          </cell>
        </row>
        <row r="20">
          <cell r="K20">
            <v>0</v>
          </cell>
        </row>
        <row r="22">
          <cell r="K22">
            <v>19</v>
          </cell>
        </row>
        <row r="25">
          <cell r="K25">
            <v>2980</v>
          </cell>
        </row>
        <row r="26">
          <cell r="K26">
            <v>2980</v>
          </cell>
        </row>
        <row r="28">
          <cell r="K28">
            <v>430</v>
          </cell>
        </row>
        <row r="31">
          <cell r="K31">
            <v>232.58131914352617</v>
          </cell>
        </row>
        <row r="33">
          <cell r="K33">
            <v>0</v>
          </cell>
        </row>
        <row r="36">
          <cell r="K36">
            <v>0</v>
          </cell>
        </row>
        <row r="38">
          <cell r="K38">
            <v>2550</v>
          </cell>
        </row>
        <row r="40">
          <cell r="K40">
            <v>2550</v>
          </cell>
        </row>
        <row r="42">
          <cell r="K42">
            <v>0</v>
          </cell>
        </row>
        <row r="45">
          <cell r="K45">
            <v>2100</v>
          </cell>
        </row>
        <row r="48">
          <cell r="K48">
            <v>0</v>
          </cell>
        </row>
        <row r="51">
          <cell r="K51">
            <v>2.4781704781704761</v>
          </cell>
        </row>
        <row r="53">
          <cell r="K53">
            <v>2.4781704781704761</v>
          </cell>
        </row>
        <row r="56">
          <cell r="K56">
            <v>45</v>
          </cell>
        </row>
        <row r="59">
          <cell r="K59">
            <v>0</v>
          </cell>
        </row>
        <row r="61">
          <cell r="K61">
            <v>45</v>
          </cell>
        </row>
        <row r="64">
          <cell r="K64">
            <v>0</v>
          </cell>
        </row>
        <row r="66">
          <cell r="K66">
            <v>0</v>
          </cell>
        </row>
      </sheetData>
      <sheetData sheetId="4"/>
      <sheetData sheetId="5"/>
      <sheetData sheetId="6"/>
      <sheetData sheetId="7"/>
      <sheetData sheetId="8">
        <row r="6">
          <cell r="M6">
            <v>0</v>
          </cell>
          <cell r="Q6" t="str">
            <v xml:space="preserve">, , , , , , , , , , , , , , , , , , , , , , , , , , , , , , , , , , , , , , , , , , , , </v>
          </cell>
        </row>
        <row r="51">
          <cell r="M51">
            <v>0</v>
          </cell>
          <cell r="Q51" t="str">
            <v xml:space="preserve">, , , , , , , , , , , , , , , , , , , </v>
          </cell>
        </row>
        <row r="71">
          <cell r="M71">
            <v>0</v>
          </cell>
          <cell r="Q71" t="str">
            <v xml:space="preserve">, , , , , , , , , , , , , , , , , , , , , , , , , , , , , , , , , , , , , , , , , , , , </v>
          </cell>
        </row>
        <row r="116">
          <cell r="M116">
            <v>0</v>
          </cell>
          <cell r="Q116" t="str">
            <v xml:space="preserve">, , , , , , , , , , , , , , , , , , , </v>
          </cell>
        </row>
        <row r="136">
          <cell r="M136">
            <v>0</v>
          </cell>
          <cell r="Q136" t="str">
            <v xml:space="preserve">, , , , , , , , , , , , , , , , , , , , , , , , , , , , , , , , , , , , , , , , , , , , </v>
          </cell>
        </row>
        <row r="181">
          <cell r="Q181" t="str">
            <v xml:space="preserve">, , , , , , , , , , , , , , , , , , , </v>
          </cell>
        </row>
        <row r="182">
          <cell r="Q182">
            <v>0</v>
          </cell>
        </row>
        <row r="201">
          <cell r="Q201" t="str">
            <v xml:space="preserve">, , , , , , , , , , , , , , , , , , , , , , , , , , , , , , , , , , , , , , , , , , , , </v>
          </cell>
        </row>
        <row r="202">
          <cell r="Q202">
            <v>0</v>
          </cell>
        </row>
        <row r="246">
          <cell r="M246">
            <v>0</v>
          </cell>
          <cell r="Q246" t="str">
            <v xml:space="preserve">, , , , , , , , , , , , , , , , , , , </v>
          </cell>
        </row>
        <row r="266">
          <cell r="M266">
            <v>0</v>
          </cell>
          <cell r="Q266" t="str">
            <v xml:space="preserve">, , , , , , , , , , , , , , , , , , , , , , , , , , , , , , , , , , , , , , , , , , , , </v>
          </cell>
        </row>
        <row r="311">
          <cell r="M311">
            <v>0</v>
          </cell>
          <cell r="Q311" t="str">
            <v xml:space="preserve">, , , , , , , , , , , , , , , , , , , </v>
          </cell>
        </row>
        <row r="331">
          <cell r="M331">
            <v>125</v>
          </cell>
          <cell r="Q331" t="str">
            <v xml:space="preserve">Perbaikan Drainase RT012-RW004, , , , , , , , , , , , , , , , , , , </v>
          </cell>
        </row>
        <row r="351">
          <cell r="M351">
            <v>0</v>
          </cell>
          <cell r="Q351" t="str">
            <v xml:space="preserve">, , , , , , , , , , , , , , , , , , , , , , , , , , , , , , , , , , , , , , , , , , , , </v>
          </cell>
        </row>
        <row r="396">
          <cell r="Q396" t="str">
            <v xml:space="preserve">, , , , , , , , , , , , , , , , , , , , , , , , , , , , , , , , , , , , , , , , , , , , </v>
          </cell>
        </row>
        <row r="397">
          <cell r="Q397">
            <v>0</v>
          </cell>
        </row>
        <row r="441">
          <cell r="Q441" t="str">
            <v xml:space="preserve">, , , , , , , , , , , , , , , , , , , , , , , , , , , , , , , , , , , , , , , , , , , , , , , , , , , , , , </v>
          </cell>
        </row>
        <row r="442">
          <cell r="Q442">
            <v>0</v>
          </cell>
        </row>
        <row r="496">
          <cell r="Q496" t="str">
            <v xml:space="preserve">, , , , , , , , , , , , , , , , , , , , , , , , , , , , , , , , , , , , , , , , , , , , </v>
          </cell>
        </row>
        <row r="497">
          <cell r="Q497">
            <v>0</v>
          </cell>
        </row>
        <row r="541">
          <cell r="Q541" t="str">
            <v xml:space="preserve">, , , , , , , , , , , , , , , , , , , , , , , , , , , , , , , , , , , , , , , , , , , , </v>
          </cell>
        </row>
        <row r="542">
          <cell r="Q542">
            <v>0</v>
          </cell>
        </row>
        <row r="586">
          <cell r="Q586" t="str">
            <v xml:space="preserve">, , , , , , , , , , , , , , , , , , , , , , , , , , , , , , , , , , , , , , , , , , , , </v>
          </cell>
        </row>
        <row r="587">
          <cell r="Q587">
            <v>0</v>
          </cell>
        </row>
        <row r="631">
          <cell r="Q631" t="str">
            <v xml:space="preserve">, , , , , , , , , , , , , , , , , , , </v>
          </cell>
        </row>
        <row r="632">
          <cell r="Q632">
            <v>0</v>
          </cell>
        </row>
        <row r="651">
          <cell r="Q651" t="str">
            <v xml:space="preserve">, , , , , , , , , , , , , , , , , , , </v>
          </cell>
        </row>
        <row r="652">
          <cell r="Q652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umus_UpPKP"/>
      <sheetName val="RekapLogbook"/>
      <sheetName val="Input Baseline"/>
      <sheetName val="NUMERIK"/>
      <sheetName val="Kekumuhan Awal_RT_PKP"/>
      <sheetName val="Kekumuhan awal_Kawasan_PKP"/>
      <sheetName val="Grafik Masalah_Kumuh Awal"/>
      <sheetName val="Data Investasi"/>
      <sheetName val="Outcome"/>
      <sheetName val="Kekumuhan Akhir_RT_PKP"/>
      <sheetName val="Kekumuhan Akhir_Kaw_PKP"/>
      <sheetName val="Grafik_Kumuh Akhir_PKP"/>
      <sheetName val="Spider Web"/>
      <sheetName val="Kesimpulan Capaian"/>
      <sheetName val="Kode Kelurahan"/>
      <sheetName val="Peta Infrastruktur"/>
      <sheetName val="Peta Layanan"/>
      <sheetName val="Sheet1"/>
      <sheetName val="REKAP DESA"/>
      <sheetName val="2017"/>
      <sheetName val="analisa kpi"/>
      <sheetName val="kpi"/>
      <sheetName val="bantu"/>
    </sheetNames>
    <sheetDataSet>
      <sheetData sheetId="0"/>
      <sheetData sheetId="1"/>
      <sheetData sheetId="2"/>
      <sheetData sheetId="3">
        <row r="6">
          <cell r="E6" t="str">
            <v>NAMBANGAN LOR</v>
          </cell>
          <cell r="K6">
            <v>6.66</v>
          </cell>
        </row>
        <row r="8">
          <cell r="K8">
            <v>6.66</v>
          </cell>
        </row>
        <row r="10">
          <cell r="E10" t="str">
            <v>MANGUHARJO</v>
          </cell>
          <cell r="K10">
            <v>182</v>
          </cell>
        </row>
        <row r="12">
          <cell r="E12" t="str">
            <v>KOTA MADIUN</v>
          </cell>
          <cell r="K12">
            <v>698</v>
          </cell>
        </row>
        <row r="14">
          <cell r="E14" t="str">
            <v>JAWA TIMUR</v>
          </cell>
          <cell r="K14">
            <v>249</v>
          </cell>
        </row>
        <row r="18">
          <cell r="K18">
            <v>40</v>
          </cell>
        </row>
        <row r="20">
          <cell r="K20">
            <v>0</v>
          </cell>
        </row>
        <row r="22">
          <cell r="K22">
            <v>31</v>
          </cell>
        </row>
        <row r="25">
          <cell r="K25">
            <v>2105</v>
          </cell>
        </row>
        <row r="26">
          <cell r="K26">
            <v>2005</v>
          </cell>
        </row>
        <row r="28">
          <cell r="K28">
            <v>190</v>
          </cell>
        </row>
        <row r="31">
          <cell r="K31">
            <v>10.222222222222221</v>
          </cell>
        </row>
        <row r="33">
          <cell r="K33">
            <v>0</v>
          </cell>
        </row>
        <row r="36">
          <cell r="K36">
            <v>0</v>
          </cell>
        </row>
        <row r="38">
          <cell r="K38">
            <v>3545</v>
          </cell>
        </row>
        <row r="40">
          <cell r="K40">
            <v>3410</v>
          </cell>
        </row>
        <row r="42">
          <cell r="K42">
            <v>35</v>
          </cell>
        </row>
        <row r="45">
          <cell r="K45">
            <v>3140</v>
          </cell>
        </row>
        <row r="48">
          <cell r="K48">
            <v>210</v>
          </cell>
        </row>
        <row r="51">
          <cell r="K51">
            <v>55.616666666666667</v>
          </cell>
        </row>
        <row r="53">
          <cell r="K53">
            <v>0</v>
          </cell>
        </row>
        <row r="56">
          <cell r="K56">
            <v>173</v>
          </cell>
        </row>
        <row r="59">
          <cell r="K59">
            <v>48</v>
          </cell>
        </row>
        <row r="61">
          <cell r="K61">
            <v>97</v>
          </cell>
        </row>
        <row r="64">
          <cell r="K64">
            <v>40</v>
          </cell>
        </row>
        <row r="66">
          <cell r="K66">
            <v>142</v>
          </cell>
        </row>
      </sheetData>
      <sheetData sheetId="4"/>
      <sheetData sheetId="5"/>
      <sheetData sheetId="6"/>
      <sheetData sheetId="7"/>
      <sheetData sheetId="8">
        <row r="6">
          <cell r="M6">
            <v>0</v>
          </cell>
          <cell r="Q6" t="str">
            <v xml:space="preserve">, , , , , , , , , , , , , , , , , , , , , , , , , , , , , , , , , , , , , , , , , , , , </v>
          </cell>
        </row>
        <row r="51">
          <cell r="M51">
            <v>0</v>
          </cell>
          <cell r="Q51" t="str">
            <v xml:space="preserve">, , , , , , , , , , , , , , , , , , , </v>
          </cell>
        </row>
        <row r="71">
          <cell r="M71">
            <v>6</v>
          </cell>
          <cell r="Q71" t="str">
            <v xml:space="preserve">RTLH RT066-RW015, , , , , , , , , , , , , , , , , , , , , , , , , , , , , , , , , , , , , , , , , , , , </v>
          </cell>
        </row>
        <row r="116">
          <cell r="M116">
            <v>0</v>
          </cell>
          <cell r="Q116" t="str">
            <v xml:space="preserve">, , , , , , , , , , , , , , , , , , , </v>
          </cell>
        </row>
        <row r="136">
          <cell r="M136">
            <v>1143.2</v>
          </cell>
          <cell r="Q136" t="str">
            <v xml:space="preserve">JALAN PAVING BLOCK RT063-RW015, JALAN PAVING BLOCK RT064-RW015, JALAN PAVING BLOCK RT065-RW015, JALAN PAVING BLOCK RT066-RW015, JALAN PAVING BLOCK RT033-RW009, , , , , , , , , , , , , , , , , , , , , , , , , , , , , , , , , , , , , , , , </v>
          </cell>
        </row>
        <row r="181">
          <cell r="Q181" t="str">
            <v xml:space="preserve">, , , , , , , , , , , , , , , , , , , </v>
          </cell>
        </row>
        <row r="182">
          <cell r="Q182">
            <v>0</v>
          </cell>
        </row>
        <row r="201">
          <cell r="Q201" t="str">
            <v xml:space="preserve">, , , , , , , , , , , , , , , , , , , , , , , , , , , , , , , , , , , , , , , , , , , , </v>
          </cell>
        </row>
        <row r="202">
          <cell r="Q202">
            <v>0</v>
          </cell>
        </row>
        <row r="246">
          <cell r="M246">
            <v>182</v>
          </cell>
          <cell r="Q246" t="str">
            <v xml:space="preserve">PEMBANGUNAN/PERBAIKAN TANGGUL RT063-RW015, PEMBANGUNAN POMPA+RUMAH POMPA RT063-RW015, , , , , , , , , , , , , , , , , , </v>
          </cell>
        </row>
        <row r="266">
          <cell r="M266">
            <v>0</v>
          </cell>
          <cell r="Q266" t="str">
            <v xml:space="preserve">, , , , , , , , , , , , , , , , , , , , , , , , , , , , , , , , , , , , , , , , , , , , </v>
          </cell>
        </row>
        <row r="311">
          <cell r="M311">
            <v>0</v>
          </cell>
          <cell r="Q311" t="str">
            <v xml:space="preserve">, , , , , , , , , , , , , , , , , , , </v>
          </cell>
        </row>
        <row r="331">
          <cell r="M331">
            <v>0</v>
          </cell>
          <cell r="Q331" t="str">
            <v xml:space="preserve">, , , , , , , , , , , , , , , , , , , </v>
          </cell>
        </row>
        <row r="351">
          <cell r="M351">
            <v>413.5</v>
          </cell>
          <cell r="Q351" t="str">
            <v xml:space="preserve">PERBAIKAN DRAINASE RT063-RW015, PERBAIKAN DRAINASE RT064-RW015, PERBAIKAN DRAINASE RT065-RW015, PERBAIKAN DRAINASE RT066-RW015, , , , , , , , , , , , , , , , , , , , , , , , , , , , , , , , , , , , , , , , , </v>
          </cell>
        </row>
        <row r="396">
          <cell r="Q396" t="str">
            <v xml:space="preserve">, , , , , , , , , , , , , , , , , , , , , , , , , , , , , , , , , , , , , , , , , , , , </v>
          </cell>
        </row>
        <row r="397">
          <cell r="Q397">
            <v>0</v>
          </cell>
        </row>
        <row r="441">
          <cell r="Q441" t="str">
            <v xml:space="preserve">SEPTICTANK KOMUNAL RT063-RW015, , , , , , , , , , , , , , , , , , , , , , , , , , , , , , , , , , , , , , , , , , , , , , , , , , , , , , </v>
          </cell>
        </row>
        <row r="442">
          <cell r="Q442">
            <v>10</v>
          </cell>
        </row>
        <row r="496">
          <cell r="Q496" t="str">
            <v xml:space="preserve">Penyediaan TPS-3R+Gerobak RT063-RW015, Penyediaan TPS-3R+Gerobak RT064-RW015, Penyediaan TPS-3R+Gerobak RT065-RW015, Penyediaan TPS-3R+Gerobak RT066-RW015, Penyediaan TPS-3R+Gerobak RT033-RW009, , , , , , , , , , , , , , , , , , , , , , , , , , , , , , , , , , , , , , , , </v>
          </cell>
        </row>
        <row r="497">
          <cell r="Q497">
            <v>249</v>
          </cell>
        </row>
        <row r="541">
          <cell r="Q541" t="str">
            <v xml:space="preserve">, , , , , , , , , , , , , , , , , , , , , , , , , , , , , , , , , , , , , , , , , , , , </v>
          </cell>
        </row>
        <row r="542">
          <cell r="Q542">
            <v>0</v>
          </cell>
        </row>
        <row r="586">
          <cell r="Q586" t="str">
            <v xml:space="preserve">, , , , , , , , , , , , , , , , , , , , , , , , , , , , , , , , , , , , , , , , , , , , </v>
          </cell>
        </row>
        <row r="587">
          <cell r="Q587">
            <v>0</v>
          </cell>
        </row>
        <row r="631">
          <cell r="Q631" t="str">
            <v xml:space="preserve">, , , , , , , , , , , , , , , , , , , </v>
          </cell>
        </row>
        <row r="632">
          <cell r="Q632">
            <v>0</v>
          </cell>
        </row>
        <row r="651">
          <cell r="Q651" t="str">
            <v xml:space="preserve">Cakupan Pelayanan Damkar RT033-RW009, Cakupan Pelayanan Damkar RT063-RW015, Cakupan Pelayanan Damkar RT064-RW015, Cakupan Pelayanan Damkar RT065-RW015, Cakupan Pelayanan Damkar RT066-RW015, , , , , , , , , , , , , , , </v>
          </cell>
        </row>
        <row r="652">
          <cell r="Q652">
            <v>249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umus_UpPKP"/>
      <sheetName val="RekapLogbook"/>
      <sheetName val="Input Baseline"/>
      <sheetName val="NUMERIK"/>
      <sheetName val="Kekumuhan Awal_RT_PKP"/>
      <sheetName val="Kekumuhan awal_Kawasan_PKP"/>
      <sheetName val="Grafik Masalah_Kumuh Awal"/>
      <sheetName val="Data Investasi"/>
      <sheetName val="Outcome"/>
      <sheetName val="Kekumuhan Akhir_RT_PKP"/>
      <sheetName val="Kekumuhan Akhir_Kaw_PKP"/>
      <sheetName val="Grafik_Kumuh Akhir_PKP"/>
      <sheetName val="Spider Web"/>
      <sheetName val="Kesimpulan Capaian"/>
      <sheetName val="Kode Kelurahan"/>
      <sheetName val="Peta Infrastruktur"/>
      <sheetName val="Peta Layanan"/>
      <sheetName val="Sheet1"/>
      <sheetName val="REKAP DESA"/>
      <sheetName val="2017"/>
      <sheetName val="analisa kpi"/>
      <sheetName val="kpi"/>
      <sheetName val="bantu"/>
    </sheetNames>
    <sheetDataSet>
      <sheetData sheetId="0"/>
      <sheetData sheetId="1"/>
      <sheetData sheetId="2"/>
      <sheetData sheetId="3">
        <row r="6">
          <cell r="E6" t="str">
            <v>NAMBANGAN KIDUL</v>
          </cell>
          <cell r="K6">
            <v>6.7140199999999997</v>
          </cell>
        </row>
        <row r="8">
          <cell r="K8">
            <v>6.7140199999999997</v>
          </cell>
        </row>
        <row r="10">
          <cell r="E10" t="str">
            <v>MANGUHARJO</v>
          </cell>
          <cell r="K10">
            <v>216</v>
          </cell>
        </row>
        <row r="12">
          <cell r="E12" t="str">
            <v>KOTA MADIUN</v>
          </cell>
          <cell r="K12">
            <v>845</v>
          </cell>
        </row>
        <row r="14">
          <cell r="E14" t="str">
            <v>JAWA TIMUR</v>
          </cell>
          <cell r="K14">
            <v>251</v>
          </cell>
        </row>
        <row r="18">
          <cell r="K18">
            <v>62</v>
          </cell>
        </row>
        <row r="20">
          <cell r="K20">
            <v>0</v>
          </cell>
        </row>
        <row r="22">
          <cell r="K22">
            <v>14</v>
          </cell>
        </row>
        <row r="25">
          <cell r="K25">
            <v>2435</v>
          </cell>
        </row>
        <row r="26">
          <cell r="K26">
            <v>2435</v>
          </cell>
        </row>
        <row r="28">
          <cell r="K28">
            <v>275</v>
          </cell>
        </row>
        <row r="31">
          <cell r="K31">
            <v>35</v>
          </cell>
        </row>
        <row r="33">
          <cell r="K33">
            <v>4.6216216216216184</v>
          </cell>
        </row>
        <row r="36">
          <cell r="K36">
            <v>0.5</v>
          </cell>
        </row>
        <row r="38">
          <cell r="K38">
            <v>4790</v>
          </cell>
        </row>
        <row r="40">
          <cell r="K40">
            <v>4200</v>
          </cell>
        </row>
        <row r="42">
          <cell r="K42">
            <v>280</v>
          </cell>
        </row>
        <row r="45">
          <cell r="K45">
            <v>3410</v>
          </cell>
        </row>
        <row r="48">
          <cell r="K48">
            <v>1250</v>
          </cell>
        </row>
        <row r="51">
          <cell r="K51">
            <v>0</v>
          </cell>
        </row>
        <row r="53">
          <cell r="K53">
            <v>0</v>
          </cell>
        </row>
        <row r="56">
          <cell r="K56">
            <v>119</v>
          </cell>
        </row>
        <row r="59">
          <cell r="K59">
            <v>132</v>
          </cell>
        </row>
        <row r="61">
          <cell r="K61">
            <v>119</v>
          </cell>
        </row>
        <row r="64">
          <cell r="K64">
            <v>46</v>
          </cell>
        </row>
        <row r="66">
          <cell r="K66">
            <v>46</v>
          </cell>
        </row>
      </sheetData>
      <sheetData sheetId="4"/>
      <sheetData sheetId="5"/>
      <sheetData sheetId="6"/>
      <sheetData sheetId="7"/>
      <sheetData sheetId="8">
        <row r="6">
          <cell r="M6">
            <v>0</v>
          </cell>
          <cell r="Q6" t="str">
            <v xml:space="preserve">, , , , , , , , , , , , , , , , , , , , , , , , , , , , , , , , , , , , , , , , , , , , </v>
          </cell>
        </row>
        <row r="51">
          <cell r="M51">
            <v>0</v>
          </cell>
          <cell r="Q51" t="str">
            <v xml:space="preserve">, , , , , , , , , , , , , , , , , , , </v>
          </cell>
        </row>
        <row r="71">
          <cell r="M71">
            <v>1</v>
          </cell>
          <cell r="Q71" t="str">
            <v xml:space="preserve">RTLH RT014-RW005, , , , , , , , , , , , , , , , , , , , , , , , , , , , , , , , , , , , , , , , , , , , </v>
          </cell>
        </row>
        <row r="116">
          <cell r="M116">
            <v>0</v>
          </cell>
          <cell r="Q116" t="str">
            <v xml:space="preserve">, , , , , , , , , , , , , , , , , , , </v>
          </cell>
        </row>
        <row r="136">
          <cell r="M136">
            <v>249</v>
          </cell>
          <cell r="Q136" t="str">
            <v xml:space="preserve">Jalan Paving Block RT040-RW013, Jalan Paving Block RT040-RW013, , , , , , , , , , , , , , , , , , , , , , , , , , , , , , , , , , , , , , , , , , , </v>
          </cell>
        </row>
        <row r="181">
          <cell r="Q181" t="str">
            <v xml:space="preserve">, , , , , , , , , , , , , , , , , , , </v>
          </cell>
        </row>
        <row r="182">
          <cell r="Q182">
            <v>0</v>
          </cell>
        </row>
        <row r="201">
          <cell r="Q201" t="str">
            <v xml:space="preserve">, , , , , , , , , , , , , , , , , , , , , , , , , , , , , , , , , , , , , , , , , , , , </v>
          </cell>
        </row>
        <row r="202">
          <cell r="Q202">
            <v>0</v>
          </cell>
        </row>
        <row r="246">
          <cell r="M246">
            <v>0</v>
          </cell>
          <cell r="Q246" t="str">
            <v xml:space="preserve">, , , , , , , , , , , , , , , , , , , </v>
          </cell>
        </row>
        <row r="266">
          <cell r="M266">
            <v>316</v>
          </cell>
          <cell r="Q266" t="str">
            <v xml:space="preserve">Drainase Lingkungan RT014-RW005, Penutup Saluran/Parit (Plat beton,dll) RT014-RW005, Drainase Lingkungan RT015-RW005, Drainase Lingkungan RT040-RW013, Drainase Lingkungan RT040-RW013, , , , , , , , , , , , , , , , , , , , , , , , , , , , , , , , , , , , , , , , </v>
          </cell>
        </row>
        <row r="311">
          <cell r="M311">
            <v>0</v>
          </cell>
          <cell r="Q311" t="str">
            <v xml:space="preserve">, , , , , , , , , , , , , , , , , , , </v>
          </cell>
        </row>
        <row r="331">
          <cell r="M331">
            <v>0</v>
          </cell>
          <cell r="Q331" t="str">
            <v xml:space="preserve">, , , , , , , , , , , , , , , , , , , </v>
          </cell>
        </row>
        <row r="351">
          <cell r="M351">
            <v>85</v>
          </cell>
          <cell r="Q351" t="str">
            <v xml:space="preserve">Drainase Lingkungan RT044-RW014, Drainase Lingkungan RT044-RW014, , , , , , , , , , , , , , , , , , , , , , , , , , , , , , , , , , , , , , , , , , , </v>
          </cell>
        </row>
        <row r="396">
          <cell r="Q396" t="str">
            <v xml:space="preserve">, , , , , , , , , , , , , , , , , , , , , , , , , , , , , , , , , , , , , , , , , , , , </v>
          </cell>
        </row>
        <row r="397">
          <cell r="Q397">
            <v>0</v>
          </cell>
        </row>
        <row r="441">
          <cell r="Q441" t="str">
            <v xml:space="preserve">, , , , , , , , , , , , , , , , , , , , , , , , , , , , , , , , , , , , , , , , , , , , , , , , , , , , , , </v>
          </cell>
        </row>
        <row r="442">
          <cell r="Q442">
            <v>0</v>
          </cell>
        </row>
        <row r="496">
          <cell r="Q496" t="str">
            <v xml:space="preserve">Cakupan Pelayanan Persampahan RT014-RW005, Cakupan Pelayanan Persampahan RT015-RW005, Cakupan Pelayanan Persampahan RT040-RW013, Cakupan Pelayanan Persampahan RT044-RW014, , , , , , , , , , , , , , , , , , , , , , , , , , , , , , , , , , , , , , , , , </v>
          </cell>
        </row>
        <row r="497">
          <cell r="Q497">
            <v>251</v>
          </cell>
        </row>
        <row r="541">
          <cell r="Q541" t="str">
            <v xml:space="preserve">, , , , , , , , , , , , , , , , , , , , , , , , , , , , , , , , , , , , , , , , , , , , </v>
          </cell>
        </row>
        <row r="542">
          <cell r="Q542">
            <v>0</v>
          </cell>
        </row>
        <row r="586">
          <cell r="Q586" t="str">
            <v xml:space="preserve">, , , , , , , , , , , , , , , , , , , , , , , , , , , , , , , , , , , , , , , , , , , , </v>
          </cell>
        </row>
        <row r="587">
          <cell r="Q587">
            <v>0</v>
          </cell>
        </row>
        <row r="631">
          <cell r="Q631" t="str">
            <v xml:space="preserve">Cakupan Pelayanan Kebakaran RT014-RW005, , , , , , , , , , , , , , , , , , , </v>
          </cell>
        </row>
        <row r="632">
          <cell r="Q632">
            <v>61</v>
          </cell>
        </row>
        <row r="651">
          <cell r="Q651" t="str">
            <v xml:space="preserve">Cakupan Pelayanan Kebakaran RT014-RW005, , , , , , , , , , , , , , , , , , , </v>
          </cell>
        </row>
        <row r="652">
          <cell r="Q652">
            <v>61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umus_UpPKP"/>
      <sheetName val="RekapLogbook"/>
      <sheetName val="Input Baseline"/>
      <sheetName val="NUMERIK"/>
      <sheetName val="Kekumuhan Awal_RT_PKP"/>
      <sheetName val="Kekumuhan awal_Kawasan_PKP"/>
      <sheetName val="Grafik Masalah_Kumuh Awal"/>
      <sheetName val="Data Investasi"/>
      <sheetName val="Outcome"/>
      <sheetName val="Kekumuhan Akhir_RT_PKP"/>
      <sheetName val="Kekumuhan Akhir_Kaw_PKP"/>
      <sheetName val="Grafik_Kumuh Akhir_PKP"/>
      <sheetName val="Spider Web"/>
      <sheetName val="Kesimpulan Capaian"/>
      <sheetName val="Kode Kelurahan"/>
      <sheetName val="Peta Infrastruktur"/>
      <sheetName val="Peta Layanan"/>
      <sheetName val="Sheet1"/>
      <sheetName val="REKAP DESA"/>
      <sheetName val="2017"/>
      <sheetName val="analisa kpi"/>
      <sheetName val="kpi"/>
      <sheetName val="bantu"/>
    </sheetNames>
    <sheetDataSet>
      <sheetData sheetId="0"/>
      <sheetData sheetId="1"/>
      <sheetData sheetId="2"/>
      <sheetData sheetId="3">
        <row r="6">
          <cell r="E6" t="str">
            <v>KELUN</v>
          </cell>
          <cell r="K6">
            <v>3.26</v>
          </cell>
        </row>
        <row r="8">
          <cell r="K8">
            <v>3.26</v>
          </cell>
        </row>
        <row r="10">
          <cell r="E10" t="str">
            <v>KARTOHARJO</v>
          </cell>
          <cell r="K10">
            <v>110</v>
          </cell>
        </row>
        <row r="12">
          <cell r="E12" t="str">
            <v>KOTA MADIUN</v>
          </cell>
          <cell r="K12">
            <v>403</v>
          </cell>
        </row>
        <row r="14">
          <cell r="E14" t="str">
            <v>JAWA TIMUR</v>
          </cell>
          <cell r="K14">
            <v>137</v>
          </cell>
        </row>
        <row r="18">
          <cell r="K18">
            <v>33</v>
          </cell>
        </row>
        <row r="20">
          <cell r="K20">
            <v>0</v>
          </cell>
        </row>
        <row r="22">
          <cell r="K22">
            <v>17</v>
          </cell>
        </row>
        <row r="25">
          <cell r="K25">
            <v>1155</v>
          </cell>
        </row>
        <row r="26">
          <cell r="K26">
            <v>1155</v>
          </cell>
        </row>
        <row r="28">
          <cell r="K28">
            <v>75</v>
          </cell>
        </row>
        <row r="31">
          <cell r="K31">
            <v>20</v>
          </cell>
        </row>
        <row r="33">
          <cell r="K33">
            <v>0</v>
          </cell>
        </row>
        <row r="36">
          <cell r="K36">
            <v>0</v>
          </cell>
        </row>
        <row r="38">
          <cell r="K38">
            <v>1025</v>
          </cell>
        </row>
        <row r="40">
          <cell r="K40">
            <v>950</v>
          </cell>
        </row>
        <row r="42">
          <cell r="K42">
            <v>0</v>
          </cell>
        </row>
        <row r="45">
          <cell r="K45">
            <v>400</v>
          </cell>
        </row>
        <row r="48">
          <cell r="K48">
            <v>65</v>
          </cell>
        </row>
        <row r="51">
          <cell r="K51">
            <v>0</v>
          </cell>
        </row>
        <row r="53">
          <cell r="K53">
            <v>8.4999999999999982</v>
          </cell>
        </row>
        <row r="56">
          <cell r="K56">
            <v>106</v>
          </cell>
        </row>
        <row r="59">
          <cell r="K59">
            <v>78.63333333333334</v>
          </cell>
        </row>
        <row r="61">
          <cell r="K61">
            <v>106</v>
          </cell>
        </row>
        <row r="64">
          <cell r="K64">
            <v>0</v>
          </cell>
        </row>
        <row r="66">
          <cell r="K66">
            <v>86</v>
          </cell>
        </row>
      </sheetData>
      <sheetData sheetId="4"/>
      <sheetData sheetId="5"/>
      <sheetData sheetId="6"/>
      <sheetData sheetId="7"/>
      <sheetData sheetId="8">
        <row r="6">
          <cell r="M6">
            <v>0</v>
          </cell>
          <cell r="Q6" t="str">
            <v xml:space="preserve">, , , , , , , , , , , , , , , , , , , , , , , , , , , , , , , , , , , , , , , , , , , , </v>
          </cell>
        </row>
        <row r="51">
          <cell r="M51">
            <v>0</v>
          </cell>
          <cell r="Q51" t="str">
            <v xml:space="preserve">, , , , , , , , , , , , , , , , , , , </v>
          </cell>
        </row>
        <row r="71">
          <cell r="M71">
            <v>0</v>
          </cell>
          <cell r="Q71" t="str">
            <v xml:space="preserve">, , , , , , , , , , , , , , , , , , , , , , , , , , , , , , , , , , , , , , , , , , , , </v>
          </cell>
        </row>
        <row r="116">
          <cell r="M116">
            <v>0</v>
          </cell>
          <cell r="Q116" t="str">
            <v xml:space="preserve">, , , , , , , , , , , , , , , , , , , </v>
          </cell>
        </row>
        <row r="136">
          <cell r="M136">
            <v>198</v>
          </cell>
          <cell r="Q136" t="str">
            <v xml:space="preserve">Jalan Aspal RT025-RW006, Jalan Paving Block RT002-RW001, , , , , , , , , , , , , , , , , , , , , , , , , , , , , , , , , , , , , , , , , , , </v>
          </cell>
        </row>
        <row r="181">
          <cell r="Q181" t="str">
            <v xml:space="preserve">, , , , , , , , , , , , , , , , , , , </v>
          </cell>
        </row>
        <row r="182">
          <cell r="Q182">
            <v>0</v>
          </cell>
        </row>
        <row r="201">
          <cell r="Q201" t="str">
            <v xml:space="preserve">, , , , , , , , , , , , , , , , , , , , , , , , , , , , , , , , , , , , , , , , , , , , </v>
          </cell>
        </row>
        <row r="202">
          <cell r="Q202">
            <v>0</v>
          </cell>
        </row>
        <row r="246">
          <cell r="M246">
            <v>0</v>
          </cell>
          <cell r="Q246" t="str">
            <v xml:space="preserve">, , , , , , , , , , , , , , , , , , , </v>
          </cell>
        </row>
        <row r="266">
          <cell r="M266">
            <v>390</v>
          </cell>
          <cell r="Q266" t="str">
            <v xml:space="preserve">Drainase Lingkungan RT002-RW001, Drainase Lingkungan RT002-RW001, Drainase Lingkungan RT002-RW001, Drainase Lingkungan RT022-RW005, , , , , , , , , , , , , , , , , , , , , , , , , , , , , , , , , , , , , , , , , </v>
          </cell>
        </row>
        <row r="311">
          <cell r="M311">
            <v>0</v>
          </cell>
          <cell r="Q311" t="str">
            <v xml:space="preserve">, , , , , , , , , , , , , , , , , , , </v>
          </cell>
        </row>
        <row r="331">
          <cell r="M331">
            <v>0</v>
          </cell>
          <cell r="Q331" t="str">
            <v xml:space="preserve">, , , , , , , , , , , , , , , , , , , </v>
          </cell>
        </row>
        <row r="351">
          <cell r="M351">
            <v>0</v>
          </cell>
          <cell r="Q351" t="str">
            <v xml:space="preserve">, , , , , , , , , , , , , , , , , , , , , , , , , , , , , , , , , , , , , , , , , , , , </v>
          </cell>
        </row>
        <row r="396">
          <cell r="Q396" t="str">
            <v xml:space="preserve">, , , , , , , , , , , , , , , , , , , , , , , , , , , , , , , , , , , , , , , , , , , , </v>
          </cell>
        </row>
        <row r="397">
          <cell r="Q397">
            <v>0</v>
          </cell>
        </row>
        <row r="441">
          <cell r="Q441" t="str">
            <v xml:space="preserve">, , , , , , , , , , , , , , , , , , , , , , , , , , , , , , , , , , , , , , , , , , , , , , , , , , , , , , </v>
          </cell>
        </row>
        <row r="442">
          <cell r="Q442">
            <v>0</v>
          </cell>
        </row>
        <row r="496">
          <cell r="Q496" t="str">
            <v xml:space="preserve">Gerobak/Motor Sampah RT002-RW001, Gerobak/Motor Sampah RT025-RW006, Gerobak/Motor Sampah RT022-RW005, TPS RT002-RW001, , , , , , , , , , , , , , , , , , , , , , , , , , , , , , , , , , , , , , , , , </v>
          </cell>
        </row>
        <row r="497">
          <cell r="Q497">
            <v>158</v>
          </cell>
        </row>
        <row r="541">
          <cell r="Q541" t="str">
            <v xml:space="preserve">, , , , , , , , , , , , , , , , , , , , , , , , , , , , , , , , , , , , , , , , , , , , </v>
          </cell>
        </row>
        <row r="542">
          <cell r="Q542">
            <v>0</v>
          </cell>
        </row>
        <row r="586">
          <cell r="Q586" t="str">
            <v xml:space="preserve">, , , , , , , , , , , , , , , , , , , , , , , , , , , , , , , , , , , , , , , , , , , , </v>
          </cell>
        </row>
        <row r="587">
          <cell r="Q587">
            <v>0</v>
          </cell>
        </row>
        <row r="631">
          <cell r="Q631" t="str">
            <v xml:space="preserve">, , , , , , , , , , , , , , , , , , , </v>
          </cell>
        </row>
        <row r="632">
          <cell r="Q632">
            <v>0</v>
          </cell>
        </row>
        <row r="651">
          <cell r="Q651" t="str">
            <v xml:space="preserve">Cakupan Pelayanan RT002-RW001, Cakupan Pelayanan RT022-RW005, Cakupan Pelayanan RT025-RW006, , , , , , , , , , , , , , , , , </v>
          </cell>
        </row>
        <row r="652">
          <cell r="Q652">
            <v>107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umus_UpPKP"/>
      <sheetName val="RekapLogbook"/>
      <sheetName val="Input Baseline"/>
      <sheetName val="NUMERIK"/>
      <sheetName val="Kekumuhan Awal_RT_PKP"/>
      <sheetName val="Kekumuhan awal_Kawasan_PKP"/>
      <sheetName val="Grafik Masalah_Kumuh Awal"/>
      <sheetName val="Data Investasi"/>
      <sheetName val="Outcome"/>
      <sheetName val="Kekumuhan Akhir_RT_PKP"/>
      <sheetName val="Kekumuhan Akhir_Kaw_PKP"/>
      <sheetName val="Grafik_Kumuh Akhir_PKP"/>
      <sheetName val="Spider Web"/>
      <sheetName val="Kesimpulan Capaian"/>
      <sheetName val="Kode Kelurahan"/>
      <sheetName val="Peta Infrastruktur"/>
      <sheetName val="Peta Layanan"/>
      <sheetName val="Sheet1"/>
      <sheetName val="REKAP DESA"/>
      <sheetName val="2017"/>
      <sheetName val="analisa kpi"/>
      <sheetName val="kpi"/>
      <sheetName val="bantu"/>
    </sheetNames>
    <sheetDataSet>
      <sheetData sheetId="0"/>
      <sheetData sheetId="1"/>
      <sheetData sheetId="2"/>
      <sheetData sheetId="3">
        <row r="6">
          <cell r="E6" t="str">
            <v>KEJURON</v>
          </cell>
          <cell r="K6">
            <v>16.02</v>
          </cell>
        </row>
        <row r="8">
          <cell r="K8">
            <v>16.02</v>
          </cell>
        </row>
        <row r="10">
          <cell r="E10" t="str">
            <v>TAMAN</v>
          </cell>
          <cell r="K10">
            <v>738</v>
          </cell>
        </row>
        <row r="12">
          <cell r="E12" t="str">
            <v>KOTA MADIUN</v>
          </cell>
          <cell r="K12">
            <v>2771</v>
          </cell>
        </row>
        <row r="14">
          <cell r="E14" t="str">
            <v>JAWA TIMUR</v>
          </cell>
          <cell r="K14">
            <v>1026</v>
          </cell>
        </row>
        <row r="18">
          <cell r="K18">
            <v>191</v>
          </cell>
        </row>
        <row r="20">
          <cell r="K20">
            <v>0</v>
          </cell>
        </row>
        <row r="22">
          <cell r="K22">
            <v>30</v>
          </cell>
        </row>
        <row r="25">
          <cell r="K25">
            <v>5690</v>
          </cell>
        </row>
        <row r="26">
          <cell r="K26">
            <v>5290</v>
          </cell>
        </row>
        <row r="28">
          <cell r="K28">
            <v>525.70000000000005</v>
          </cell>
        </row>
        <row r="31">
          <cell r="K31">
            <v>344.36774514741262</v>
          </cell>
        </row>
        <row r="33">
          <cell r="K33">
            <v>0</v>
          </cell>
        </row>
        <row r="36">
          <cell r="K36">
            <v>0</v>
          </cell>
        </row>
        <row r="38">
          <cell r="K38">
            <v>5290</v>
          </cell>
        </row>
        <row r="40">
          <cell r="K40">
            <v>3790</v>
          </cell>
        </row>
        <row r="42">
          <cell r="K42">
            <v>595</v>
          </cell>
        </row>
        <row r="45">
          <cell r="K45">
            <v>2650</v>
          </cell>
        </row>
        <row r="48">
          <cell r="K48">
            <v>550</v>
          </cell>
        </row>
        <row r="51">
          <cell r="K51">
            <v>42.282349839160482</v>
          </cell>
        </row>
        <row r="53">
          <cell r="K53">
            <v>24.879855508094717</v>
          </cell>
        </row>
        <row r="56">
          <cell r="K56">
            <v>492</v>
          </cell>
        </row>
        <row r="59">
          <cell r="K59">
            <v>0</v>
          </cell>
        </row>
        <row r="61">
          <cell r="K61">
            <v>808</v>
          </cell>
        </row>
        <row r="64">
          <cell r="K64">
            <v>0</v>
          </cell>
        </row>
        <row r="66">
          <cell r="K66">
            <v>510</v>
          </cell>
        </row>
      </sheetData>
      <sheetData sheetId="4"/>
      <sheetData sheetId="5"/>
      <sheetData sheetId="6"/>
      <sheetData sheetId="7"/>
      <sheetData sheetId="8">
        <row r="6">
          <cell r="M6">
            <v>0</v>
          </cell>
          <cell r="Q6" t="str">
            <v xml:space="preserve">, , , , , , , , , , , , , , , , , , , , , , , , , , , , , , , , , , , , , , , , , , , , </v>
          </cell>
        </row>
        <row r="51">
          <cell r="M51">
            <v>0</v>
          </cell>
          <cell r="Q51" t="str">
            <v xml:space="preserve">, , , , , , , , , , , , , , , , , , , </v>
          </cell>
        </row>
        <row r="71">
          <cell r="M71">
            <v>1</v>
          </cell>
          <cell r="Q71" t="str">
            <v xml:space="preserve">RTLH RT049-RW015, , , , , , , , , , , , , , , , , , , , , , , , , , , , , , , , , , , , , , , , , , , , </v>
          </cell>
        </row>
        <row r="116">
          <cell r="M116">
            <v>0</v>
          </cell>
          <cell r="Q116" t="str">
            <v xml:space="preserve">, , , , , , , , , , , , , , , , , , , </v>
          </cell>
        </row>
        <row r="136">
          <cell r="M136">
            <v>415.8</v>
          </cell>
          <cell r="Q136" t="str">
            <v xml:space="preserve">Jalan Paving Block RT049-RW015, Jalan Paving Block RT009-RW003, Jalan Paving Block RT009-RW003, Jalan Paving Block RT034-RW011, Jalan Paving Block RT034-RW011, Jalan Paving Block RT013-RW005, Jalan Paving Block RT038-RW012, Jalan Paving Block RT006-RW002, , , , , , , , , , , , , , , , , , , , , , , , , , , , , , , , , , , , , </v>
          </cell>
        </row>
        <row r="181">
          <cell r="Q181" t="str">
            <v xml:space="preserve">, , , , , , , , , , , , , , , , , , , </v>
          </cell>
        </row>
        <row r="182">
          <cell r="Q182">
            <v>0</v>
          </cell>
        </row>
        <row r="201">
          <cell r="Q201" t="str">
            <v xml:space="preserve">, , , , , , , , , , , , , , , , , , , , , , , , , , , , , , , , , , , , , , , , , , , , </v>
          </cell>
        </row>
        <row r="202">
          <cell r="Q202">
            <v>0</v>
          </cell>
        </row>
        <row r="246">
          <cell r="M246">
            <v>0</v>
          </cell>
          <cell r="Q246" t="str">
            <v xml:space="preserve">, , , , , , , , , , , , , , , , , , , </v>
          </cell>
        </row>
        <row r="266">
          <cell r="M266">
            <v>225</v>
          </cell>
          <cell r="Q266" t="str">
            <v xml:space="preserve">Drainase Lingkungan RT009-RW003, Drainase Lingkungan RT034-RW011, Drainase Lingkungan RT009-RW003, , , , , , , , , , , , , , , , , , , , , , , , , , , , , , , , , , , , , , , , , , </v>
          </cell>
        </row>
        <row r="311">
          <cell r="M311">
            <v>0</v>
          </cell>
          <cell r="Q311" t="str">
            <v xml:space="preserve">, , , , , , , , , , , , , , , , , , , </v>
          </cell>
        </row>
        <row r="331">
          <cell r="M331">
            <v>0</v>
          </cell>
          <cell r="Q331" t="str">
            <v xml:space="preserve">, , , , , , , , , , , , , , , , , , , </v>
          </cell>
        </row>
        <row r="351">
          <cell r="M351">
            <v>719.5</v>
          </cell>
          <cell r="Q351" t="str">
            <v xml:space="preserve">Perbaikan Drainase RT030-RW010, Perbaikan Drainase RT032-RW011, Perbaikan Drainase RT036-RW011, Perbaikan Drainase RT038-RW012, Perbaikan Drainase RT048-RW015, Drainase Lingkungan RT009-RW003, Drainase Lingkungan RT034-RW011, Drainase Lingkungan RT013-RW005, Drainase Lingkungan RT038-RW012, , , , , , , , , , , , , , , , , , , , , , , , , , , , , , , , , , , , </v>
          </cell>
        </row>
        <row r="396">
          <cell r="Q396" t="str">
            <v xml:space="preserve">, , , , , , , , , , , , , , , , , , , , , , , , , , , , , , , , , , , , , , , , , , , , </v>
          </cell>
        </row>
        <row r="397">
          <cell r="Q397">
            <v>0</v>
          </cell>
        </row>
        <row r="441">
          <cell r="Q441" t="str">
            <v xml:space="preserve">Septictank Komunal RT005-RW002, Septictank Komunal RT035-RW011, Septictank Komunal RT048-RW015, Septictank Komunal RT049-RW015, , , , , , , , , , , , , , , , , , , , , , , , , , , , , , , , , , , , , , , , , , , , , , , , , , , </v>
          </cell>
        </row>
        <row r="442">
          <cell r="Q442">
            <v>30</v>
          </cell>
        </row>
        <row r="496">
          <cell r="Q496" t="str">
            <v xml:space="preserve">, , , , , , , , , , , , , , , , , , , , , , , , , , , , , , , , , , , , , , , , , , , , </v>
          </cell>
        </row>
        <row r="497">
          <cell r="Q497">
            <v>0</v>
          </cell>
        </row>
        <row r="541">
          <cell r="Q541" t="str">
            <v xml:space="preserve">, , , , , , , , , , , , , , , , , , , , , , , , , , , , , , , , , , , , , , , , , , , , </v>
          </cell>
        </row>
        <row r="542">
          <cell r="Q542">
            <v>0</v>
          </cell>
        </row>
        <row r="586">
          <cell r="Q586" t="str">
            <v xml:space="preserve">, , , , , , , , , , , , , , , , , , , , , , , , , , , , , , , , , , , , , , , , , , , , </v>
          </cell>
        </row>
        <row r="587">
          <cell r="Q587">
            <v>0</v>
          </cell>
        </row>
        <row r="631">
          <cell r="Q631" t="str">
            <v xml:space="preserve">, , , , , , , , , , , , , , , , , , , </v>
          </cell>
        </row>
        <row r="632">
          <cell r="Q632">
            <v>0</v>
          </cell>
        </row>
        <row r="651">
          <cell r="Q651" t="str">
            <v xml:space="preserve">Cakupan terlayani Damkar RT005-RW002, Cakupan terlayani Damkar RT006-RW002, Cakupan terlayani Damkar RT009-RW003, Cakupan terlayani Damkar RT030-RW010, Cakupan terlayani Damkar RT031-RW010, Cakupan terlayani Damkar RT032-RW011, Cakupan terlayani Damkar RT033-RW011, Cakupan terlayani Damkar RT034-RW011, Cakupan terlayani Damkar RT035-RW011, Cakupan terlayani Damkar RT036-RW011, Cakupan terlayani Damkar RT038-RW012, Cakupan terlayani Damkar RT048-RW015, , , , , , , , </v>
          </cell>
        </row>
        <row r="652">
          <cell r="Q652">
            <v>714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F5CA1-B68A-4770-8538-577EEC24FBD9}">
  <sheetPr>
    <tabColor rgb="FF0070C0"/>
  </sheetPr>
  <dimension ref="A1:AO32"/>
  <sheetViews>
    <sheetView topLeftCell="A12" workbookViewId="0">
      <selection activeCell="N32" sqref="N32"/>
    </sheetView>
  </sheetViews>
  <sheetFormatPr defaultRowHeight="15" x14ac:dyDescent="0.25"/>
  <cols>
    <col min="1" max="2" width="17.28515625" customWidth="1"/>
    <col min="3" max="3" width="8.5703125" customWidth="1"/>
    <col min="4" max="4" width="11.28515625" customWidth="1"/>
    <col min="5" max="5" width="13.5703125" customWidth="1"/>
    <col min="7" max="7" width="10.42578125" customWidth="1"/>
    <col min="8" max="8" width="12" customWidth="1"/>
    <col min="13" max="13" width="13.28515625" customWidth="1"/>
    <col min="16" max="16" width="13.140625" customWidth="1"/>
  </cols>
  <sheetData>
    <row r="1" spans="1:41" ht="60" x14ac:dyDescent="0.25">
      <c r="A1" s="180" t="s">
        <v>290</v>
      </c>
      <c r="B1" s="180"/>
      <c r="C1" s="180" t="s">
        <v>291</v>
      </c>
      <c r="D1" s="180" t="s">
        <v>292</v>
      </c>
      <c r="E1" s="180" t="s">
        <v>293</v>
      </c>
      <c r="F1" s="180" t="s">
        <v>294</v>
      </c>
      <c r="G1" s="180" t="s">
        <v>295</v>
      </c>
      <c r="H1" s="180" t="s">
        <v>296</v>
      </c>
      <c r="I1" s="181" t="s">
        <v>212</v>
      </c>
      <c r="J1" s="181" t="s">
        <v>214</v>
      </c>
    </row>
    <row r="2" spans="1:41" x14ac:dyDescent="0.25">
      <c r="A2" s="166" t="s">
        <v>297</v>
      </c>
      <c r="B2" s="166"/>
      <c r="C2" s="180"/>
      <c r="D2" s="180"/>
      <c r="E2" s="180"/>
      <c r="F2" s="180"/>
      <c r="G2" s="180"/>
      <c r="H2" s="180"/>
      <c r="N2" t="s">
        <v>212</v>
      </c>
      <c r="O2" t="s">
        <v>214</v>
      </c>
      <c r="P2" t="s">
        <v>270</v>
      </c>
      <c r="S2" t="s">
        <v>212</v>
      </c>
      <c r="T2" t="s">
        <v>214</v>
      </c>
      <c r="U2" t="s">
        <v>270</v>
      </c>
      <c r="X2" t="s">
        <v>212</v>
      </c>
      <c r="Y2" t="s">
        <v>214</v>
      </c>
      <c r="Z2" t="s">
        <v>270</v>
      </c>
      <c r="AC2" t="s">
        <v>212</v>
      </c>
      <c r="AD2" t="s">
        <v>214</v>
      </c>
      <c r="AE2" t="s">
        <v>270</v>
      </c>
      <c r="AH2" t="s">
        <v>212</v>
      </c>
      <c r="AI2" t="s">
        <v>214</v>
      </c>
      <c r="AJ2" t="s">
        <v>270</v>
      </c>
      <c r="AM2" t="s">
        <v>212</v>
      </c>
      <c r="AN2" t="s">
        <v>214</v>
      </c>
      <c r="AO2" t="s">
        <v>270</v>
      </c>
    </row>
    <row r="3" spans="1:41" x14ac:dyDescent="0.25">
      <c r="A3" s="180" t="s">
        <v>304</v>
      </c>
      <c r="B3" s="180" t="s">
        <v>69</v>
      </c>
      <c r="C3" s="180">
        <v>2</v>
      </c>
      <c r="D3" s="180">
        <v>2</v>
      </c>
      <c r="E3" s="180">
        <v>2</v>
      </c>
      <c r="F3" s="180">
        <v>3</v>
      </c>
      <c r="G3" s="180">
        <v>9</v>
      </c>
      <c r="H3" s="180" t="s">
        <v>303</v>
      </c>
      <c r="I3">
        <f>IF(H3="SP",0.9,IF(H3="P",0.7,IF(H3="CP",0.5,IF(H3="KP",0.3,0.1))))</f>
        <v>0.5</v>
      </c>
      <c r="J3">
        <f>IF(H3="SP",0.1,IF(H3="P",0.2,IF(H3="CP",0.3,IF(H3="KP",0.5,0.8))))</f>
        <v>0.3</v>
      </c>
      <c r="M3" t="s">
        <v>215</v>
      </c>
      <c r="N3">
        <f>ABS($I$3-I11)</f>
        <v>0.2</v>
      </c>
      <c r="O3">
        <f>ABS($J$3-J11)</f>
        <v>0.2</v>
      </c>
      <c r="P3">
        <f>N3+O3</f>
        <v>0.4</v>
      </c>
      <c r="R3" t="s">
        <v>240</v>
      </c>
      <c r="S3">
        <f>ABS($I$4-I11)</f>
        <v>0</v>
      </c>
      <c r="T3">
        <f>ABS($J$4-J11)</f>
        <v>0</v>
      </c>
      <c r="U3">
        <f>S3+T3</f>
        <v>0</v>
      </c>
      <c r="W3" t="s">
        <v>246</v>
      </c>
      <c r="X3">
        <f>ABS($I$5-I11)</f>
        <v>0.39999999999999997</v>
      </c>
      <c r="Y3">
        <f>ABS($J$5-J11)</f>
        <v>0.3</v>
      </c>
      <c r="Z3">
        <f>X3+Y3</f>
        <v>0.7</v>
      </c>
      <c r="AB3" t="s">
        <v>252</v>
      </c>
      <c r="AC3">
        <f>ABS($I$6-I11)</f>
        <v>0.19999999999999998</v>
      </c>
      <c r="AD3">
        <f>ABS($J$6-J11)</f>
        <v>0.30000000000000004</v>
      </c>
      <c r="AE3">
        <f>AC3+AD3</f>
        <v>0.5</v>
      </c>
      <c r="AG3" t="s">
        <v>258</v>
      </c>
      <c r="AH3">
        <f>ABS($I$7-I11)</f>
        <v>0.2</v>
      </c>
      <c r="AI3">
        <f>ABS($J$7-J11)</f>
        <v>0.2</v>
      </c>
      <c r="AJ3">
        <f>AH3+AI3</f>
        <v>0.4</v>
      </c>
      <c r="AL3" t="s">
        <v>264</v>
      </c>
      <c r="AM3">
        <f>ABS($I$8-I11)</f>
        <v>0.39999999999999997</v>
      </c>
      <c r="AN3">
        <f>ABS($J$8-J11)</f>
        <v>0.3</v>
      </c>
      <c r="AO3">
        <f>AM3+AN3</f>
        <v>0.7</v>
      </c>
    </row>
    <row r="4" spans="1:41" x14ac:dyDescent="0.25">
      <c r="A4" s="180" t="s">
        <v>300</v>
      </c>
      <c r="B4" s="180" t="s">
        <v>70</v>
      </c>
      <c r="C4" s="180">
        <v>4</v>
      </c>
      <c r="D4" s="180">
        <v>3</v>
      </c>
      <c r="E4" s="180">
        <v>4</v>
      </c>
      <c r="F4" s="180">
        <v>4</v>
      </c>
      <c r="G4" s="180">
        <v>15</v>
      </c>
      <c r="H4" s="180" t="s">
        <v>301</v>
      </c>
      <c r="I4">
        <f>IF(H4="SP",0.9,IF(H4="P",0.7,IF(H4="CP",0.5,IF(H4="KP",0.3,0.1))))</f>
        <v>0.3</v>
      </c>
      <c r="J4">
        <f>IF(H4="SP",0.1,IF(H4="P",0.2,IF(H4="CP",0.3,IF(H4="KP",0.5,0.8))))</f>
        <v>0.5</v>
      </c>
      <c r="M4" t="s">
        <v>216</v>
      </c>
      <c r="N4">
        <f t="shared" ref="N4:N8" si="0">ABS($I$3-I12)</f>
        <v>0</v>
      </c>
      <c r="O4">
        <f t="shared" ref="O4:O8" si="1">ABS($J$3-J12)</f>
        <v>0</v>
      </c>
      <c r="P4">
        <f t="shared" ref="P4:P8" si="2">N4+O4</f>
        <v>0</v>
      </c>
      <c r="R4" t="s">
        <v>241</v>
      </c>
      <c r="S4">
        <f t="shared" ref="S4:S8" si="3">ABS($I$4-I12)</f>
        <v>0.2</v>
      </c>
      <c r="T4">
        <f t="shared" ref="T4:T8" si="4">ABS($J$4-J12)</f>
        <v>0.2</v>
      </c>
      <c r="U4">
        <f t="shared" ref="U4:U8" si="5">S4+T4</f>
        <v>0.4</v>
      </c>
      <c r="W4" t="s">
        <v>247</v>
      </c>
      <c r="X4">
        <f t="shared" ref="X4:X8" si="6">ABS($I$5-I12)</f>
        <v>0.19999999999999996</v>
      </c>
      <c r="Y4">
        <f t="shared" ref="Y4:Y8" si="7">ABS($J$5-J12)</f>
        <v>9.9999999999999978E-2</v>
      </c>
      <c r="Z4">
        <f t="shared" ref="Z4:Z8" si="8">X4+Y4</f>
        <v>0.29999999999999993</v>
      </c>
      <c r="AB4" t="s">
        <v>253</v>
      </c>
      <c r="AC4">
        <f t="shared" ref="AC4:AC8" si="9">ABS($I$6-I12)</f>
        <v>0.4</v>
      </c>
      <c r="AD4">
        <f t="shared" ref="AD4:AD8" si="10">ABS($J$6-J12)</f>
        <v>0.5</v>
      </c>
      <c r="AE4">
        <f t="shared" ref="AE4:AE8" si="11">AC4+AD4</f>
        <v>0.9</v>
      </c>
      <c r="AG4" t="s">
        <v>259</v>
      </c>
      <c r="AH4">
        <f t="shared" ref="AH4:AH8" si="12">ABS($I$7-I12)</f>
        <v>0</v>
      </c>
      <c r="AI4">
        <f t="shared" ref="AI4:AI8" si="13">ABS($J$7-J12)</f>
        <v>0</v>
      </c>
      <c r="AJ4">
        <f t="shared" ref="AJ4:AJ8" si="14">AH4+AI4</f>
        <v>0</v>
      </c>
      <c r="AL4" t="s">
        <v>265</v>
      </c>
      <c r="AM4">
        <f t="shared" ref="AM4:AM8" si="15">ABS($I$8-I12)</f>
        <v>0.19999999999999996</v>
      </c>
      <c r="AN4">
        <f t="shared" ref="AN4:AN8" si="16">ABS($J$8-J12)</f>
        <v>9.9999999999999978E-2</v>
      </c>
      <c r="AO4">
        <f t="shared" ref="AO4:AO8" si="17">AM4+AN4</f>
        <v>0.29999999999999993</v>
      </c>
    </row>
    <row r="5" spans="1:41" x14ac:dyDescent="0.25">
      <c r="A5" s="180" t="s">
        <v>307</v>
      </c>
      <c r="B5" s="180" t="s">
        <v>71</v>
      </c>
      <c r="C5" s="180">
        <v>1</v>
      </c>
      <c r="D5" s="180">
        <v>2</v>
      </c>
      <c r="E5" s="180">
        <v>2</v>
      </c>
      <c r="F5" s="180">
        <v>2</v>
      </c>
      <c r="G5" s="180">
        <v>8</v>
      </c>
      <c r="H5" s="180" t="s">
        <v>306</v>
      </c>
      <c r="I5">
        <f>IF(H5="SP",0.9,IF(H5="P",0.7,IF(H5="CP",0.5,IF(H5="KP",0.3,0.1))))</f>
        <v>0.7</v>
      </c>
      <c r="J5">
        <f>IF(H5="SP",0.1,IF(H5="P",0.2,IF(H5="CP",0.3,IF(H5="KP",0.5,0.8))))</f>
        <v>0.2</v>
      </c>
      <c r="M5" t="s">
        <v>217</v>
      </c>
      <c r="N5">
        <f t="shared" si="0"/>
        <v>0</v>
      </c>
      <c r="O5">
        <f t="shared" si="1"/>
        <v>0</v>
      </c>
      <c r="P5">
        <f t="shared" si="2"/>
        <v>0</v>
      </c>
      <c r="R5" t="s">
        <v>242</v>
      </c>
      <c r="S5">
        <f t="shared" si="3"/>
        <v>0.2</v>
      </c>
      <c r="T5">
        <f t="shared" si="4"/>
        <v>0.2</v>
      </c>
      <c r="U5">
        <f t="shared" si="5"/>
        <v>0.4</v>
      </c>
      <c r="W5" t="s">
        <v>248</v>
      </c>
      <c r="X5">
        <f t="shared" si="6"/>
        <v>0.19999999999999996</v>
      </c>
      <c r="Y5">
        <f t="shared" si="7"/>
        <v>9.9999999999999978E-2</v>
      </c>
      <c r="Z5">
        <f t="shared" si="8"/>
        <v>0.29999999999999993</v>
      </c>
      <c r="AB5" t="s">
        <v>254</v>
      </c>
      <c r="AC5">
        <f t="shared" si="9"/>
        <v>0.4</v>
      </c>
      <c r="AD5">
        <f t="shared" si="10"/>
        <v>0.5</v>
      </c>
      <c r="AE5">
        <f t="shared" si="11"/>
        <v>0.9</v>
      </c>
      <c r="AG5" t="s">
        <v>260</v>
      </c>
      <c r="AH5">
        <f t="shared" si="12"/>
        <v>0</v>
      </c>
      <c r="AI5">
        <f t="shared" si="13"/>
        <v>0</v>
      </c>
      <c r="AJ5">
        <f t="shared" si="14"/>
        <v>0</v>
      </c>
      <c r="AL5" t="s">
        <v>266</v>
      </c>
      <c r="AM5">
        <f t="shared" si="15"/>
        <v>0.19999999999999996</v>
      </c>
      <c r="AN5">
        <f t="shared" si="16"/>
        <v>9.9999999999999978E-2</v>
      </c>
      <c r="AO5">
        <f t="shared" si="17"/>
        <v>0.29999999999999993</v>
      </c>
    </row>
    <row r="6" spans="1:41" x14ac:dyDescent="0.25">
      <c r="A6" s="180" t="s">
        <v>298</v>
      </c>
      <c r="B6" s="180" t="s">
        <v>72</v>
      </c>
      <c r="C6" s="180">
        <v>5</v>
      </c>
      <c r="D6" s="180">
        <v>5</v>
      </c>
      <c r="E6" s="180">
        <v>5</v>
      </c>
      <c r="F6" s="180">
        <v>4</v>
      </c>
      <c r="G6" s="180">
        <v>19</v>
      </c>
      <c r="H6" s="180" t="s">
        <v>299</v>
      </c>
      <c r="I6">
        <f>IF(H6="SP",0.9,IF(H6="P",0.7,IF(H6="CP",0.5,IF(H6="KP",0.3,0.1))))</f>
        <v>0.1</v>
      </c>
      <c r="J6">
        <f>IF(H6="SP",0.1,IF(H6="P",0.2,IF(H6="CP",0.3,IF(H6="KP",0.5,0.8))))</f>
        <v>0.8</v>
      </c>
      <c r="M6" t="s">
        <v>218</v>
      </c>
      <c r="N6">
        <f t="shared" si="0"/>
        <v>0</v>
      </c>
      <c r="O6">
        <f t="shared" si="1"/>
        <v>0</v>
      </c>
      <c r="P6">
        <f t="shared" si="2"/>
        <v>0</v>
      </c>
      <c r="R6" t="s">
        <v>243</v>
      </c>
      <c r="S6">
        <f t="shared" si="3"/>
        <v>0.2</v>
      </c>
      <c r="T6">
        <f t="shared" si="4"/>
        <v>0.2</v>
      </c>
      <c r="U6">
        <f t="shared" si="5"/>
        <v>0.4</v>
      </c>
      <c r="W6" t="s">
        <v>249</v>
      </c>
      <c r="X6">
        <f t="shared" si="6"/>
        <v>0.19999999999999996</v>
      </c>
      <c r="Y6">
        <f t="shared" si="7"/>
        <v>9.9999999999999978E-2</v>
      </c>
      <c r="Z6">
        <f t="shared" si="8"/>
        <v>0.29999999999999993</v>
      </c>
      <c r="AB6" t="s">
        <v>255</v>
      </c>
      <c r="AC6">
        <f t="shared" si="9"/>
        <v>0.4</v>
      </c>
      <c r="AD6">
        <f t="shared" si="10"/>
        <v>0.5</v>
      </c>
      <c r="AE6">
        <f t="shared" si="11"/>
        <v>0.9</v>
      </c>
      <c r="AG6" t="s">
        <v>261</v>
      </c>
      <c r="AH6">
        <f t="shared" si="12"/>
        <v>0</v>
      </c>
      <c r="AI6">
        <f t="shared" si="13"/>
        <v>0</v>
      </c>
      <c r="AJ6">
        <f t="shared" si="14"/>
        <v>0</v>
      </c>
      <c r="AL6" t="s">
        <v>267</v>
      </c>
      <c r="AM6">
        <f t="shared" si="15"/>
        <v>0.19999999999999996</v>
      </c>
      <c r="AN6">
        <f t="shared" si="16"/>
        <v>9.9999999999999978E-2</v>
      </c>
      <c r="AO6">
        <f t="shared" si="17"/>
        <v>0.29999999999999993</v>
      </c>
    </row>
    <row r="7" spans="1:41" x14ac:dyDescent="0.25">
      <c r="A7" s="180" t="s">
        <v>302</v>
      </c>
      <c r="B7" s="180" t="s">
        <v>73</v>
      </c>
      <c r="C7" s="180">
        <v>3</v>
      </c>
      <c r="D7" s="180">
        <v>2</v>
      </c>
      <c r="E7" s="180">
        <v>3</v>
      </c>
      <c r="F7" s="180">
        <v>3</v>
      </c>
      <c r="G7" s="180">
        <v>11</v>
      </c>
      <c r="H7" s="180" t="s">
        <v>303</v>
      </c>
      <c r="I7">
        <f t="shared" ref="I7:I23" si="18">IF(H7="SP",0.9,IF(H7="P",0.7,IF(H7="CP",0.5,IF(H7="KP",0.3,0.1))))</f>
        <v>0.5</v>
      </c>
      <c r="J7">
        <f t="shared" ref="J7:J23" si="19">IF(H7="SP",0.1,IF(H7="P",0.2,IF(H7="CP",0.3,IF(H7="KP",0.5,0.8))))</f>
        <v>0.3</v>
      </c>
      <c r="M7" t="s">
        <v>219</v>
      </c>
      <c r="N7">
        <f t="shared" si="0"/>
        <v>0.19999999999999996</v>
      </c>
      <c r="O7">
        <f t="shared" si="1"/>
        <v>9.9999999999999978E-2</v>
      </c>
      <c r="P7">
        <f t="shared" si="2"/>
        <v>0.29999999999999993</v>
      </c>
      <c r="R7" t="s">
        <v>244</v>
      </c>
      <c r="S7">
        <f t="shared" si="3"/>
        <v>0.39999999999999997</v>
      </c>
      <c r="T7">
        <f t="shared" si="4"/>
        <v>0.3</v>
      </c>
      <c r="U7">
        <f t="shared" si="5"/>
        <v>0.7</v>
      </c>
      <c r="W7" t="s">
        <v>250</v>
      </c>
      <c r="X7">
        <f t="shared" si="6"/>
        <v>0</v>
      </c>
      <c r="Y7">
        <f t="shared" si="7"/>
        <v>0</v>
      </c>
      <c r="Z7">
        <f t="shared" si="8"/>
        <v>0</v>
      </c>
      <c r="AB7" t="s">
        <v>256</v>
      </c>
      <c r="AC7">
        <f t="shared" si="9"/>
        <v>0.6</v>
      </c>
      <c r="AD7">
        <f t="shared" si="10"/>
        <v>0.60000000000000009</v>
      </c>
      <c r="AE7">
        <f t="shared" si="11"/>
        <v>1.2000000000000002</v>
      </c>
      <c r="AG7" t="s">
        <v>262</v>
      </c>
      <c r="AH7">
        <f t="shared" si="12"/>
        <v>0.19999999999999996</v>
      </c>
      <c r="AI7">
        <f t="shared" si="13"/>
        <v>9.9999999999999978E-2</v>
      </c>
      <c r="AJ7">
        <f t="shared" si="14"/>
        <v>0.29999999999999993</v>
      </c>
      <c r="AL7" t="s">
        <v>268</v>
      </c>
      <c r="AM7">
        <f t="shared" si="15"/>
        <v>0</v>
      </c>
      <c r="AN7">
        <f t="shared" si="16"/>
        <v>0</v>
      </c>
      <c r="AO7">
        <f t="shared" si="17"/>
        <v>0</v>
      </c>
    </row>
    <row r="8" spans="1:41" x14ac:dyDescent="0.25">
      <c r="A8" s="180" t="s">
        <v>305</v>
      </c>
      <c r="B8" s="180" t="s">
        <v>74</v>
      </c>
      <c r="C8" s="180">
        <v>2</v>
      </c>
      <c r="D8" s="180">
        <v>2</v>
      </c>
      <c r="E8" s="180">
        <v>2</v>
      </c>
      <c r="F8" s="180">
        <v>2</v>
      </c>
      <c r="G8" s="180">
        <v>8</v>
      </c>
      <c r="H8" s="180" t="s">
        <v>306</v>
      </c>
      <c r="I8">
        <f t="shared" si="18"/>
        <v>0.7</v>
      </c>
      <c r="J8">
        <f t="shared" si="19"/>
        <v>0.2</v>
      </c>
      <c r="M8" t="s">
        <v>220</v>
      </c>
      <c r="N8">
        <f t="shared" si="0"/>
        <v>0.19999999999999996</v>
      </c>
      <c r="O8">
        <f t="shared" si="1"/>
        <v>9.9999999999999978E-2</v>
      </c>
      <c r="P8">
        <f t="shared" si="2"/>
        <v>0.29999999999999993</v>
      </c>
      <c r="R8" t="s">
        <v>245</v>
      </c>
      <c r="S8">
        <f t="shared" si="3"/>
        <v>0.39999999999999997</v>
      </c>
      <c r="T8">
        <f t="shared" si="4"/>
        <v>0.3</v>
      </c>
      <c r="U8">
        <f t="shared" si="5"/>
        <v>0.7</v>
      </c>
      <c r="W8" t="s">
        <v>251</v>
      </c>
      <c r="X8">
        <f t="shared" si="6"/>
        <v>0</v>
      </c>
      <c r="Y8">
        <f t="shared" si="7"/>
        <v>0</v>
      </c>
      <c r="Z8">
        <f t="shared" si="8"/>
        <v>0</v>
      </c>
      <c r="AB8" t="s">
        <v>257</v>
      </c>
      <c r="AC8">
        <f t="shared" si="9"/>
        <v>0.6</v>
      </c>
      <c r="AD8">
        <f t="shared" si="10"/>
        <v>0.60000000000000009</v>
      </c>
      <c r="AE8">
        <f t="shared" si="11"/>
        <v>1.2000000000000002</v>
      </c>
      <c r="AG8" t="s">
        <v>263</v>
      </c>
      <c r="AH8">
        <f t="shared" si="12"/>
        <v>0.19999999999999996</v>
      </c>
      <c r="AI8">
        <f t="shared" si="13"/>
        <v>9.9999999999999978E-2</v>
      </c>
      <c r="AJ8">
        <f t="shared" si="14"/>
        <v>0.29999999999999993</v>
      </c>
      <c r="AL8" t="s">
        <v>269</v>
      </c>
      <c r="AM8">
        <f t="shared" si="15"/>
        <v>0</v>
      </c>
      <c r="AN8">
        <f t="shared" si="16"/>
        <v>0</v>
      </c>
      <c r="AO8">
        <f t="shared" si="17"/>
        <v>0</v>
      </c>
    </row>
    <row r="9" spans="1:41" s="182" customFormat="1" x14ac:dyDescent="0.25"/>
    <row r="10" spans="1:41" x14ac:dyDescent="0.25">
      <c r="A10" s="166" t="s">
        <v>308</v>
      </c>
      <c r="B10" s="166"/>
      <c r="C10" s="180"/>
      <c r="D10" s="180"/>
      <c r="E10" s="180"/>
      <c r="F10" s="180"/>
      <c r="G10" s="180"/>
      <c r="H10" s="180"/>
      <c r="N10" t="s">
        <v>212</v>
      </c>
      <c r="O10" t="s">
        <v>214</v>
      </c>
      <c r="P10" t="s">
        <v>270</v>
      </c>
      <c r="S10" t="s">
        <v>212</v>
      </c>
      <c r="T10" t="s">
        <v>214</v>
      </c>
      <c r="U10" t="s">
        <v>270</v>
      </c>
      <c r="X10" t="s">
        <v>212</v>
      </c>
      <c r="Y10" t="s">
        <v>214</v>
      </c>
      <c r="Z10" t="s">
        <v>270</v>
      </c>
      <c r="AC10" t="s">
        <v>212</v>
      </c>
      <c r="AD10" t="s">
        <v>214</v>
      </c>
      <c r="AE10" t="s">
        <v>270</v>
      </c>
      <c r="AH10" t="s">
        <v>212</v>
      </c>
      <c r="AI10" t="s">
        <v>214</v>
      </c>
      <c r="AJ10" t="s">
        <v>270</v>
      </c>
      <c r="AM10" t="s">
        <v>212</v>
      </c>
      <c r="AN10" t="s">
        <v>214</v>
      </c>
      <c r="AO10" t="s">
        <v>270</v>
      </c>
    </row>
    <row r="11" spans="1:41" x14ac:dyDescent="0.25">
      <c r="A11" s="180" t="s">
        <v>309</v>
      </c>
      <c r="B11" s="180" t="s">
        <v>75</v>
      </c>
      <c r="C11" s="180">
        <v>4</v>
      </c>
      <c r="D11" s="180">
        <v>3</v>
      </c>
      <c r="E11" s="180">
        <v>3</v>
      </c>
      <c r="F11" s="180">
        <v>3</v>
      </c>
      <c r="G11" s="180">
        <v>13</v>
      </c>
      <c r="H11" s="180" t="s">
        <v>301</v>
      </c>
      <c r="I11">
        <f t="shared" si="18"/>
        <v>0.3</v>
      </c>
      <c r="J11">
        <f t="shared" si="19"/>
        <v>0.5</v>
      </c>
      <c r="M11" t="s">
        <v>215</v>
      </c>
      <c r="N11">
        <f>ABS(I3-$I$11)</f>
        <v>0.2</v>
      </c>
      <c r="O11">
        <f>ABS(J3-$J$11)</f>
        <v>0.2</v>
      </c>
      <c r="P11">
        <f>N11+O11</f>
        <v>0.4</v>
      </c>
      <c r="R11" t="s">
        <v>216</v>
      </c>
      <c r="S11">
        <f>ABS(I3-$I$12)</f>
        <v>0</v>
      </c>
      <c r="T11">
        <f>ABS(J3-$J$12)</f>
        <v>0</v>
      </c>
      <c r="U11">
        <f>S11+T11</f>
        <v>0</v>
      </c>
      <c r="W11" t="s">
        <v>217</v>
      </c>
      <c r="X11">
        <f>ABS(I3-$I$13)</f>
        <v>0</v>
      </c>
      <c r="Y11">
        <f>ABS(J3-$J$13)</f>
        <v>0</v>
      </c>
      <c r="Z11">
        <f>X11+Y11</f>
        <v>0</v>
      </c>
      <c r="AB11" t="s">
        <v>218</v>
      </c>
      <c r="AC11">
        <f>ABS(I3-$I$14)</f>
        <v>0</v>
      </c>
      <c r="AD11">
        <f>ABS(J3-$J$14)</f>
        <v>0</v>
      </c>
      <c r="AE11">
        <f>AC11+AD11</f>
        <v>0</v>
      </c>
      <c r="AG11" t="s">
        <v>219</v>
      </c>
      <c r="AH11">
        <f>ABS(I3-$I$15)</f>
        <v>0.19999999999999996</v>
      </c>
      <c r="AI11">
        <f>ABS(J3-$J$15)</f>
        <v>9.9999999999999978E-2</v>
      </c>
      <c r="AJ11">
        <f>AH11+AI11</f>
        <v>0.29999999999999993</v>
      </c>
      <c r="AL11" t="s">
        <v>220</v>
      </c>
      <c r="AM11">
        <f>ABS(I3-$I$16)</f>
        <v>0.19999999999999996</v>
      </c>
      <c r="AN11">
        <f>ABS(J3-$J$16)</f>
        <v>9.9999999999999978E-2</v>
      </c>
      <c r="AO11">
        <f>AM11+AN11</f>
        <v>0.29999999999999993</v>
      </c>
    </row>
    <row r="12" spans="1:41" x14ac:dyDescent="0.25">
      <c r="A12" s="180" t="s">
        <v>310</v>
      </c>
      <c r="B12" s="180" t="s">
        <v>76</v>
      </c>
      <c r="C12" s="180">
        <v>3</v>
      </c>
      <c r="D12" s="180">
        <v>3</v>
      </c>
      <c r="E12" s="180">
        <v>3</v>
      </c>
      <c r="F12" s="180">
        <v>3</v>
      </c>
      <c r="G12" s="180">
        <v>12</v>
      </c>
      <c r="H12" s="180" t="s">
        <v>303</v>
      </c>
      <c r="I12">
        <f t="shared" si="18"/>
        <v>0.5</v>
      </c>
      <c r="J12">
        <f t="shared" si="19"/>
        <v>0.3</v>
      </c>
      <c r="M12" t="s">
        <v>240</v>
      </c>
      <c r="N12">
        <f t="shared" ref="N12:N16" si="20">ABS(I4-$I$11)</f>
        <v>0</v>
      </c>
      <c r="O12">
        <f t="shared" ref="O12:O16" si="21">ABS(J4-$J$11)</f>
        <v>0</v>
      </c>
      <c r="P12">
        <f t="shared" ref="P12:P16" si="22">N12+O12</f>
        <v>0</v>
      </c>
      <c r="R12" t="s">
        <v>241</v>
      </c>
      <c r="S12">
        <f t="shared" ref="S12:S16" si="23">ABS(I4-$I$12)</f>
        <v>0.2</v>
      </c>
      <c r="T12">
        <f t="shared" ref="T12:T16" si="24">ABS(J4-$J$12)</f>
        <v>0.2</v>
      </c>
      <c r="U12">
        <f t="shared" ref="U12:U16" si="25">S12+T12</f>
        <v>0.4</v>
      </c>
      <c r="W12" t="s">
        <v>242</v>
      </c>
      <c r="X12">
        <f t="shared" ref="X12:X16" si="26">ABS(I4-$I$13)</f>
        <v>0.2</v>
      </c>
      <c r="Y12">
        <f t="shared" ref="Y12:Y16" si="27">ABS(J4-$J$13)</f>
        <v>0.2</v>
      </c>
      <c r="Z12">
        <f t="shared" ref="Z12:Z16" si="28">X12+Y12</f>
        <v>0.4</v>
      </c>
      <c r="AB12" t="s">
        <v>243</v>
      </c>
      <c r="AC12">
        <f t="shared" ref="AC12:AC16" si="29">ABS(I4-$I$14)</f>
        <v>0.2</v>
      </c>
      <c r="AD12">
        <f t="shared" ref="AD12:AD16" si="30">ABS(J4-$J$14)</f>
        <v>0.2</v>
      </c>
      <c r="AE12">
        <f t="shared" ref="AE12:AE16" si="31">AC12+AD12</f>
        <v>0.4</v>
      </c>
      <c r="AG12" t="s">
        <v>244</v>
      </c>
      <c r="AH12">
        <f t="shared" ref="AH12:AH16" si="32">ABS(I4-$I$15)</f>
        <v>0.39999999999999997</v>
      </c>
      <c r="AI12">
        <f t="shared" ref="AI12:AI16" si="33">ABS(J4-$J$15)</f>
        <v>0.3</v>
      </c>
      <c r="AJ12">
        <f t="shared" ref="AJ12:AJ16" si="34">AH12+AI12</f>
        <v>0.7</v>
      </c>
      <c r="AL12" t="s">
        <v>245</v>
      </c>
      <c r="AM12">
        <f t="shared" ref="AM12:AM16" si="35">ABS(I4-$I$16)</f>
        <v>0.39999999999999997</v>
      </c>
      <c r="AN12">
        <f t="shared" ref="AN12:AN16" si="36">ABS(J4-$J$16)</f>
        <v>0.3</v>
      </c>
      <c r="AO12">
        <f t="shared" ref="AO12:AO16" si="37">AM12+AN12</f>
        <v>0.7</v>
      </c>
    </row>
    <row r="13" spans="1:41" x14ac:dyDescent="0.25">
      <c r="A13" s="180" t="s">
        <v>311</v>
      </c>
      <c r="B13" s="180" t="s">
        <v>77</v>
      </c>
      <c r="C13" s="180">
        <v>3</v>
      </c>
      <c r="D13" s="180">
        <v>2</v>
      </c>
      <c r="E13" s="180">
        <v>2</v>
      </c>
      <c r="F13" s="180">
        <v>2</v>
      </c>
      <c r="G13" s="180">
        <v>9</v>
      </c>
      <c r="H13" s="180" t="s">
        <v>303</v>
      </c>
      <c r="I13">
        <f t="shared" si="18"/>
        <v>0.5</v>
      </c>
      <c r="J13">
        <f t="shared" si="19"/>
        <v>0.3</v>
      </c>
      <c r="M13" t="s">
        <v>246</v>
      </c>
      <c r="N13">
        <f t="shared" si="20"/>
        <v>0.39999999999999997</v>
      </c>
      <c r="O13">
        <f t="shared" si="21"/>
        <v>0.3</v>
      </c>
      <c r="P13">
        <f t="shared" si="22"/>
        <v>0.7</v>
      </c>
      <c r="R13" t="s">
        <v>247</v>
      </c>
      <c r="S13">
        <f t="shared" si="23"/>
        <v>0.19999999999999996</v>
      </c>
      <c r="T13">
        <f t="shared" si="24"/>
        <v>9.9999999999999978E-2</v>
      </c>
      <c r="U13">
        <f t="shared" si="25"/>
        <v>0.29999999999999993</v>
      </c>
      <c r="W13" t="s">
        <v>248</v>
      </c>
      <c r="X13">
        <f t="shared" si="26"/>
        <v>0.19999999999999996</v>
      </c>
      <c r="Y13">
        <f t="shared" si="27"/>
        <v>9.9999999999999978E-2</v>
      </c>
      <c r="Z13">
        <f t="shared" si="28"/>
        <v>0.29999999999999993</v>
      </c>
      <c r="AB13" t="s">
        <v>249</v>
      </c>
      <c r="AC13">
        <f t="shared" si="29"/>
        <v>0.19999999999999996</v>
      </c>
      <c r="AD13">
        <f t="shared" si="30"/>
        <v>9.9999999999999978E-2</v>
      </c>
      <c r="AE13">
        <f t="shared" si="31"/>
        <v>0.29999999999999993</v>
      </c>
      <c r="AG13" t="s">
        <v>250</v>
      </c>
      <c r="AH13">
        <f t="shared" si="32"/>
        <v>0</v>
      </c>
      <c r="AI13">
        <f t="shared" si="33"/>
        <v>0</v>
      </c>
      <c r="AJ13">
        <f t="shared" si="34"/>
        <v>0</v>
      </c>
      <c r="AL13" t="s">
        <v>251</v>
      </c>
      <c r="AM13">
        <f t="shared" si="35"/>
        <v>0</v>
      </c>
      <c r="AN13">
        <f t="shared" si="36"/>
        <v>0</v>
      </c>
      <c r="AO13">
        <f t="shared" si="37"/>
        <v>0</v>
      </c>
    </row>
    <row r="14" spans="1:41" x14ac:dyDescent="0.25">
      <c r="A14" s="180" t="s">
        <v>312</v>
      </c>
      <c r="B14" s="180" t="s">
        <v>78</v>
      </c>
      <c r="C14" s="180">
        <v>3</v>
      </c>
      <c r="D14" s="180">
        <v>2</v>
      </c>
      <c r="E14" s="180">
        <v>2</v>
      </c>
      <c r="F14" s="180">
        <v>2</v>
      </c>
      <c r="G14" s="180">
        <v>9</v>
      </c>
      <c r="H14" s="180" t="s">
        <v>303</v>
      </c>
      <c r="I14">
        <f t="shared" si="18"/>
        <v>0.5</v>
      </c>
      <c r="J14">
        <f t="shared" si="19"/>
        <v>0.3</v>
      </c>
      <c r="M14" t="s">
        <v>252</v>
      </c>
      <c r="N14">
        <f t="shared" si="20"/>
        <v>0.19999999999999998</v>
      </c>
      <c r="O14">
        <f t="shared" si="21"/>
        <v>0.30000000000000004</v>
      </c>
      <c r="P14">
        <f t="shared" si="22"/>
        <v>0.5</v>
      </c>
      <c r="R14" t="s">
        <v>253</v>
      </c>
      <c r="S14">
        <f t="shared" si="23"/>
        <v>0.4</v>
      </c>
      <c r="T14">
        <f t="shared" si="24"/>
        <v>0.5</v>
      </c>
      <c r="U14">
        <f t="shared" si="25"/>
        <v>0.9</v>
      </c>
      <c r="W14" t="s">
        <v>254</v>
      </c>
      <c r="X14">
        <f t="shared" si="26"/>
        <v>0.4</v>
      </c>
      <c r="Y14">
        <f t="shared" si="27"/>
        <v>0.5</v>
      </c>
      <c r="Z14">
        <f t="shared" si="28"/>
        <v>0.9</v>
      </c>
      <c r="AB14" t="s">
        <v>255</v>
      </c>
      <c r="AC14">
        <f t="shared" si="29"/>
        <v>0.4</v>
      </c>
      <c r="AD14">
        <f t="shared" si="30"/>
        <v>0.5</v>
      </c>
      <c r="AE14">
        <f t="shared" si="31"/>
        <v>0.9</v>
      </c>
      <c r="AG14" t="s">
        <v>256</v>
      </c>
      <c r="AH14">
        <f t="shared" si="32"/>
        <v>0.6</v>
      </c>
      <c r="AI14">
        <f t="shared" si="33"/>
        <v>0.60000000000000009</v>
      </c>
      <c r="AJ14">
        <f t="shared" si="34"/>
        <v>1.2000000000000002</v>
      </c>
      <c r="AL14" t="s">
        <v>257</v>
      </c>
      <c r="AM14">
        <f t="shared" si="35"/>
        <v>0.6</v>
      </c>
      <c r="AN14">
        <f t="shared" si="36"/>
        <v>0.60000000000000009</v>
      </c>
      <c r="AO14">
        <f t="shared" si="37"/>
        <v>1.2000000000000002</v>
      </c>
    </row>
    <row r="15" spans="1:41" x14ac:dyDescent="0.25">
      <c r="A15" s="180" t="s">
        <v>313</v>
      </c>
      <c r="B15" s="180" t="s">
        <v>79</v>
      </c>
      <c r="C15" s="180">
        <v>2</v>
      </c>
      <c r="D15" s="180">
        <v>2</v>
      </c>
      <c r="E15" s="180">
        <v>2</v>
      </c>
      <c r="F15" s="180">
        <v>2</v>
      </c>
      <c r="G15" s="180">
        <v>8</v>
      </c>
      <c r="H15" s="180" t="s">
        <v>306</v>
      </c>
      <c r="I15">
        <f t="shared" si="18"/>
        <v>0.7</v>
      </c>
      <c r="J15">
        <f t="shared" si="19"/>
        <v>0.2</v>
      </c>
      <c r="M15" t="s">
        <v>258</v>
      </c>
      <c r="N15">
        <f t="shared" si="20"/>
        <v>0.2</v>
      </c>
      <c r="O15">
        <f t="shared" si="21"/>
        <v>0.2</v>
      </c>
      <c r="P15">
        <f t="shared" si="22"/>
        <v>0.4</v>
      </c>
      <c r="R15" t="s">
        <v>259</v>
      </c>
      <c r="S15">
        <f t="shared" si="23"/>
        <v>0</v>
      </c>
      <c r="T15">
        <f t="shared" si="24"/>
        <v>0</v>
      </c>
      <c r="U15">
        <f t="shared" si="25"/>
        <v>0</v>
      </c>
      <c r="W15" t="s">
        <v>260</v>
      </c>
      <c r="X15">
        <f t="shared" si="26"/>
        <v>0</v>
      </c>
      <c r="Y15">
        <f t="shared" si="27"/>
        <v>0</v>
      </c>
      <c r="Z15">
        <f t="shared" si="28"/>
        <v>0</v>
      </c>
      <c r="AB15" t="s">
        <v>261</v>
      </c>
      <c r="AC15">
        <f t="shared" si="29"/>
        <v>0</v>
      </c>
      <c r="AD15">
        <f t="shared" si="30"/>
        <v>0</v>
      </c>
      <c r="AE15">
        <f t="shared" si="31"/>
        <v>0</v>
      </c>
      <c r="AG15" t="s">
        <v>262</v>
      </c>
      <c r="AH15">
        <f t="shared" si="32"/>
        <v>0.19999999999999996</v>
      </c>
      <c r="AI15">
        <f t="shared" si="33"/>
        <v>9.9999999999999978E-2</v>
      </c>
      <c r="AJ15">
        <f t="shared" si="34"/>
        <v>0.29999999999999993</v>
      </c>
      <c r="AL15" t="s">
        <v>263</v>
      </c>
      <c r="AM15">
        <f t="shared" si="35"/>
        <v>0.19999999999999996</v>
      </c>
      <c r="AN15">
        <f t="shared" si="36"/>
        <v>9.9999999999999978E-2</v>
      </c>
      <c r="AO15">
        <f t="shared" si="37"/>
        <v>0.29999999999999993</v>
      </c>
    </row>
    <row r="16" spans="1:41" x14ac:dyDescent="0.25">
      <c r="A16" s="180" t="s">
        <v>314</v>
      </c>
      <c r="B16" s="180" t="s">
        <v>80</v>
      </c>
      <c r="C16" s="180">
        <v>2</v>
      </c>
      <c r="D16" s="180">
        <v>2</v>
      </c>
      <c r="E16" s="180">
        <v>2</v>
      </c>
      <c r="F16" s="180">
        <v>2</v>
      </c>
      <c r="G16" s="180">
        <v>8</v>
      </c>
      <c r="H16" s="180" t="s">
        <v>306</v>
      </c>
      <c r="I16">
        <f t="shared" si="18"/>
        <v>0.7</v>
      </c>
      <c r="J16">
        <f t="shared" si="19"/>
        <v>0.2</v>
      </c>
      <c r="M16" t="s">
        <v>264</v>
      </c>
      <c r="N16">
        <f t="shared" si="20"/>
        <v>0.39999999999999997</v>
      </c>
      <c r="O16">
        <f t="shared" si="21"/>
        <v>0.3</v>
      </c>
      <c r="P16">
        <f t="shared" si="22"/>
        <v>0.7</v>
      </c>
      <c r="R16" t="s">
        <v>265</v>
      </c>
      <c r="S16">
        <f t="shared" si="23"/>
        <v>0.19999999999999996</v>
      </c>
      <c r="T16">
        <f t="shared" si="24"/>
        <v>9.9999999999999978E-2</v>
      </c>
      <c r="U16">
        <f t="shared" si="25"/>
        <v>0.29999999999999993</v>
      </c>
      <c r="W16" t="s">
        <v>266</v>
      </c>
      <c r="X16">
        <f t="shared" si="26"/>
        <v>0.19999999999999996</v>
      </c>
      <c r="Y16">
        <f t="shared" si="27"/>
        <v>9.9999999999999978E-2</v>
      </c>
      <c r="Z16">
        <f t="shared" si="28"/>
        <v>0.29999999999999993</v>
      </c>
      <c r="AB16" t="s">
        <v>267</v>
      </c>
      <c r="AC16">
        <f t="shared" si="29"/>
        <v>0.19999999999999996</v>
      </c>
      <c r="AD16">
        <f t="shared" si="30"/>
        <v>9.9999999999999978E-2</v>
      </c>
      <c r="AE16">
        <f t="shared" si="31"/>
        <v>0.29999999999999993</v>
      </c>
      <c r="AG16" t="s">
        <v>268</v>
      </c>
      <c r="AH16">
        <f t="shared" si="32"/>
        <v>0</v>
      </c>
      <c r="AI16">
        <f t="shared" si="33"/>
        <v>0</v>
      </c>
      <c r="AJ16">
        <f t="shared" si="34"/>
        <v>0</v>
      </c>
      <c r="AL16" t="s">
        <v>269</v>
      </c>
      <c r="AM16">
        <f t="shared" si="35"/>
        <v>0</v>
      </c>
      <c r="AN16">
        <f t="shared" si="36"/>
        <v>0</v>
      </c>
      <c r="AO16">
        <f t="shared" si="37"/>
        <v>0</v>
      </c>
    </row>
    <row r="17" spans="1:20" x14ac:dyDescent="0.25">
      <c r="A17" s="166" t="s">
        <v>315</v>
      </c>
      <c r="B17" s="166"/>
      <c r="C17" s="180"/>
      <c r="D17" s="180"/>
      <c r="E17" s="180"/>
      <c r="F17" s="180"/>
      <c r="G17" s="180"/>
      <c r="H17" s="180"/>
    </row>
    <row r="18" spans="1:20" x14ac:dyDescent="0.25">
      <c r="A18" s="180" t="s">
        <v>316</v>
      </c>
      <c r="B18" s="180" t="s">
        <v>81</v>
      </c>
      <c r="C18" s="180">
        <v>4</v>
      </c>
      <c r="D18" s="180">
        <v>3</v>
      </c>
      <c r="E18" s="180">
        <v>3</v>
      </c>
      <c r="F18" s="180">
        <v>3</v>
      </c>
      <c r="G18" s="180">
        <v>13</v>
      </c>
      <c r="H18" s="180" t="s">
        <v>301</v>
      </c>
      <c r="I18">
        <f t="shared" si="18"/>
        <v>0.3</v>
      </c>
      <c r="J18">
        <f t="shared" si="19"/>
        <v>0.5</v>
      </c>
    </row>
    <row r="19" spans="1:20" x14ac:dyDescent="0.25">
      <c r="A19" s="180" t="s">
        <v>317</v>
      </c>
      <c r="B19" s="180" t="s">
        <v>82</v>
      </c>
      <c r="C19" s="180">
        <v>3</v>
      </c>
      <c r="D19" s="180">
        <v>3</v>
      </c>
      <c r="E19" s="180">
        <v>3</v>
      </c>
      <c r="F19" s="180">
        <v>3</v>
      </c>
      <c r="G19" s="180">
        <v>12</v>
      </c>
      <c r="H19" s="180" t="s">
        <v>303</v>
      </c>
      <c r="I19">
        <f t="shared" si="18"/>
        <v>0.5</v>
      </c>
      <c r="J19">
        <f t="shared" si="19"/>
        <v>0.3</v>
      </c>
      <c r="M19" t="s">
        <v>323</v>
      </c>
      <c r="N19">
        <f>MIN(P3:P8)</f>
        <v>0</v>
      </c>
      <c r="P19" t="s">
        <v>329</v>
      </c>
      <c r="Q19">
        <f>MIN(P11:P16)</f>
        <v>0</v>
      </c>
    </row>
    <row r="20" spans="1:20" x14ac:dyDescent="0.25">
      <c r="A20" s="180" t="s">
        <v>318</v>
      </c>
      <c r="B20" s="180" t="s">
        <v>83</v>
      </c>
      <c r="C20" s="180">
        <v>3</v>
      </c>
      <c r="D20" s="180">
        <v>2</v>
      </c>
      <c r="E20" s="180">
        <v>2</v>
      </c>
      <c r="F20" s="180">
        <v>2</v>
      </c>
      <c r="G20" s="180">
        <v>9</v>
      </c>
      <c r="H20" s="180" t="s">
        <v>303</v>
      </c>
      <c r="I20">
        <f t="shared" si="18"/>
        <v>0.5</v>
      </c>
      <c r="J20">
        <f t="shared" si="19"/>
        <v>0.3</v>
      </c>
      <c r="M20" t="s">
        <v>324</v>
      </c>
      <c r="N20">
        <f>MIN(U3:U8)</f>
        <v>0</v>
      </c>
      <c r="P20" t="s">
        <v>330</v>
      </c>
      <c r="Q20">
        <f>MIN(U11:U16)</f>
        <v>0</v>
      </c>
    </row>
    <row r="21" spans="1:20" x14ac:dyDescent="0.25">
      <c r="A21" s="180" t="s">
        <v>319</v>
      </c>
      <c r="B21" s="180" t="s">
        <v>84</v>
      </c>
      <c r="C21" s="180">
        <v>4</v>
      </c>
      <c r="D21" s="180">
        <v>3</v>
      </c>
      <c r="E21" s="180">
        <v>3</v>
      </c>
      <c r="F21" s="180">
        <v>4</v>
      </c>
      <c r="G21" s="180">
        <v>14</v>
      </c>
      <c r="H21" s="180" t="s">
        <v>301</v>
      </c>
      <c r="I21">
        <f t="shared" si="18"/>
        <v>0.3</v>
      </c>
      <c r="J21">
        <f t="shared" si="19"/>
        <v>0.5</v>
      </c>
      <c r="M21" t="s">
        <v>325</v>
      </c>
      <c r="N21">
        <f>MIN(Z3:Z8)</f>
        <v>0</v>
      </c>
      <c r="P21" t="s">
        <v>331</v>
      </c>
      <c r="Q21">
        <f>MIN(Z11:Z16)</f>
        <v>0</v>
      </c>
    </row>
    <row r="22" spans="1:20" x14ac:dyDescent="0.25">
      <c r="A22" s="180" t="s">
        <v>320</v>
      </c>
      <c r="B22" s="180" t="s">
        <v>85</v>
      </c>
      <c r="C22" s="180">
        <v>2</v>
      </c>
      <c r="D22" s="180">
        <v>2</v>
      </c>
      <c r="E22" s="180">
        <v>2</v>
      </c>
      <c r="F22" s="180">
        <v>2</v>
      </c>
      <c r="G22" s="180">
        <v>8</v>
      </c>
      <c r="H22" s="180" t="s">
        <v>306</v>
      </c>
      <c r="I22">
        <f t="shared" si="18"/>
        <v>0.7</v>
      </c>
      <c r="J22">
        <f t="shared" si="19"/>
        <v>0.2</v>
      </c>
      <c r="M22" t="s">
        <v>326</v>
      </c>
      <c r="N22">
        <f>MIN(AE3:AE8)</f>
        <v>0.5</v>
      </c>
      <c r="P22" t="s">
        <v>332</v>
      </c>
      <c r="Q22">
        <f>MIN(AE11:AE16)</f>
        <v>0</v>
      </c>
    </row>
    <row r="23" spans="1:20" x14ac:dyDescent="0.25">
      <c r="A23" s="180" t="s">
        <v>321</v>
      </c>
      <c r="B23" s="180" t="s">
        <v>86</v>
      </c>
      <c r="C23" s="180">
        <v>2</v>
      </c>
      <c r="D23" s="180">
        <v>2</v>
      </c>
      <c r="E23" s="180">
        <v>2</v>
      </c>
      <c r="F23" s="180">
        <v>2</v>
      </c>
      <c r="G23" s="180">
        <v>8</v>
      </c>
      <c r="H23" s="180" t="s">
        <v>306</v>
      </c>
      <c r="I23">
        <f t="shared" si="18"/>
        <v>0.7</v>
      </c>
      <c r="J23">
        <f t="shared" si="19"/>
        <v>0.2</v>
      </c>
      <c r="M23" t="s">
        <v>327</v>
      </c>
      <c r="N23">
        <f>MIN(AJ3:AJ8)</f>
        <v>0</v>
      </c>
      <c r="P23" t="s">
        <v>333</v>
      </c>
      <c r="Q23">
        <f>MIN(AJ11:AJ16)</f>
        <v>0</v>
      </c>
    </row>
    <row r="24" spans="1:20" x14ac:dyDescent="0.25">
      <c r="M24" t="s">
        <v>328</v>
      </c>
      <c r="N24">
        <f>MIN(AO3:AO8)</f>
        <v>0</v>
      </c>
      <c r="P24" t="s">
        <v>334</v>
      </c>
      <c r="Q24">
        <f>MIN(AO11:AO16)</f>
        <v>0</v>
      </c>
    </row>
    <row r="26" spans="1:20" x14ac:dyDescent="0.25">
      <c r="M26" t="s">
        <v>279</v>
      </c>
      <c r="N26">
        <f>SUM(N19:N24)</f>
        <v>0.5</v>
      </c>
      <c r="P26" t="s">
        <v>279</v>
      </c>
      <c r="Q26">
        <f>SUM(Q19:Q24)</f>
        <v>0</v>
      </c>
      <c r="S26" t="s">
        <v>288</v>
      </c>
      <c r="T26">
        <f>(1/(4.6))*(N26+Q26)</f>
        <v>0.10869565217391305</v>
      </c>
    </row>
    <row r="29" spans="1:20" x14ac:dyDescent="0.25">
      <c r="M29" t="s">
        <v>288</v>
      </c>
      <c r="N29">
        <f>T26</f>
        <v>0.10869565217391305</v>
      </c>
    </row>
    <row r="30" spans="1:20" x14ac:dyDescent="0.25">
      <c r="M30" t="s">
        <v>322</v>
      </c>
      <c r="N30">
        <f>'mjb1'!H152</f>
        <v>0.10438596491228069</v>
      </c>
    </row>
    <row r="31" spans="1:20" x14ac:dyDescent="0.25">
      <c r="M31" t="s">
        <v>335</v>
      </c>
      <c r="N31">
        <f>(1/2) *(N29+N30)</f>
        <v>0.10654080854309687</v>
      </c>
    </row>
    <row r="32" spans="1:20" x14ac:dyDescent="0.25">
      <c r="M32" t="s">
        <v>336</v>
      </c>
      <c r="N32">
        <f>1-N31</f>
        <v>0.89345919145690311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B0B18-BC65-4B24-948B-9F3E6271C925}">
  <sheetPr>
    <tabColor rgb="FF0070C0"/>
  </sheetPr>
  <dimension ref="A1:Z152"/>
  <sheetViews>
    <sheetView tabSelected="1" workbookViewId="0">
      <selection activeCell="B2" sqref="B2"/>
    </sheetView>
  </sheetViews>
  <sheetFormatPr defaultRowHeight="15" x14ac:dyDescent="0.25"/>
  <cols>
    <col min="1" max="1" width="10.85546875" customWidth="1"/>
    <col min="2" max="2" width="14" customWidth="1"/>
    <col min="26" max="26" width="12.5703125" customWidth="1"/>
  </cols>
  <sheetData>
    <row r="1" spans="1:23" x14ac:dyDescent="0.25">
      <c r="A1" t="s">
        <v>215</v>
      </c>
      <c r="B1" t="s">
        <v>212</v>
      </c>
      <c r="C1" t="s">
        <v>214</v>
      </c>
      <c r="E1" t="s">
        <v>240</v>
      </c>
      <c r="F1" t="s">
        <v>212</v>
      </c>
      <c r="G1" t="s">
        <v>214</v>
      </c>
      <c r="I1" t="s">
        <v>246</v>
      </c>
      <c r="J1" t="s">
        <v>212</v>
      </c>
      <c r="K1" t="s">
        <v>214</v>
      </c>
      <c r="M1" t="s">
        <v>252</v>
      </c>
      <c r="N1" t="s">
        <v>212</v>
      </c>
      <c r="O1" t="s">
        <v>214</v>
      </c>
      <c r="Q1" t="s">
        <v>258</v>
      </c>
      <c r="R1" t="s">
        <v>212</v>
      </c>
      <c r="S1" t="s">
        <v>214</v>
      </c>
      <c r="U1" t="s">
        <v>264</v>
      </c>
      <c r="V1" t="s">
        <v>212</v>
      </c>
      <c r="W1" t="s">
        <v>214</v>
      </c>
    </row>
    <row r="2" spans="1:23" x14ac:dyDescent="0.25">
      <c r="A2" t="s">
        <v>221</v>
      </c>
      <c r="B2">
        <f>m1bj!B2</f>
        <v>0</v>
      </c>
      <c r="C2">
        <f>m1bj!C2</f>
        <v>0</v>
      </c>
      <c r="E2" t="s">
        <v>221</v>
      </c>
      <c r="F2">
        <f>m1bj!B25</f>
        <v>0</v>
      </c>
      <c r="G2">
        <f>m1bj!C25</f>
        <v>0</v>
      </c>
      <c r="I2" t="s">
        <v>221</v>
      </c>
      <c r="J2">
        <f>m1bj!B48</f>
        <v>0</v>
      </c>
      <c r="K2">
        <f>m1bj!C48</f>
        <v>0</v>
      </c>
      <c r="M2" t="s">
        <v>221</v>
      </c>
      <c r="N2">
        <f>m1bj!B72</f>
        <v>0.2</v>
      </c>
      <c r="O2">
        <f>m1bj!C72</f>
        <v>0.19999999999999996</v>
      </c>
      <c r="Q2" t="s">
        <v>221</v>
      </c>
      <c r="R2">
        <f>m1bj!B95</f>
        <v>0.2</v>
      </c>
      <c r="S2">
        <f>m1bj!C95</f>
        <v>0.19999999999999996</v>
      </c>
      <c r="U2" t="s">
        <v>221</v>
      </c>
      <c r="V2">
        <f>m1bj!B119</f>
        <v>0</v>
      </c>
      <c r="W2">
        <f>m1bj!C119</f>
        <v>0</v>
      </c>
    </row>
    <row r="3" spans="1:23" x14ac:dyDescent="0.25">
      <c r="A3" t="s">
        <v>222</v>
      </c>
      <c r="B3">
        <f>m1bj!B3</f>
        <v>0.39999999999999997</v>
      </c>
      <c r="C3">
        <f>m1bj!C3</f>
        <v>0.39999999999999997</v>
      </c>
      <c r="E3" t="s">
        <v>222</v>
      </c>
      <c r="F3">
        <f>m1bj!B26</f>
        <v>0.39999999999999997</v>
      </c>
      <c r="G3">
        <f>m1bj!C26</f>
        <v>0.39999999999999997</v>
      </c>
      <c r="I3" t="s">
        <v>222</v>
      </c>
      <c r="J3">
        <f>m1bj!B49</f>
        <v>0.39999999999999997</v>
      </c>
      <c r="K3">
        <f>m1bj!C49</f>
        <v>0.39999999999999997</v>
      </c>
      <c r="M3" t="s">
        <v>222</v>
      </c>
      <c r="N3">
        <f>m1bj!B73</f>
        <v>0.39999999999999997</v>
      </c>
      <c r="O3">
        <f>m1bj!C73</f>
        <v>0.39999999999999997</v>
      </c>
      <c r="Q3" t="s">
        <v>222</v>
      </c>
      <c r="R3">
        <f>m1bj!B96</f>
        <v>0.39999999999999997</v>
      </c>
      <c r="S3">
        <f>m1bj!C96</f>
        <v>0.39999999999999997</v>
      </c>
      <c r="U3" t="s">
        <v>222</v>
      </c>
      <c r="V3">
        <f>m1bj!B120</f>
        <v>0.39999999999999997</v>
      </c>
      <c r="W3">
        <f>m1bj!C120</f>
        <v>0.39999999999999997</v>
      </c>
    </row>
    <row r="4" spans="1:23" x14ac:dyDescent="0.25">
      <c r="A4" t="s">
        <v>223</v>
      </c>
      <c r="B4">
        <f>m1bj!B4</f>
        <v>0</v>
      </c>
      <c r="C4">
        <f>m1bj!C4</f>
        <v>0</v>
      </c>
      <c r="E4" t="s">
        <v>223</v>
      </c>
      <c r="F4">
        <f>m1bj!B27</f>
        <v>0</v>
      </c>
      <c r="G4">
        <f>m1bj!C27</f>
        <v>0</v>
      </c>
      <c r="I4" t="s">
        <v>223</v>
      </c>
      <c r="J4">
        <f>m1bj!B50</f>
        <v>0</v>
      </c>
      <c r="K4">
        <f>m1bj!C50</f>
        <v>0</v>
      </c>
      <c r="M4" t="s">
        <v>223</v>
      </c>
      <c r="N4">
        <f>m1bj!B74</f>
        <v>0</v>
      </c>
      <c r="O4">
        <f>m1bj!C74</f>
        <v>0</v>
      </c>
      <c r="Q4" t="s">
        <v>223</v>
      </c>
      <c r="R4">
        <f>m1bj!B97</f>
        <v>0</v>
      </c>
      <c r="S4">
        <f>m1bj!C97</f>
        <v>0</v>
      </c>
      <c r="U4" t="s">
        <v>223</v>
      </c>
      <c r="V4">
        <f>m1bj!B121</f>
        <v>0</v>
      </c>
      <c r="W4">
        <f>m1bj!C121</f>
        <v>0</v>
      </c>
    </row>
    <row r="5" spans="1:23" x14ac:dyDescent="0.25">
      <c r="A5" t="s">
        <v>224</v>
      </c>
      <c r="B5">
        <f>m1bj!B5</f>
        <v>0</v>
      </c>
      <c r="C5">
        <f>m1bj!C5</f>
        <v>0</v>
      </c>
      <c r="E5" t="s">
        <v>224</v>
      </c>
      <c r="F5">
        <f>m1bj!B28</f>
        <v>0</v>
      </c>
      <c r="G5">
        <f>m1bj!C28</f>
        <v>0</v>
      </c>
      <c r="I5" t="s">
        <v>224</v>
      </c>
      <c r="J5">
        <f>m1bj!B51</f>
        <v>0</v>
      </c>
      <c r="K5">
        <f>m1bj!C51</f>
        <v>0</v>
      </c>
      <c r="M5" t="s">
        <v>224</v>
      </c>
      <c r="N5">
        <f>m1bj!B75</f>
        <v>0</v>
      </c>
      <c r="O5">
        <f>m1bj!C75</f>
        <v>0</v>
      </c>
      <c r="Q5" t="s">
        <v>224</v>
      </c>
      <c r="R5">
        <f>m1bj!B98</f>
        <v>0</v>
      </c>
      <c r="S5">
        <f>m1bj!C98</f>
        <v>0</v>
      </c>
      <c r="U5" t="s">
        <v>224</v>
      </c>
      <c r="V5">
        <f>m1bj!B122</f>
        <v>0</v>
      </c>
      <c r="W5">
        <f>m1bj!C122</f>
        <v>0</v>
      </c>
    </row>
    <row r="6" spans="1:23" x14ac:dyDescent="0.25">
      <c r="A6" t="s">
        <v>225</v>
      </c>
      <c r="B6">
        <f>m1bj!B6</f>
        <v>0.2</v>
      </c>
      <c r="C6">
        <f>m1bj!C6</f>
        <v>0.19999999999999996</v>
      </c>
      <c r="E6" t="s">
        <v>225</v>
      </c>
      <c r="F6">
        <f>m1bj!B29</f>
        <v>0.2</v>
      </c>
      <c r="G6">
        <f>m1bj!C29</f>
        <v>0.19999999999999996</v>
      </c>
      <c r="I6" t="s">
        <v>225</v>
      </c>
      <c r="J6">
        <f>m1bj!B52</f>
        <v>0.2</v>
      </c>
      <c r="K6">
        <f>m1bj!C52</f>
        <v>0.19999999999999996</v>
      </c>
      <c r="M6" t="s">
        <v>225</v>
      </c>
      <c r="N6">
        <f>m1bj!B76</f>
        <v>0.2</v>
      </c>
      <c r="O6">
        <f>m1bj!C76</f>
        <v>0.19999999999999996</v>
      </c>
      <c r="Q6" t="s">
        <v>225</v>
      </c>
      <c r="R6">
        <f>m1bj!B99</f>
        <v>0.2</v>
      </c>
      <c r="S6">
        <f>m1bj!C99</f>
        <v>0.19999999999999996</v>
      </c>
      <c r="U6" t="s">
        <v>225</v>
      </c>
      <c r="V6">
        <f>m1bj!B123</f>
        <v>0.2</v>
      </c>
      <c r="W6">
        <f>m1bj!C123</f>
        <v>0.19999999999999996</v>
      </c>
    </row>
    <row r="7" spans="1:23" x14ac:dyDescent="0.25">
      <c r="A7" t="s">
        <v>226</v>
      </c>
      <c r="B7">
        <f>m1bj!B7</f>
        <v>0.19999999999999996</v>
      </c>
      <c r="C7">
        <f>m1bj!C7</f>
        <v>0.2</v>
      </c>
      <c r="E7" t="s">
        <v>226</v>
      </c>
      <c r="F7">
        <f>m1bj!B30</f>
        <v>0.39999999999999997</v>
      </c>
      <c r="G7">
        <f>m1bj!C30</f>
        <v>0.39999999999999997</v>
      </c>
      <c r="I7" t="s">
        <v>226</v>
      </c>
      <c r="J7">
        <f>m1bj!B53</f>
        <v>0.39999999999999997</v>
      </c>
      <c r="K7">
        <f>m1bj!C53</f>
        <v>0.39999999999999997</v>
      </c>
      <c r="M7" t="s">
        <v>226</v>
      </c>
      <c r="N7">
        <f>m1bj!B77</f>
        <v>0.39999999999999997</v>
      </c>
      <c r="O7">
        <f>m1bj!C77</f>
        <v>0.39999999999999997</v>
      </c>
      <c r="Q7" t="s">
        <v>226</v>
      </c>
      <c r="R7">
        <f>m1bj!B100</f>
        <v>0</v>
      </c>
      <c r="S7">
        <f>m1bj!C100</f>
        <v>0</v>
      </c>
      <c r="U7" t="s">
        <v>226</v>
      </c>
      <c r="V7">
        <f>m1bj!B124</f>
        <v>0.39999999999999997</v>
      </c>
      <c r="W7">
        <f>m1bj!C124</f>
        <v>0.39999999999999997</v>
      </c>
    </row>
    <row r="8" spans="1:23" x14ac:dyDescent="0.25">
      <c r="A8" t="s">
        <v>227</v>
      </c>
      <c r="B8">
        <f>m1bj!B8</f>
        <v>0</v>
      </c>
      <c r="C8">
        <f>m1bj!C8</f>
        <v>0</v>
      </c>
      <c r="E8" t="s">
        <v>227</v>
      </c>
      <c r="F8">
        <f>m1bj!B31</f>
        <v>0</v>
      </c>
      <c r="G8">
        <f>m1bj!C31</f>
        <v>0</v>
      </c>
      <c r="I8" t="s">
        <v>227</v>
      </c>
      <c r="J8">
        <f>m1bj!B54</f>
        <v>0</v>
      </c>
      <c r="K8">
        <f>m1bj!C54</f>
        <v>0</v>
      </c>
      <c r="M8" t="s">
        <v>227</v>
      </c>
      <c r="N8">
        <f>m1bj!B78</f>
        <v>0</v>
      </c>
      <c r="O8">
        <f>m1bj!C78</f>
        <v>0</v>
      </c>
      <c r="Q8" t="s">
        <v>227</v>
      </c>
      <c r="R8">
        <f>m1bj!B101</f>
        <v>0</v>
      </c>
      <c r="S8">
        <f>m1bj!C101</f>
        <v>0</v>
      </c>
      <c r="U8" t="s">
        <v>227</v>
      </c>
      <c r="V8">
        <f>m1bj!B125</f>
        <v>0</v>
      </c>
      <c r="W8">
        <f>m1bj!C125</f>
        <v>0</v>
      </c>
    </row>
    <row r="9" spans="1:23" x14ac:dyDescent="0.25">
      <c r="A9" t="s">
        <v>228</v>
      </c>
      <c r="B9">
        <f>m1bj!B9</f>
        <v>0</v>
      </c>
      <c r="C9">
        <f>m1bj!C9</f>
        <v>0</v>
      </c>
      <c r="E9" t="s">
        <v>228</v>
      </c>
      <c r="F9">
        <f>m1bj!B32</f>
        <v>0</v>
      </c>
      <c r="G9">
        <f>m1bj!C32</f>
        <v>0</v>
      </c>
      <c r="I9" t="s">
        <v>228</v>
      </c>
      <c r="J9">
        <f>m1bj!B55</f>
        <v>0</v>
      </c>
      <c r="K9">
        <f>m1bj!C55</f>
        <v>0</v>
      </c>
      <c r="M9" t="s">
        <v>228</v>
      </c>
      <c r="N9">
        <f>m1bj!B79</f>
        <v>0</v>
      </c>
      <c r="O9">
        <f>m1bj!C79</f>
        <v>0</v>
      </c>
      <c r="Q9" t="s">
        <v>228</v>
      </c>
      <c r="R9">
        <f>m1bj!B102</f>
        <v>0</v>
      </c>
      <c r="S9">
        <f>m1bj!C102</f>
        <v>0</v>
      </c>
      <c r="U9" t="s">
        <v>228</v>
      </c>
      <c r="V9">
        <f>m1bj!B126</f>
        <v>0</v>
      </c>
      <c r="W9">
        <f>m1bj!C126</f>
        <v>0</v>
      </c>
    </row>
    <row r="10" spans="1:23" x14ac:dyDescent="0.25">
      <c r="A10" t="s">
        <v>229</v>
      </c>
      <c r="B10">
        <f>m1bj!B10</f>
        <v>0</v>
      </c>
      <c r="C10">
        <f>m1bj!C10</f>
        <v>0</v>
      </c>
      <c r="E10" t="s">
        <v>229</v>
      </c>
      <c r="F10">
        <f>m1bj!B33</f>
        <v>0.2</v>
      </c>
      <c r="G10">
        <f>m1bj!C33</f>
        <v>0.19999999999999996</v>
      </c>
      <c r="I10" t="s">
        <v>229</v>
      </c>
      <c r="J10">
        <f>m1bj!B56</f>
        <v>0.2</v>
      </c>
      <c r="K10">
        <f>m1bj!C56</f>
        <v>0.19999999999999996</v>
      </c>
      <c r="M10" t="s">
        <v>229</v>
      </c>
      <c r="N10">
        <f>m1bj!B80</f>
        <v>0.2</v>
      </c>
      <c r="O10">
        <f>m1bj!C80</f>
        <v>0.19999999999999996</v>
      </c>
      <c r="Q10" t="s">
        <v>229</v>
      </c>
      <c r="R10">
        <f>m1bj!B103</f>
        <v>0.2</v>
      </c>
      <c r="S10">
        <f>m1bj!C103</f>
        <v>0.19999999999999996</v>
      </c>
      <c r="U10" t="s">
        <v>229</v>
      </c>
      <c r="V10">
        <f>m1bj!B127</f>
        <v>0.2</v>
      </c>
      <c r="W10">
        <f>m1bj!C127</f>
        <v>0.19999999999999996</v>
      </c>
    </row>
    <row r="11" spans="1:23" x14ac:dyDescent="0.25">
      <c r="A11" t="s">
        <v>230</v>
      </c>
      <c r="B11">
        <f>m1bj!B11</f>
        <v>0</v>
      </c>
      <c r="C11">
        <f>m1bj!C11</f>
        <v>0</v>
      </c>
      <c r="E11" t="s">
        <v>230</v>
      </c>
      <c r="F11">
        <f>m1bj!B34</f>
        <v>0</v>
      </c>
      <c r="G11">
        <f>m1bj!C34</f>
        <v>0</v>
      </c>
      <c r="I11" t="s">
        <v>230</v>
      </c>
      <c r="J11">
        <f>m1bj!B57</f>
        <v>0</v>
      </c>
      <c r="K11">
        <f>m1bj!C57</f>
        <v>0</v>
      </c>
      <c r="M11" t="s">
        <v>230</v>
      </c>
      <c r="N11">
        <f>m1bj!B81</f>
        <v>0</v>
      </c>
      <c r="O11">
        <f>m1bj!C81</f>
        <v>0</v>
      </c>
      <c r="Q11" t="s">
        <v>230</v>
      </c>
      <c r="R11">
        <f>m1bj!B104</f>
        <v>0</v>
      </c>
      <c r="S11">
        <f>m1bj!C104</f>
        <v>0</v>
      </c>
      <c r="U11" t="s">
        <v>230</v>
      </c>
      <c r="V11">
        <f>m1bj!B128</f>
        <v>0</v>
      </c>
      <c r="W11">
        <f>m1bj!C128</f>
        <v>0</v>
      </c>
    </row>
    <row r="12" spans="1:23" x14ac:dyDescent="0.25">
      <c r="A12" t="s">
        <v>231</v>
      </c>
      <c r="B12">
        <f>m1bj!B12</f>
        <v>0.19999999999999996</v>
      </c>
      <c r="C12">
        <f>m1bj!C12</f>
        <v>0.2</v>
      </c>
      <c r="E12" t="s">
        <v>231</v>
      </c>
      <c r="F12">
        <f>m1bj!B35</f>
        <v>0.19999999999999996</v>
      </c>
      <c r="G12">
        <f>m1bj!C35</f>
        <v>0.2</v>
      </c>
      <c r="I12" t="s">
        <v>231</v>
      </c>
      <c r="J12">
        <f>m1bj!B58</f>
        <v>0</v>
      </c>
      <c r="K12">
        <f>m1bj!C58</f>
        <v>0</v>
      </c>
      <c r="M12" t="s">
        <v>231</v>
      </c>
      <c r="N12">
        <f>m1bj!B82</f>
        <v>0.20000000000000007</v>
      </c>
      <c r="O12">
        <f>m1bj!C82</f>
        <v>0.19999999999999998</v>
      </c>
      <c r="Q12" t="s">
        <v>231</v>
      </c>
      <c r="R12">
        <f>m1bj!B105</f>
        <v>0.20000000000000007</v>
      </c>
      <c r="S12">
        <f>m1bj!C105</f>
        <v>0.19999999999999998</v>
      </c>
      <c r="U12" t="s">
        <v>231</v>
      </c>
      <c r="V12">
        <f>m1bj!B129</f>
        <v>0</v>
      </c>
      <c r="W12">
        <f>m1bj!C129</f>
        <v>0</v>
      </c>
    </row>
    <row r="13" spans="1:23" x14ac:dyDescent="0.25">
      <c r="A13" t="s">
        <v>232</v>
      </c>
      <c r="B13">
        <f>m1bj!B13</f>
        <v>0</v>
      </c>
      <c r="C13">
        <f>m1bj!C13</f>
        <v>0</v>
      </c>
      <c r="E13" t="s">
        <v>232</v>
      </c>
      <c r="F13">
        <f>m1bj!B36</f>
        <v>0</v>
      </c>
      <c r="G13">
        <f>m1bj!C36</f>
        <v>0</v>
      </c>
      <c r="I13" t="s">
        <v>232</v>
      </c>
      <c r="J13">
        <f>m1bj!B59</f>
        <v>0.2</v>
      </c>
      <c r="K13">
        <f>m1bj!C59</f>
        <v>0.19999999999999996</v>
      </c>
      <c r="M13" t="s">
        <v>232</v>
      </c>
      <c r="N13">
        <f>m1bj!B83</f>
        <v>0</v>
      </c>
      <c r="O13">
        <f>m1bj!C83</f>
        <v>0</v>
      </c>
      <c r="Q13" t="s">
        <v>232</v>
      </c>
      <c r="R13">
        <f>m1bj!B106</f>
        <v>0</v>
      </c>
      <c r="S13">
        <f>m1bj!C106</f>
        <v>0</v>
      </c>
      <c r="U13" t="s">
        <v>232</v>
      </c>
      <c r="V13">
        <f>m1bj!B130</f>
        <v>0</v>
      </c>
      <c r="W13">
        <f>m1bj!C130</f>
        <v>0</v>
      </c>
    </row>
    <row r="14" spans="1:23" x14ac:dyDescent="0.25">
      <c r="A14" t="s">
        <v>233</v>
      </c>
      <c r="B14">
        <f>m1bj!B14</f>
        <v>0</v>
      </c>
      <c r="C14">
        <f>m1bj!C14</f>
        <v>0</v>
      </c>
      <c r="E14" t="s">
        <v>233</v>
      </c>
      <c r="F14">
        <f>m1bj!B37</f>
        <v>0</v>
      </c>
      <c r="G14">
        <f>m1bj!C37</f>
        <v>0</v>
      </c>
      <c r="I14" t="s">
        <v>233</v>
      </c>
      <c r="J14">
        <f>m1bj!B60</f>
        <v>0</v>
      </c>
      <c r="K14">
        <f>m1bj!C60</f>
        <v>0</v>
      </c>
      <c r="M14" t="s">
        <v>233</v>
      </c>
      <c r="N14">
        <f>m1bj!B84</f>
        <v>0</v>
      </c>
      <c r="O14">
        <f>m1bj!C84</f>
        <v>0</v>
      </c>
      <c r="Q14" t="s">
        <v>233</v>
      </c>
      <c r="R14">
        <f>m1bj!B107</f>
        <v>0</v>
      </c>
      <c r="S14">
        <f>m1bj!C107</f>
        <v>0</v>
      </c>
      <c r="U14" t="s">
        <v>233</v>
      </c>
      <c r="V14">
        <f>m1bj!B131</f>
        <v>0</v>
      </c>
      <c r="W14">
        <f>m1bj!C131</f>
        <v>0</v>
      </c>
    </row>
    <row r="15" spans="1:23" x14ac:dyDescent="0.25">
      <c r="A15" t="s">
        <v>234</v>
      </c>
      <c r="B15">
        <f>m1bj!B15</f>
        <v>0</v>
      </c>
      <c r="C15">
        <f>m1bj!C15</f>
        <v>0</v>
      </c>
      <c r="E15" t="s">
        <v>234</v>
      </c>
      <c r="F15">
        <f>m1bj!B38</f>
        <v>0</v>
      </c>
      <c r="G15">
        <f>m1bj!C38</f>
        <v>0</v>
      </c>
      <c r="I15" t="s">
        <v>234</v>
      </c>
      <c r="J15">
        <f>m1bj!B61</f>
        <v>0</v>
      </c>
      <c r="K15">
        <f>m1bj!C61</f>
        <v>0</v>
      </c>
      <c r="M15" t="s">
        <v>234</v>
      </c>
      <c r="N15">
        <f>m1bj!B85</f>
        <v>0</v>
      </c>
      <c r="O15">
        <f>m1bj!C85</f>
        <v>0</v>
      </c>
      <c r="Q15" t="s">
        <v>234</v>
      </c>
      <c r="R15">
        <f>m1bj!B108</f>
        <v>0</v>
      </c>
      <c r="S15">
        <f>m1bj!C108</f>
        <v>0</v>
      </c>
      <c r="U15" t="s">
        <v>234</v>
      </c>
      <c r="V15">
        <f>m1bj!B132</f>
        <v>0</v>
      </c>
      <c r="W15">
        <f>m1bj!C132</f>
        <v>0</v>
      </c>
    </row>
    <row r="16" spans="1:23" x14ac:dyDescent="0.25">
      <c r="A16" t="s">
        <v>235</v>
      </c>
      <c r="B16">
        <f>m1bj!B16</f>
        <v>0.4</v>
      </c>
      <c r="C16">
        <f>m1bj!C16</f>
        <v>0.4</v>
      </c>
      <c r="E16" t="s">
        <v>235</v>
      </c>
      <c r="F16">
        <f>m1bj!B39</f>
        <v>0</v>
      </c>
      <c r="G16">
        <f>m1bj!C39</f>
        <v>0</v>
      </c>
      <c r="I16" t="s">
        <v>235</v>
      </c>
      <c r="J16">
        <f>m1bj!B62</f>
        <v>0.4</v>
      </c>
      <c r="K16">
        <f>m1bj!C62</f>
        <v>0.4</v>
      </c>
      <c r="M16" t="s">
        <v>235</v>
      </c>
      <c r="N16">
        <f>m1bj!B86</f>
        <v>0.20000000000000007</v>
      </c>
      <c r="O16">
        <f>m1bj!C86</f>
        <v>0.19999999999999998</v>
      </c>
      <c r="Q16" t="s">
        <v>235</v>
      </c>
      <c r="R16">
        <f>m1bj!B109</f>
        <v>0.60000000000000009</v>
      </c>
      <c r="S16">
        <f>m1bj!C109</f>
        <v>0.6</v>
      </c>
      <c r="U16" t="s">
        <v>235</v>
      </c>
      <c r="V16">
        <f>m1bj!B133</f>
        <v>0.20000000000000007</v>
      </c>
      <c r="W16">
        <f>m1bj!C133</f>
        <v>0.19999999999999998</v>
      </c>
    </row>
    <row r="17" spans="1:26" x14ac:dyDescent="0.25">
      <c r="A17" t="s">
        <v>236</v>
      </c>
      <c r="B17">
        <f>m1bj!B17</f>
        <v>0.60000000000000009</v>
      </c>
      <c r="C17">
        <f>m1bj!C17</f>
        <v>0.6</v>
      </c>
      <c r="E17" t="s">
        <v>236</v>
      </c>
      <c r="F17">
        <f>m1bj!B40</f>
        <v>0.20000000000000007</v>
      </c>
      <c r="G17">
        <f>m1bj!C40</f>
        <v>0.19999999999999998</v>
      </c>
      <c r="I17" t="s">
        <v>236</v>
      </c>
      <c r="J17">
        <f>m1bj!B63</f>
        <v>0.20000000000000007</v>
      </c>
      <c r="K17">
        <f>m1bj!C63</f>
        <v>0.19999999999999998</v>
      </c>
      <c r="M17" t="s">
        <v>236</v>
      </c>
      <c r="N17">
        <f>m1bj!B87</f>
        <v>0.60000000000000009</v>
      </c>
      <c r="O17">
        <f>m1bj!C87</f>
        <v>0.6</v>
      </c>
      <c r="Q17" t="s">
        <v>236</v>
      </c>
      <c r="R17">
        <f>m1bj!B110</f>
        <v>0.60000000000000009</v>
      </c>
      <c r="S17">
        <f>m1bj!C110</f>
        <v>0.6</v>
      </c>
      <c r="U17" t="s">
        <v>236</v>
      </c>
      <c r="V17">
        <f>m1bj!B134</f>
        <v>0.20000000000000007</v>
      </c>
      <c r="W17">
        <f>m1bj!C134</f>
        <v>0.19999999999999998</v>
      </c>
    </row>
    <row r="18" spans="1:26" x14ac:dyDescent="0.25">
      <c r="A18" t="s">
        <v>237</v>
      </c>
      <c r="B18">
        <f>m1bj!B18</f>
        <v>0</v>
      </c>
      <c r="C18">
        <f>m1bj!C18</f>
        <v>0</v>
      </c>
      <c r="E18" t="s">
        <v>237</v>
      </c>
      <c r="F18">
        <f>m1bj!B41</f>
        <v>0</v>
      </c>
      <c r="G18">
        <f>m1bj!C41</f>
        <v>0</v>
      </c>
      <c r="I18" t="s">
        <v>237</v>
      </c>
      <c r="J18">
        <f>m1bj!B64</f>
        <v>0.4</v>
      </c>
      <c r="K18">
        <f>m1bj!C64</f>
        <v>0.4</v>
      </c>
      <c r="M18" t="s">
        <v>237</v>
      </c>
      <c r="N18">
        <f>m1bj!B88</f>
        <v>0.4</v>
      </c>
      <c r="O18">
        <f>m1bj!C88</f>
        <v>0.4</v>
      </c>
      <c r="Q18" t="s">
        <v>237</v>
      </c>
      <c r="R18">
        <f>m1bj!B111</f>
        <v>0.60000000000000009</v>
      </c>
      <c r="S18">
        <f>m1bj!C111</f>
        <v>0.6</v>
      </c>
      <c r="U18" t="s">
        <v>237</v>
      </c>
      <c r="V18">
        <f>m1bj!B135</f>
        <v>0.4</v>
      </c>
      <c r="W18">
        <f>m1bj!C135</f>
        <v>0.4</v>
      </c>
    </row>
    <row r="19" spans="1:26" x14ac:dyDescent="0.25">
      <c r="A19" t="s">
        <v>238</v>
      </c>
      <c r="B19">
        <f>m1bj!B19</f>
        <v>0.2</v>
      </c>
      <c r="C19">
        <f>m1bj!C19</f>
        <v>0.19999999999999996</v>
      </c>
      <c r="E19" t="s">
        <v>238</v>
      </c>
      <c r="F19">
        <f>m1bj!B42</f>
        <v>0.2</v>
      </c>
      <c r="G19">
        <f>m1bj!C42</f>
        <v>0.19999999999999996</v>
      </c>
      <c r="I19" t="s">
        <v>238</v>
      </c>
      <c r="J19">
        <f>m1bj!B65</f>
        <v>0.2</v>
      </c>
      <c r="K19">
        <f>m1bj!C65</f>
        <v>0.19999999999999996</v>
      </c>
      <c r="M19" t="s">
        <v>238</v>
      </c>
      <c r="N19">
        <f>m1bj!B89</f>
        <v>0.2</v>
      </c>
      <c r="O19">
        <f>m1bj!C89</f>
        <v>0.19999999999999996</v>
      </c>
      <c r="Q19" t="s">
        <v>238</v>
      </c>
      <c r="R19">
        <f>m1bj!B112</f>
        <v>0.2</v>
      </c>
      <c r="S19">
        <f>m1bj!C112</f>
        <v>0.19999999999999996</v>
      </c>
      <c r="U19" t="s">
        <v>238</v>
      </c>
      <c r="V19">
        <f>m1bj!B136</f>
        <v>0.2</v>
      </c>
      <c r="W19">
        <f>m1bj!C136</f>
        <v>0.19999999999999996</v>
      </c>
    </row>
    <row r="20" spans="1:26" x14ac:dyDescent="0.25">
      <c r="A20" t="s">
        <v>239</v>
      </c>
      <c r="B20">
        <f>m1bj!B20</f>
        <v>0.20000000000000007</v>
      </c>
      <c r="C20">
        <f>m1bj!C20</f>
        <v>0.19999999999999998</v>
      </c>
      <c r="E20" t="s">
        <v>239</v>
      </c>
      <c r="F20">
        <f>m1bj!B43</f>
        <v>0</v>
      </c>
      <c r="G20">
        <f>m1bj!C43</f>
        <v>0</v>
      </c>
      <c r="I20" t="s">
        <v>239</v>
      </c>
      <c r="J20">
        <f>m1bj!B66</f>
        <v>0.60000000000000009</v>
      </c>
      <c r="K20">
        <f>m1bj!C66</f>
        <v>0.6</v>
      </c>
      <c r="M20" t="s">
        <v>239</v>
      </c>
      <c r="N20">
        <f>m1bj!B90</f>
        <v>0</v>
      </c>
      <c r="O20">
        <f>m1bj!C90</f>
        <v>0</v>
      </c>
      <c r="Q20" t="s">
        <v>239</v>
      </c>
      <c r="R20">
        <f>m1bj!B113</f>
        <v>0.60000000000000009</v>
      </c>
      <c r="S20">
        <f>m1bj!C113</f>
        <v>0.6</v>
      </c>
      <c r="U20" t="s">
        <v>239</v>
      </c>
      <c r="V20">
        <f>m1bj!B137</f>
        <v>0</v>
      </c>
      <c r="W20">
        <f>m1bj!C137</f>
        <v>0</v>
      </c>
    </row>
    <row r="21" spans="1:26" x14ac:dyDescent="0.25">
      <c r="A21" t="s">
        <v>270</v>
      </c>
      <c r="B21">
        <f>SUM(B2:B20)</f>
        <v>2.4000000000000004</v>
      </c>
      <c r="C21">
        <f t="shared" ref="C21" si="0">SUM(C2:C20)</f>
        <v>2.4000000000000004</v>
      </c>
      <c r="F21">
        <f>SUM(F2:F20)</f>
        <v>1.8</v>
      </c>
      <c r="G21">
        <f t="shared" ref="G21:W21" si="1">SUM(G2:G20)</f>
        <v>1.7999999999999996</v>
      </c>
      <c r="J21">
        <f t="shared" si="1"/>
        <v>3.2</v>
      </c>
      <c r="K21">
        <f t="shared" si="1"/>
        <v>3.1999999999999997</v>
      </c>
      <c r="N21">
        <f t="shared" si="1"/>
        <v>3.0000000000000004</v>
      </c>
      <c r="O21">
        <f t="shared" si="1"/>
        <v>2.9999999999999991</v>
      </c>
      <c r="R21">
        <f t="shared" si="1"/>
        <v>3.8000000000000007</v>
      </c>
      <c r="S21">
        <f t="shared" si="1"/>
        <v>3.8000000000000003</v>
      </c>
      <c r="V21">
        <f t="shared" si="1"/>
        <v>2.2000000000000002</v>
      </c>
      <c r="W21">
        <f t="shared" si="1"/>
        <v>2.1999999999999993</v>
      </c>
    </row>
    <row r="22" spans="1:26" x14ac:dyDescent="0.25">
      <c r="A22" t="s">
        <v>271</v>
      </c>
      <c r="D22">
        <f>1/19*(B21+C21)</f>
        <v>0.25263157894736843</v>
      </c>
      <c r="H22">
        <f t="shared" ref="H22:X22" si="2">1/19*(F21+G21)</f>
        <v>0.18947368421052629</v>
      </c>
      <c r="L22">
        <f t="shared" si="2"/>
        <v>0.33684210526315789</v>
      </c>
      <c r="P22">
        <f t="shared" si="2"/>
        <v>0.31578947368421051</v>
      </c>
      <c r="T22">
        <f t="shared" si="2"/>
        <v>0.40000000000000008</v>
      </c>
      <c r="X22">
        <f t="shared" si="2"/>
        <v>0.23157894736842102</v>
      </c>
      <c r="Y22" t="s">
        <v>272</v>
      </c>
      <c r="Z22" s="110">
        <f>MIN(B22:Y22)</f>
        <v>0.18947368421052629</v>
      </c>
    </row>
    <row r="24" spans="1:26" x14ac:dyDescent="0.25">
      <c r="A24" t="s">
        <v>216</v>
      </c>
      <c r="B24" t="s">
        <v>212</v>
      </c>
      <c r="C24" t="s">
        <v>214</v>
      </c>
      <c r="E24" t="s">
        <v>241</v>
      </c>
      <c r="F24" t="s">
        <v>212</v>
      </c>
      <c r="G24" t="s">
        <v>214</v>
      </c>
      <c r="I24" t="s">
        <v>247</v>
      </c>
      <c r="J24" t="s">
        <v>212</v>
      </c>
      <c r="K24" t="s">
        <v>214</v>
      </c>
      <c r="M24" t="s">
        <v>253</v>
      </c>
      <c r="N24" t="s">
        <v>212</v>
      </c>
      <c r="O24" t="s">
        <v>214</v>
      </c>
      <c r="Q24" t="s">
        <v>259</v>
      </c>
      <c r="R24" t="s">
        <v>212</v>
      </c>
      <c r="S24" t="s">
        <v>214</v>
      </c>
      <c r="U24" t="s">
        <v>265</v>
      </c>
      <c r="V24" t="s">
        <v>212</v>
      </c>
      <c r="W24" t="s">
        <v>214</v>
      </c>
    </row>
    <row r="25" spans="1:26" x14ac:dyDescent="0.25">
      <c r="A25" t="s">
        <v>221</v>
      </c>
      <c r="B25">
        <f>m1bj!F2</f>
        <v>0</v>
      </c>
      <c r="C25">
        <f>m1bj!G2</f>
        <v>0</v>
      </c>
      <c r="E25" t="s">
        <v>221</v>
      </c>
      <c r="F25">
        <f>m1bj!F25</f>
        <v>0</v>
      </c>
      <c r="G25">
        <f>m1bj!G25</f>
        <v>0</v>
      </c>
      <c r="I25" t="s">
        <v>221</v>
      </c>
      <c r="J25">
        <f>m1bj!F48</f>
        <v>0</v>
      </c>
      <c r="K25">
        <f>m1bj!G48</f>
        <v>0</v>
      </c>
      <c r="M25" t="s">
        <v>221</v>
      </c>
      <c r="N25">
        <f>m1bj!F72</f>
        <v>0.2</v>
      </c>
      <c r="O25">
        <f>m1bj!G72</f>
        <v>0.19999999999999996</v>
      </c>
      <c r="Q25" t="s">
        <v>221</v>
      </c>
      <c r="R25">
        <f>m1bj!F95</f>
        <v>0.2</v>
      </c>
      <c r="S25">
        <f>m1bj!G95</f>
        <v>0.19999999999999996</v>
      </c>
      <c r="U25" t="s">
        <v>221</v>
      </c>
      <c r="V25">
        <f>m1bj!F119</f>
        <v>0</v>
      </c>
      <c r="W25">
        <f>m1bj!G119</f>
        <v>0</v>
      </c>
    </row>
    <row r="26" spans="1:26" x14ac:dyDescent="0.25">
      <c r="A26" t="s">
        <v>222</v>
      </c>
      <c r="B26">
        <f>m1bj!F3</f>
        <v>0.60000000000000009</v>
      </c>
      <c r="C26">
        <f>m1bj!G3</f>
        <v>0.6</v>
      </c>
      <c r="E26" t="s">
        <v>222</v>
      </c>
      <c r="F26">
        <f>m1bj!F26</f>
        <v>0.60000000000000009</v>
      </c>
      <c r="G26">
        <f>m1bj!G26</f>
        <v>0.6</v>
      </c>
      <c r="I26" t="s">
        <v>222</v>
      </c>
      <c r="J26">
        <f>m1bj!F49</f>
        <v>0.60000000000000009</v>
      </c>
      <c r="K26">
        <f>m1bj!G49</f>
        <v>0.6</v>
      </c>
      <c r="M26" t="s">
        <v>222</v>
      </c>
      <c r="N26">
        <f>m1bj!F73</f>
        <v>0.60000000000000009</v>
      </c>
      <c r="O26">
        <f>m1bj!G73</f>
        <v>0.6</v>
      </c>
      <c r="Q26" t="s">
        <v>222</v>
      </c>
      <c r="R26">
        <f>m1bj!F96</f>
        <v>0.60000000000000009</v>
      </c>
      <c r="S26">
        <f>m1bj!G96</f>
        <v>0.6</v>
      </c>
      <c r="U26" t="s">
        <v>222</v>
      </c>
      <c r="V26">
        <f>m1bj!F120</f>
        <v>0.60000000000000009</v>
      </c>
      <c r="W26">
        <f>m1bj!G120</f>
        <v>0.6</v>
      </c>
    </row>
    <row r="27" spans="1:26" x14ac:dyDescent="0.25">
      <c r="A27" t="s">
        <v>223</v>
      </c>
      <c r="B27">
        <f>m1bj!F4</f>
        <v>0</v>
      </c>
      <c r="C27">
        <f>m1bj!G4</f>
        <v>0</v>
      </c>
      <c r="E27" t="s">
        <v>223</v>
      </c>
      <c r="F27">
        <f>m1bj!F27</f>
        <v>0</v>
      </c>
      <c r="G27">
        <f>m1bj!G27</f>
        <v>0</v>
      </c>
      <c r="I27" t="s">
        <v>223</v>
      </c>
      <c r="J27">
        <f>m1bj!F50</f>
        <v>0</v>
      </c>
      <c r="K27">
        <f>m1bj!G50</f>
        <v>0</v>
      </c>
      <c r="M27" t="s">
        <v>223</v>
      </c>
      <c r="N27">
        <f>m1bj!F74</f>
        <v>0</v>
      </c>
      <c r="O27">
        <f>m1bj!G74</f>
        <v>0</v>
      </c>
      <c r="Q27" t="s">
        <v>223</v>
      </c>
      <c r="R27">
        <f>m1bj!F97</f>
        <v>0</v>
      </c>
      <c r="S27">
        <f>m1bj!G97</f>
        <v>0</v>
      </c>
      <c r="U27" t="s">
        <v>223</v>
      </c>
      <c r="V27">
        <f>m1bj!F121</f>
        <v>0</v>
      </c>
      <c r="W27">
        <f>m1bj!G121</f>
        <v>0</v>
      </c>
    </row>
    <row r="28" spans="1:26" x14ac:dyDescent="0.25">
      <c r="A28" t="s">
        <v>224</v>
      </c>
      <c r="B28">
        <f>m1bj!F5</f>
        <v>0</v>
      </c>
      <c r="C28">
        <f>m1bj!G5</f>
        <v>0</v>
      </c>
      <c r="E28" t="s">
        <v>224</v>
      </c>
      <c r="F28">
        <f>m1bj!F28</f>
        <v>0</v>
      </c>
      <c r="G28">
        <f>m1bj!G28</f>
        <v>0</v>
      </c>
      <c r="I28" t="s">
        <v>224</v>
      </c>
      <c r="J28">
        <f>m1bj!F51</f>
        <v>0</v>
      </c>
      <c r="K28">
        <f>m1bj!G51</f>
        <v>0</v>
      </c>
      <c r="M28" t="s">
        <v>224</v>
      </c>
      <c r="N28">
        <f>m1bj!F75</f>
        <v>0</v>
      </c>
      <c r="O28">
        <f>m1bj!G75</f>
        <v>0</v>
      </c>
      <c r="Q28" t="s">
        <v>224</v>
      </c>
      <c r="R28">
        <f>m1bj!F98</f>
        <v>0</v>
      </c>
      <c r="S28">
        <f>m1bj!G98</f>
        <v>0</v>
      </c>
      <c r="U28" t="s">
        <v>224</v>
      </c>
      <c r="V28">
        <f>m1bj!F122</f>
        <v>0</v>
      </c>
      <c r="W28">
        <f>m1bj!G122</f>
        <v>0</v>
      </c>
    </row>
    <row r="29" spans="1:26" x14ac:dyDescent="0.25">
      <c r="A29" t="s">
        <v>225</v>
      </c>
      <c r="B29">
        <f>m1bj!F6</f>
        <v>0</v>
      </c>
      <c r="C29">
        <f>m1bj!G6</f>
        <v>0</v>
      </c>
      <c r="E29" t="s">
        <v>225</v>
      </c>
      <c r="F29">
        <f>m1bj!F29</f>
        <v>0</v>
      </c>
      <c r="G29">
        <f>m1bj!G29</f>
        <v>0</v>
      </c>
      <c r="I29" t="s">
        <v>225</v>
      </c>
      <c r="J29">
        <f>m1bj!F52</f>
        <v>0</v>
      </c>
      <c r="K29">
        <f>m1bj!G52</f>
        <v>0</v>
      </c>
      <c r="M29" t="s">
        <v>225</v>
      </c>
      <c r="N29">
        <f>m1bj!F76</f>
        <v>0</v>
      </c>
      <c r="O29">
        <f>m1bj!G76</f>
        <v>0</v>
      </c>
      <c r="Q29" t="s">
        <v>225</v>
      </c>
      <c r="R29">
        <f>m1bj!F99</f>
        <v>0</v>
      </c>
      <c r="S29">
        <f>m1bj!G99</f>
        <v>0</v>
      </c>
      <c r="U29" t="s">
        <v>225</v>
      </c>
      <c r="V29">
        <f>m1bj!F123</f>
        <v>0</v>
      </c>
      <c r="W29">
        <f>m1bj!G123</f>
        <v>0</v>
      </c>
    </row>
    <row r="30" spans="1:26" x14ac:dyDescent="0.25">
      <c r="A30" t="s">
        <v>226</v>
      </c>
      <c r="B30">
        <f>m1bj!F7</f>
        <v>0.2</v>
      </c>
      <c r="C30">
        <f>m1bj!G7</f>
        <v>0.19999999999999996</v>
      </c>
      <c r="E30" t="s">
        <v>226</v>
      </c>
      <c r="F30">
        <f>m1bj!F30</f>
        <v>0</v>
      </c>
      <c r="G30">
        <f>m1bj!G30</f>
        <v>0</v>
      </c>
      <c r="I30" t="s">
        <v>226</v>
      </c>
      <c r="J30">
        <f>m1bj!F53</f>
        <v>0</v>
      </c>
      <c r="K30">
        <f>m1bj!G53</f>
        <v>0</v>
      </c>
      <c r="M30" t="s">
        <v>226</v>
      </c>
      <c r="N30">
        <f>m1bj!F77</f>
        <v>0</v>
      </c>
      <c r="O30">
        <f>m1bj!G77</f>
        <v>0</v>
      </c>
      <c r="Q30" t="s">
        <v>226</v>
      </c>
      <c r="R30">
        <f>m1bj!F100</f>
        <v>0.39999999999999997</v>
      </c>
      <c r="S30">
        <f>m1bj!G100</f>
        <v>0.39999999999999997</v>
      </c>
      <c r="U30" t="s">
        <v>226</v>
      </c>
      <c r="V30">
        <f>m1bj!F124</f>
        <v>0</v>
      </c>
      <c r="W30">
        <f>m1bj!G124</f>
        <v>0</v>
      </c>
    </row>
    <row r="31" spans="1:26" x14ac:dyDescent="0.25">
      <c r="A31" t="s">
        <v>227</v>
      </c>
      <c r="B31">
        <f>m1bj!F8</f>
        <v>0</v>
      </c>
      <c r="C31">
        <f>m1bj!G8</f>
        <v>0</v>
      </c>
      <c r="E31" t="s">
        <v>227</v>
      </c>
      <c r="F31">
        <f>m1bj!F31</f>
        <v>0</v>
      </c>
      <c r="G31">
        <f>m1bj!G31</f>
        <v>0</v>
      </c>
      <c r="I31" t="s">
        <v>227</v>
      </c>
      <c r="J31">
        <f>m1bj!F54</f>
        <v>0</v>
      </c>
      <c r="K31">
        <f>m1bj!G54</f>
        <v>0</v>
      </c>
      <c r="M31" t="s">
        <v>227</v>
      </c>
      <c r="N31">
        <f>m1bj!F78</f>
        <v>0</v>
      </c>
      <c r="O31">
        <f>m1bj!G78</f>
        <v>0</v>
      </c>
      <c r="Q31" t="s">
        <v>227</v>
      </c>
      <c r="R31">
        <f>m1bj!F101</f>
        <v>0</v>
      </c>
      <c r="S31">
        <f>m1bj!G101</f>
        <v>0</v>
      </c>
      <c r="U31" t="s">
        <v>227</v>
      </c>
      <c r="V31">
        <f>m1bj!F125</f>
        <v>0</v>
      </c>
      <c r="W31">
        <f>m1bj!G125</f>
        <v>0</v>
      </c>
    </row>
    <row r="32" spans="1:26" x14ac:dyDescent="0.25">
      <c r="A32" t="s">
        <v>228</v>
      </c>
      <c r="B32">
        <f>m1bj!F9</f>
        <v>0.60000000000000009</v>
      </c>
      <c r="C32">
        <f>m1bj!G9</f>
        <v>0.6</v>
      </c>
      <c r="E32" t="s">
        <v>228</v>
      </c>
      <c r="F32">
        <f>m1bj!F32</f>
        <v>0.60000000000000009</v>
      </c>
      <c r="G32">
        <f>m1bj!G32</f>
        <v>0.6</v>
      </c>
      <c r="I32" t="s">
        <v>228</v>
      </c>
      <c r="J32">
        <f>m1bj!F55</f>
        <v>0.60000000000000009</v>
      </c>
      <c r="K32">
        <f>m1bj!G55</f>
        <v>0.6</v>
      </c>
      <c r="M32" t="s">
        <v>228</v>
      </c>
      <c r="N32">
        <f>m1bj!F79</f>
        <v>0.60000000000000009</v>
      </c>
      <c r="O32">
        <f>m1bj!G79</f>
        <v>0.6</v>
      </c>
      <c r="Q32" t="s">
        <v>228</v>
      </c>
      <c r="R32">
        <f>m1bj!F102</f>
        <v>0.60000000000000009</v>
      </c>
      <c r="S32">
        <f>m1bj!G102</f>
        <v>0.6</v>
      </c>
      <c r="U32" t="s">
        <v>228</v>
      </c>
      <c r="V32">
        <f>m1bj!F126</f>
        <v>0.60000000000000009</v>
      </c>
      <c r="W32">
        <f>m1bj!G126</f>
        <v>0.6</v>
      </c>
    </row>
    <row r="33" spans="1:26" x14ac:dyDescent="0.25">
      <c r="A33" t="s">
        <v>229</v>
      </c>
      <c r="B33">
        <f>m1bj!F10</f>
        <v>0.2</v>
      </c>
      <c r="C33">
        <f>m1bj!G10</f>
        <v>0.19999999999999996</v>
      </c>
      <c r="E33" t="s">
        <v>229</v>
      </c>
      <c r="F33">
        <f>m1bj!F33</f>
        <v>0</v>
      </c>
      <c r="G33">
        <f>m1bj!G33</f>
        <v>0</v>
      </c>
      <c r="I33" t="s">
        <v>229</v>
      </c>
      <c r="J33">
        <f>m1bj!F56</f>
        <v>0</v>
      </c>
      <c r="K33">
        <f>m1bj!G56</f>
        <v>0</v>
      </c>
      <c r="M33" t="s">
        <v>229</v>
      </c>
      <c r="N33">
        <f>m1bj!F80</f>
        <v>0</v>
      </c>
      <c r="O33">
        <f>m1bj!G80</f>
        <v>0</v>
      </c>
      <c r="Q33" t="s">
        <v>229</v>
      </c>
      <c r="R33">
        <f>m1bj!F103</f>
        <v>0</v>
      </c>
      <c r="S33">
        <f>m1bj!G103</f>
        <v>0</v>
      </c>
      <c r="U33" t="s">
        <v>229</v>
      </c>
      <c r="V33">
        <f>m1bj!F127</f>
        <v>0</v>
      </c>
      <c r="W33">
        <f>m1bj!G127</f>
        <v>0</v>
      </c>
    </row>
    <row r="34" spans="1:26" x14ac:dyDescent="0.25">
      <c r="A34" t="s">
        <v>230</v>
      </c>
      <c r="B34">
        <f>m1bj!F11</f>
        <v>0</v>
      </c>
      <c r="C34">
        <f>m1bj!G11</f>
        <v>0</v>
      </c>
      <c r="E34" t="s">
        <v>230</v>
      </c>
      <c r="F34">
        <f>m1bj!F34</f>
        <v>0</v>
      </c>
      <c r="G34">
        <f>m1bj!G34</f>
        <v>0</v>
      </c>
      <c r="I34" t="s">
        <v>230</v>
      </c>
      <c r="J34">
        <f>m1bj!F57</f>
        <v>0</v>
      </c>
      <c r="K34">
        <f>m1bj!G57</f>
        <v>0</v>
      </c>
      <c r="M34" t="s">
        <v>230</v>
      </c>
      <c r="N34">
        <f>m1bj!F81</f>
        <v>0</v>
      </c>
      <c r="O34">
        <f>m1bj!G81</f>
        <v>0</v>
      </c>
      <c r="Q34" t="s">
        <v>230</v>
      </c>
      <c r="R34">
        <f>m1bj!F104</f>
        <v>0</v>
      </c>
      <c r="S34">
        <f>m1bj!G104</f>
        <v>0</v>
      </c>
      <c r="U34" t="s">
        <v>230</v>
      </c>
      <c r="V34">
        <f>m1bj!F128</f>
        <v>0</v>
      </c>
      <c r="W34">
        <f>m1bj!G128</f>
        <v>0</v>
      </c>
    </row>
    <row r="35" spans="1:26" x14ac:dyDescent="0.25">
      <c r="A35" t="s">
        <v>231</v>
      </c>
      <c r="B35">
        <f>m1bj!F12</f>
        <v>0.4</v>
      </c>
      <c r="C35">
        <f>m1bj!G12</f>
        <v>0.4</v>
      </c>
      <c r="E35" t="s">
        <v>231</v>
      </c>
      <c r="F35">
        <f>m1bj!F35</f>
        <v>0.4</v>
      </c>
      <c r="G35">
        <f>m1bj!G35</f>
        <v>0.4</v>
      </c>
      <c r="I35" t="s">
        <v>231</v>
      </c>
      <c r="J35">
        <f>m1bj!F58</f>
        <v>0.20000000000000007</v>
      </c>
      <c r="K35">
        <f>m1bj!G58</f>
        <v>0.19999999999999998</v>
      </c>
      <c r="M35" t="s">
        <v>231</v>
      </c>
      <c r="N35">
        <f>m1bj!F82</f>
        <v>0</v>
      </c>
      <c r="O35">
        <f>m1bj!G82</f>
        <v>0</v>
      </c>
      <c r="Q35" t="s">
        <v>231</v>
      </c>
      <c r="R35">
        <f>m1bj!F105</f>
        <v>0</v>
      </c>
      <c r="S35">
        <f>m1bj!G105</f>
        <v>0</v>
      </c>
      <c r="U35" t="s">
        <v>231</v>
      </c>
      <c r="V35">
        <f>m1bj!F129</f>
        <v>0.20000000000000007</v>
      </c>
      <c r="W35">
        <f>m1bj!G129</f>
        <v>0.19999999999999998</v>
      </c>
    </row>
    <row r="36" spans="1:26" x14ac:dyDescent="0.25">
      <c r="A36" t="s">
        <v>232</v>
      </c>
      <c r="B36">
        <f>m1bj!F13</f>
        <v>0</v>
      </c>
      <c r="C36">
        <f>m1bj!G13</f>
        <v>0</v>
      </c>
      <c r="E36" t="s">
        <v>232</v>
      </c>
      <c r="F36">
        <f>m1bj!F36</f>
        <v>0</v>
      </c>
      <c r="G36">
        <f>m1bj!G36</f>
        <v>0</v>
      </c>
      <c r="I36" t="s">
        <v>232</v>
      </c>
      <c r="J36">
        <f>m1bj!F59</f>
        <v>0.2</v>
      </c>
      <c r="K36">
        <f>m1bj!G59</f>
        <v>0.19999999999999996</v>
      </c>
      <c r="M36" t="s">
        <v>232</v>
      </c>
      <c r="N36">
        <f>m1bj!F83</f>
        <v>0</v>
      </c>
      <c r="O36">
        <f>m1bj!G83</f>
        <v>0</v>
      </c>
      <c r="Q36" t="s">
        <v>232</v>
      </c>
      <c r="R36">
        <f>m1bj!F106</f>
        <v>0</v>
      </c>
      <c r="S36">
        <f>m1bj!G106</f>
        <v>0</v>
      </c>
      <c r="U36" t="s">
        <v>232</v>
      </c>
      <c r="V36">
        <f>m1bj!F130</f>
        <v>0</v>
      </c>
      <c r="W36">
        <f>m1bj!G130</f>
        <v>0</v>
      </c>
    </row>
    <row r="37" spans="1:26" x14ac:dyDescent="0.25">
      <c r="A37" t="s">
        <v>233</v>
      </c>
      <c r="B37">
        <f>m1bj!F14</f>
        <v>0</v>
      </c>
      <c r="C37">
        <f>m1bj!G14</f>
        <v>0</v>
      </c>
      <c r="E37" t="s">
        <v>233</v>
      </c>
      <c r="F37">
        <f>m1bj!F37</f>
        <v>0</v>
      </c>
      <c r="G37">
        <f>m1bj!G37</f>
        <v>0</v>
      </c>
      <c r="I37" t="s">
        <v>233</v>
      </c>
      <c r="J37">
        <f>m1bj!F60</f>
        <v>0</v>
      </c>
      <c r="K37">
        <f>m1bj!G60</f>
        <v>0</v>
      </c>
      <c r="M37" t="s">
        <v>233</v>
      </c>
      <c r="N37">
        <f>m1bj!F84</f>
        <v>0</v>
      </c>
      <c r="O37">
        <f>m1bj!G84</f>
        <v>0</v>
      </c>
      <c r="Q37" t="s">
        <v>233</v>
      </c>
      <c r="R37">
        <f>m1bj!F107</f>
        <v>0</v>
      </c>
      <c r="S37">
        <f>m1bj!G107</f>
        <v>0</v>
      </c>
      <c r="U37" t="s">
        <v>233</v>
      </c>
      <c r="V37">
        <f>m1bj!F131</f>
        <v>0</v>
      </c>
      <c r="W37">
        <f>m1bj!G131</f>
        <v>0</v>
      </c>
    </row>
    <row r="38" spans="1:26" x14ac:dyDescent="0.25">
      <c r="A38" t="s">
        <v>234</v>
      </c>
      <c r="B38">
        <f>m1bj!F15</f>
        <v>0</v>
      </c>
      <c r="C38">
        <f>m1bj!G15</f>
        <v>0</v>
      </c>
      <c r="E38" t="s">
        <v>234</v>
      </c>
      <c r="F38">
        <f>m1bj!F38</f>
        <v>0</v>
      </c>
      <c r="G38">
        <f>m1bj!G38</f>
        <v>0</v>
      </c>
      <c r="I38" t="s">
        <v>234</v>
      </c>
      <c r="J38">
        <f>m1bj!F61</f>
        <v>0</v>
      </c>
      <c r="K38">
        <f>m1bj!G61</f>
        <v>0</v>
      </c>
      <c r="M38" t="s">
        <v>234</v>
      </c>
      <c r="N38">
        <f>m1bj!F85</f>
        <v>0</v>
      </c>
      <c r="O38">
        <f>m1bj!G85</f>
        <v>0</v>
      </c>
      <c r="Q38" t="s">
        <v>234</v>
      </c>
      <c r="R38">
        <f>m1bj!F108</f>
        <v>0</v>
      </c>
      <c r="S38">
        <f>m1bj!G108</f>
        <v>0</v>
      </c>
      <c r="U38" t="s">
        <v>234</v>
      </c>
      <c r="V38">
        <f>m1bj!F132</f>
        <v>0</v>
      </c>
      <c r="W38">
        <f>m1bj!G132</f>
        <v>0</v>
      </c>
    </row>
    <row r="39" spans="1:26" x14ac:dyDescent="0.25">
      <c r="A39" t="s">
        <v>235</v>
      </c>
      <c r="B39">
        <f>m1bj!F16</f>
        <v>0.4</v>
      </c>
      <c r="C39">
        <f>m1bj!G16</f>
        <v>0.4</v>
      </c>
      <c r="E39" t="s">
        <v>235</v>
      </c>
      <c r="F39">
        <f>m1bj!F39</f>
        <v>0</v>
      </c>
      <c r="G39">
        <f>m1bj!G39</f>
        <v>0</v>
      </c>
      <c r="I39" t="s">
        <v>235</v>
      </c>
      <c r="J39">
        <f>m1bj!F62</f>
        <v>0.4</v>
      </c>
      <c r="K39">
        <f>m1bj!G62</f>
        <v>0.4</v>
      </c>
      <c r="M39" t="s">
        <v>235</v>
      </c>
      <c r="N39">
        <f>m1bj!F86</f>
        <v>0.20000000000000007</v>
      </c>
      <c r="O39">
        <f>m1bj!G86</f>
        <v>0.19999999999999998</v>
      </c>
      <c r="Q39" t="s">
        <v>235</v>
      </c>
      <c r="R39">
        <f>m1bj!F109</f>
        <v>0.60000000000000009</v>
      </c>
      <c r="S39">
        <f>m1bj!G109</f>
        <v>0.6</v>
      </c>
      <c r="U39" t="s">
        <v>235</v>
      </c>
      <c r="V39">
        <f>m1bj!F133</f>
        <v>0.20000000000000007</v>
      </c>
      <c r="W39">
        <f>m1bj!G133</f>
        <v>0.19999999999999998</v>
      </c>
    </row>
    <row r="40" spans="1:26" x14ac:dyDescent="0.25">
      <c r="A40" t="s">
        <v>236</v>
      </c>
      <c r="B40">
        <f>m1bj!F17</f>
        <v>0.2</v>
      </c>
      <c r="C40">
        <f>m1bj!G17</f>
        <v>0.19999999999999996</v>
      </c>
      <c r="E40" t="s">
        <v>236</v>
      </c>
      <c r="F40">
        <f>m1bj!F40</f>
        <v>0.19999999999999996</v>
      </c>
      <c r="G40">
        <f>m1bj!G40</f>
        <v>0.2</v>
      </c>
      <c r="I40" t="s">
        <v>236</v>
      </c>
      <c r="J40">
        <f>m1bj!F63</f>
        <v>0.19999999999999996</v>
      </c>
      <c r="K40">
        <f>m1bj!G63</f>
        <v>0.2</v>
      </c>
      <c r="M40" t="s">
        <v>236</v>
      </c>
      <c r="N40">
        <f>m1bj!F87</f>
        <v>0.2</v>
      </c>
      <c r="O40">
        <f>m1bj!G87</f>
        <v>0.19999999999999996</v>
      </c>
      <c r="Q40" t="s">
        <v>236</v>
      </c>
      <c r="R40">
        <f>m1bj!F110</f>
        <v>0.2</v>
      </c>
      <c r="S40">
        <f>m1bj!G110</f>
        <v>0.19999999999999996</v>
      </c>
      <c r="U40" t="s">
        <v>236</v>
      </c>
      <c r="V40">
        <f>m1bj!F134</f>
        <v>0.19999999999999996</v>
      </c>
      <c r="W40">
        <f>m1bj!G134</f>
        <v>0.2</v>
      </c>
    </row>
    <row r="41" spans="1:26" x14ac:dyDescent="0.25">
      <c r="A41" t="s">
        <v>237</v>
      </c>
      <c r="B41">
        <f>m1bj!F18</f>
        <v>0</v>
      </c>
      <c r="C41">
        <f>m1bj!G18</f>
        <v>0</v>
      </c>
      <c r="E41" t="s">
        <v>237</v>
      </c>
      <c r="F41">
        <f>m1bj!F41</f>
        <v>0</v>
      </c>
      <c r="G41">
        <f>m1bj!G41</f>
        <v>0</v>
      </c>
      <c r="I41" t="s">
        <v>237</v>
      </c>
      <c r="J41">
        <f>m1bj!F64</f>
        <v>0.4</v>
      </c>
      <c r="K41">
        <f>m1bj!G64</f>
        <v>0.4</v>
      </c>
      <c r="M41" t="s">
        <v>237</v>
      </c>
      <c r="N41">
        <f>m1bj!F88</f>
        <v>0.4</v>
      </c>
      <c r="O41">
        <f>m1bj!G88</f>
        <v>0.4</v>
      </c>
      <c r="Q41" t="s">
        <v>237</v>
      </c>
      <c r="R41">
        <f>m1bj!F111</f>
        <v>0.60000000000000009</v>
      </c>
      <c r="S41">
        <f>m1bj!G111</f>
        <v>0.6</v>
      </c>
      <c r="U41" t="s">
        <v>237</v>
      </c>
      <c r="V41">
        <f>m1bj!F135</f>
        <v>0.4</v>
      </c>
      <c r="W41">
        <f>m1bj!G135</f>
        <v>0.4</v>
      </c>
    </row>
    <row r="42" spans="1:26" x14ac:dyDescent="0.25">
      <c r="A42" t="s">
        <v>238</v>
      </c>
      <c r="B42">
        <f>m1bj!F19</f>
        <v>0.39999999999999997</v>
      </c>
      <c r="C42">
        <f>m1bj!G19</f>
        <v>0.39999999999999997</v>
      </c>
      <c r="E42" t="s">
        <v>238</v>
      </c>
      <c r="F42">
        <f>m1bj!F42</f>
        <v>0.39999999999999997</v>
      </c>
      <c r="G42">
        <f>m1bj!G42</f>
        <v>0.39999999999999997</v>
      </c>
      <c r="I42" t="s">
        <v>238</v>
      </c>
      <c r="J42">
        <f>m1bj!F65</f>
        <v>0.39999999999999997</v>
      </c>
      <c r="K42">
        <f>m1bj!G65</f>
        <v>0.39999999999999997</v>
      </c>
      <c r="M42" t="s">
        <v>238</v>
      </c>
      <c r="N42">
        <f>m1bj!F89</f>
        <v>0.39999999999999997</v>
      </c>
      <c r="O42">
        <f>m1bj!G89</f>
        <v>0.39999999999999997</v>
      </c>
      <c r="Q42" t="s">
        <v>238</v>
      </c>
      <c r="R42">
        <f>m1bj!F112</f>
        <v>0.39999999999999997</v>
      </c>
      <c r="S42">
        <f>m1bj!G112</f>
        <v>0.39999999999999997</v>
      </c>
      <c r="U42" t="s">
        <v>238</v>
      </c>
      <c r="V42">
        <f>m1bj!F136</f>
        <v>0.39999999999999997</v>
      </c>
      <c r="W42">
        <f>m1bj!G136</f>
        <v>0.39999999999999997</v>
      </c>
    </row>
    <row r="43" spans="1:26" x14ac:dyDescent="0.25">
      <c r="A43" t="s">
        <v>239</v>
      </c>
      <c r="B43">
        <f>m1bj!F20</f>
        <v>0.20000000000000007</v>
      </c>
      <c r="C43">
        <f>m1bj!G20</f>
        <v>0.19999999999999998</v>
      </c>
      <c r="E43" t="s">
        <v>239</v>
      </c>
      <c r="F43">
        <f>m1bj!F43</f>
        <v>0</v>
      </c>
      <c r="G43">
        <f>m1bj!G43</f>
        <v>0</v>
      </c>
      <c r="I43" t="s">
        <v>239</v>
      </c>
      <c r="J43">
        <f>m1bj!F66</f>
        <v>0.60000000000000009</v>
      </c>
      <c r="K43">
        <f>m1bj!G66</f>
        <v>0.6</v>
      </c>
      <c r="M43" t="s">
        <v>239</v>
      </c>
      <c r="N43">
        <f>m1bj!F90</f>
        <v>0</v>
      </c>
      <c r="O43">
        <f>m1bj!G90</f>
        <v>0</v>
      </c>
      <c r="Q43" t="s">
        <v>239</v>
      </c>
      <c r="R43">
        <f>m1bj!F113</f>
        <v>0.60000000000000009</v>
      </c>
      <c r="S43">
        <f>m1bj!G113</f>
        <v>0.6</v>
      </c>
      <c r="U43" t="s">
        <v>239</v>
      </c>
      <c r="V43">
        <f>m1bj!F137</f>
        <v>0</v>
      </c>
      <c r="W43">
        <f>m1bj!G137</f>
        <v>0</v>
      </c>
    </row>
    <row r="44" spans="1:26" x14ac:dyDescent="0.25">
      <c r="B44">
        <f>SUM(B25:B43)</f>
        <v>3.2</v>
      </c>
      <c r="C44">
        <f t="shared" ref="C44:W44" si="3">SUM(C25:C43)</f>
        <v>3.1999999999999997</v>
      </c>
      <c r="F44">
        <f t="shared" si="3"/>
        <v>2.2000000000000002</v>
      </c>
      <c r="G44">
        <f t="shared" si="3"/>
        <v>2.2000000000000002</v>
      </c>
      <c r="J44">
        <f t="shared" si="3"/>
        <v>3.6</v>
      </c>
      <c r="K44">
        <f t="shared" si="3"/>
        <v>3.6</v>
      </c>
      <c r="N44">
        <f t="shared" si="3"/>
        <v>2.6</v>
      </c>
      <c r="O44">
        <f t="shared" si="3"/>
        <v>2.5999999999999996</v>
      </c>
      <c r="R44">
        <f t="shared" si="3"/>
        <v>4.2000000000000011</v>
      </c>
      <c r="S44">
        <f t="shared" si="3"/>
        <v>4.1999999999999993</v>
      </c>
      <c r="V44">
        <f t="shared" si="3"/>
        <v>2.6000000000000005</v>
      </c>
      <c r="W44">
        <f t="shared" si="3"/>
        <v>2.5999999999999996</v>
      </c>
    </row>
    <row r="45" spans="1:26" x14ac:dyDescent="0.25">
      <c r="A45" t="s">
        <v>271</v>
      </c>
      <c r="D45">
        <f>1/19*(B44+C44)</f>
        <v>0.33684210526315789</v>
      </c>
      <c r="H45">
        <f t="shared" ref="H45" si="4">1/19*(F44+G44)</f>
        <v>0.23157894736842105</v>
      </c>
      <c r="L45">
        <f t="shared" ref="L45" si="5">1/19*(J44+K44)</f>
        <v>0.37894736842105264</v>
      </c>
      <c r="P45">
        <f t="shared" ref="P45" si="6">1/19*(N44+O44)</f>
        <v>0.27368421052631575</v>
      </c>
      <c r="T45">
        <f t="shared" ref="T45" si="7">1/19*(R44+S44)</f>
        <v>0.44210526315789472</v>
      </c>
      <c r="X45">
        <f t="shared" ref="X45" si="8">1/19*(V44+W44)</f>
        <v>0.27368421052631581</v>
      </c>
      <c r="Y45" t="s">
        <v>272</v>
      </c>
      <c r="Z45" s="110">
        <f>MIN(B45:Y45)</f>
        <v>0.23157894736842105</v>
      </c>
    </row>
    <row r="47" spans="1:26" x14ac:dyDescent="0.25">
      <c r="A47" t="s">
        <v>217</v>
      </c>
      <c r="B47" t="s">
        <v>212</v>
      </c>
      <c r="C47" t="s">
        <v>214</v>
      </c>
      <c r="E47" t="s">
        <v>242</v>
      </c>
      <c r="F47" t="s">
        <v>212</v>
      </c>
      <c r="G47" t="s">
        <v>214</v>
      </c>
      <c r="I47" t="s">
        <v>248</v>
      </c>
      <c r="J47" t="s">
        <v>212</v>
      </c>
      <c r="K47" t="s">
        <v>214</v>
      </c>
      <c r="M47" t="s">
        <v>254</v>
      </c>
      <c r="N47" t="s">
        <v>212</v>
      </c>
      <c r="O47" t="s">
        <v>214</v>
      </c>
      <c r="Q47" t="s">
        <v>260</v>
      </c>
      <c r="R47" t="s">
        <v>212</v>
      </c>
      <c r="S47" t="s">
        <v>214</v>
      </c>
      <c r="U47" t="s">
        <v>266</v>
      </c>
      <c r="V47" t="s">
        <v>212</v>
      </c>
      <c r="W47" t="s">
        <v>214</v>
      </c>
    </row>
    <row r="48" spans="1:26" x14ac:dyDescent="0.25">
      <c r="A48" t="s">
        <v>221</v>
      </c>
      <c r="B48">
        <f>m1bj!J2</f>
        <v>0.2</v>
      </c>
      <c r="C48">
        <f>m1bj!K2</f>
        <v>0.19999999999999996</v>
      </c>
      <c r="E48" t="s">
        <v>221</v>
      </c>
      <c r="F48">
        <f>m1bj!J25</f>
        <v>0.2</v>
      </c>
      <c r="G48">
        <f>m1bj!K25</f>
        <v>0.19999999999999996</v>
      </c>
      <c r="I48" t="s">
        <v>221</v>
      </c>
      <c r="J48">
        <f>m1bj!J48</f>
        <v>0.2</v>
      </c>
      <c r="K48">
        <f>m1bj!K48</f>
        <v>0.19999999999999996</v>
      </c>
      <c r="M48" t="s">
        <v>221</v>
      </c>
      <c r="N48">
        <f>m1bj!J72</f>
        <v>0</v>
      </c>
      <c r="O48">
        <f>m1bj!K72</f>
        <v>0</v>
      </c>
      <c r="Q48" t="s">
        <v>221</v>
      </c>
      <c r="R48">
        <f>m1bj!J95</f>
        <v>0</v>
      </c>
      <c r="S48">
        <f>m1bj!K95</f>
        <v>0</v>
      </c>
      <c r="U48" t="s">
        <v>221</v>
      </c>
      <c r="V48">
        <f>m1bj!J119</f>
        <v>0.2</v>
      </c>
      <c r="W48">
        <f>m1bj!K119</f>
        <v>0.19999999999999996</v>
      </c>
    </row>
    <row r="49" spans="1:23" x14ac:dyDescent="0.25">
      <c r="A49" t="s">
        <v>222</v>
      </c>
      <c r="B49">
        <f>m1bj!J3</f>
        <v>0</v>
      </c>
      <c r="C49">
        <f>m1bj!K3</f>
        <v>0</v>
      </c>
      <c r="E49" t="s">
        <v>222</v>
      </c>
      <c r="F49">
        <f>m1bj!J26</f>
        <v>0</v>
      </c>
      <c r="G49">
        <f>m1bj!K26</f>
        <v>0</v>
      </c>
      <c r="I49" t="s">
        <v>222</v>
      </c>
      <c r="J49">
        <f>m1bj!J49</f>
        <v>0</v>
      </c>
      <c r="K49">
        <f>m1bj!K49</f>
        <v>0</v>
      </c>
      <c r="M49" t="s">
        <v>222</v>
      </c>
      <c r="N49">
        <f>m1bj!J73</f>
        <v>0</v>
      </c>
      <c r="O49">
        <f>m1bj!K73</f>
        <v>0</v>
      </c>
      <c r="Q49" t="s">
        <v>222</v>
      </c>
      <c r="R49">
        <f>m1bj!J96</f>
        <v>0</v>
      </c>
      <c r="S49">
        <f>m1bj!K96</f>
        <v>0</v>
      </c>
      <c r="U49" t="s">
        <v>222</v>
      </c>
      <c r="V49">
        <f>m1bj!J120</f>
        <v>0</v>
      </c>
      <c r="W49">
        <f>m1bj!K120</f>
        <v>0</v>
      </c>
    </row>
    <row r="50" spans="1:23" x14ac:dyDescent="0.25">
      <c r="A50" t="s">
        <v>223</v>
      </c>
      <c r="B50">
        <f>m1bj!J4</f>
        <v>0</v>
      </c>
      <c r="C50">
        <f>m1bj!K4</f>
        <v>0</v>
      </c>
      <c r="E50" t="s">
        <v>223</v>
      </c>
      <c r="F50">
        <f>m1bj!J27</f>
        <v>0</v>
      </c>
      <c r="G50">
        <f>m1bj!K27</f>
        <v>0</v>
      </c>
      <c r="I50" t="s">
        <v>223</v>
      </c>
      <c r="J50">
        <f>m1bj!J50</f>
        <v>0</v>
      </c>
      <c r="K50">
        <f>m1bj!K50</f>
        <v>0</v>
      </c>
      <c r="M50" t="s">
        <v>223</v>
      </c>
      <c r="N50">
        <f>m1bj!J74</f>
        <v>0</v>
      </c>
      <c r="O50">
        <f>m1bj!K74</f>
        <v>0</v>
      </c>
      <c r="Q50" t="s">
        <v>223</v>
      </c>
      <c r="R50">
        <f>m1bj!J97</f>
        <v>0</v>
      </c>
      <c r="S50">
        <f>m1bj!K97</f>
        <v>0</v>
      </c>
      <c r="U50" t="s">
        <v>223</v>
      </c>
      <c r="V50">
        <f>m1bj!J121</f>
        <v>0</v>
      </c>
      <c r="W50">
        <f>m1bj!K121</f>
        <v>0</v>
      </c>
    </row>
    <row r="51" spans="1:23" x14ac:dyDescent="0.25">
      <c r="A51" t="s">
        <v>224</v>
      </c>
      <c r="B51">
        <f>m1bj!J5</f>
        <v>0</v>
      </c>
      <c r="C51">
        <f>m1bj!K5</f>
        <v>0</v>
      </c>
      <c r="E51" t="s">
        <v>224</v>
      </c>
      <c r="F51">
        <f>m1bj!J28</f>
        <v>0</v>
      </c>
      <c r="G51">
        <f>m1bj!K28</f>
        <v>0</v>
      </c>
      <c r="I51" t="s">
        <v>224</v>
      </c>
      <c r="J51">
        <f>m1bj!J51</f>
        <v>0</v>
      </c>
      <c r="K51">
        <f>m1bj!K51</f>
        <v>0</v>
      </c>
      <c r="M51" t="s">
        <v>224</v>
      </c>
      <c r="N51">
        <f>m1bj!J75</f>
        <v>0</v>
      </c>
      <c r="O51">
        <f>m1bj!K75</f>
        <v>0</v>
      </c>
      <c r="Q51" t="s">
        <v>224</v>
      </c>
      <c r="R51">
        <f>m1bj!J98</f>
        <v>0</v>
      </c>
      <c r="S51">
        <f>m1bj!K98</f>
        <v>0</v>
      </c>
      <c r="U51" t="s">
        <v>224</v>
      </c>
      <c r="V51">
        <f>m1bj!J122</f>
        <v>0</v>
      </c>
      <c r="W51">
        <f>m1bj!K122</f>
        <v>0</v>
      </c>
    </row>
    <row r="52" spans="1:23" x14ac:dyDescent="0.25">
      <c r="A52" t="s">
        <v>225</v>
      </c>
      <c r="B52">
        <f>m1bj!J6</f>
        <v>0</v>
      </c>
      <c r="C52">
        <f>m1bj!K6</f>
        <v>0</v>
      </c>
      <c r="E52" t="s">
        <v>225</v>
      </c>
      <c r="F52">
        <f>m1bj!J29</f>
        <v>0</v>
      </c>
      <c r="G52">
        <f>m1bj!K29</f>
        <v>0</v>
      </c>
      <c r="I52" t="s">
        <v>225</v>
      </c>
      <c r="J52">
        <f>m1bj!J52</f>
        <v>0</v>
      </c>
      <c r="K52">
        <f>m1bj!K52</f>
        <v>0</v>
      </c>
      <c r="M52" t="s">
        <v>225</v>
      </c>
      <c r="N52">
        <f>m1bj!J76</f>
        <v>0</v>
      </c>
      <c r="O52">
        <f>m1bj!K76</f>
        <v>0</v>
      </c>
      <c r="Q52" t="s">
        <v>225</v>
      </c>
      <c r="R52">
        <f>m1bj!J99</f>
        <v>0</v>
      </c>
      <c r="S52">
        <f>m1bj!K99</f>
        <v>0</v>
      </c>
      <c r="U52" t="s">
        <v>225</v>
      </c>
      <c r="V52">
        <f>m1bj!J123</f>
        <v>0</v>
      </c>
      <c r="W52">
        <f>m1bj!K123</f>
        <v>0</v>
      </c>
    </row>
    <row r="53" spans="1:23" x14ac:dyDescent="0.25">
      <c r="A53" t="s">
        <v>226</v>
      </c>
      <c r="B53">
        <f>m1bj!J7</f>
        <v>0.2</v>
      </c>
      <c r="C53">
        <f>m1bj!K7</f>
        <v>0.19999999999999996</v>
      </c>
      <c r="E53" t="s">
        <v>226</v>
      </c>
      <c r="F53">
        <f>m1bj!J30</f>
        <v>0</v>
      </c>
      <c r="G53">
        <f>m1bj!K30</f>
        <v>0</v>
      </c>
      <c r="I53" t="s">
        <v>226</v>
      </c>
      <c r="J53">
        <f>m1bj!J53</f>
        <v>0</v>
      </c>
      <c r="K53">
        <f>m1bj!K53</f>
        <v>0</v>
      </c>
      <c r="M53" t="s">
        <v>226</v>
      </c>
      <c r="N53">
        <f>m1bj!J77</f>
        <v>0</v>
      </c>
      <c r="O53">
        <f>m1bj!K77</f>
        <v>0</v>
      </c>
      <c r="Q53" t="s">
        <v>226</v>
      </c>
      <c r="R53">
        <f>m1bj!J100</f>
        <v>0.39999999999999997</v>
      </c>
      <c r="S53">
        <f>m1bj!K100</f>
        <v>0.39999999999999997</v>
      </c>
      <c r="U53" t="s">
        <v>226</v>
      </c>
      <c r="V53">
        <f>m1bj!J124</f>
        <v>0</v>
      </c>
      <c r="W53">
        <f>m1bj!K124</f>
        <v>0</v>
      </c>
    </row>
    <row r="54" spans="1:23" x14ac:dyDescent="0.25">
      <c r="A54" t="s">
        <v>227</v>
      </c>
      <c r="B54">
        <f>m1bj!J8</f>
        <v>0</v>
      </c>
      <c r="C54">
        <f>m1bj!K8</f>
        <v>0</v>
      </c>
      <c r="E54" t="s">
        <v>227</v>
      </c>
      <c r="F54">
        <f>m1bj!J31</f>
        <v>0</v>
      </c>
      <c r="G54">
        <f>m1bj!K31</f>
        <v>0</v>
      </c>
      <c r="I54" t="s">
        <v>227</v>
      </c>
      <c r="J54">
        <f>m1bj!J54</f>
        <v>0</v>
      </c>
      <c r="K54">
        <f>m1bj!K54</f>
        <v>0</v>
      </c>
      <c r="M54" t="s">
        <v>227</v>
      </c>
      <c r="N54">
        <f>m1bj!J78</f>
        <v>0</v>
      </c>
      <c r="O54">
        <f>m1bj!K78</f>
        <v>0</v>
      </c>
      <c r="Q54" t="s">
        <v>227</v>
      </c>
      <c r="R54">
        <f>m1bj!J101</f>
        <v>0</v>
      </c>
      <c r="S54">
        <f>m1bj!K101</f>
        <v>0</v>
      </c>
      <c r="U54" t="s">
        <v>227</v>
      </c>
      <c r="V54">
        <f>m1bj!J125</f>
        <v>0</v>
      </c>
      <c r="W54">
        <f>m1bj!K125</f>
        <v>0</v>
      </c>
    </row>
    <row r="55" spans="1:23" x14ac:dyDescent="0.25">
      <c r="A55" t="s">
        <v>228</v>
      </c>
      <c r="B55">
        <f>m1bj!J9</f>
        <v>0</v>
      </c>
      <c r="C55">
        <f>m1bj!K9</f>
        <v>0</v>
      </c>
      <c r="E55" t="s">
        <v>228</v>
      </c>
      <c r="F55">
        <f>m1bj!J32</f>
        <v>0</v>
      </c>
      <c r="G55">
        <f>m1bj!K32</f>
        <v>0</v>
      </c>
      <c r="I55" t="s">
        <v>228</v>
      </c>
      <c r="J55">
        <f>m1bj!J55</f>
        <v>0</v>
      </c>
      <c r="K55">
        <f>m1bj!K55</f>
        <v>0</v>
      </c>
      <c r="M55" t="s">
        <v>228</v>
      </c>
      <c r="N55">
        <f>m1bj!J79</f>
        <v>0</v>
      </c>
      <c r="O55">
        <f>m1bj!K79</f>
        <v>0</v>
      </c>
      <c r="Q55" t="s">
        <v>228</v>
      </c>
      <c r="R55">
        <f>m1bj!J102</f>
        <v>0</v>
      </c>
      <c r="S55">
        <f>m1bj!K102</f>
        <v>0</v>
      </c>
      <c r="U55" t="s">
        <v>228</v>
      </c>
      <c r="V55">
        <f>m1bj!J126</f>
        <v>0</v>
      </c>
      <c r="W55">
        <f>m1bj!K126</f>
        <v>0</v>
      </c>
    </row>
    <row r="56" spans="1:23" x14ac:dyDescent="0.25">
      <c r="A56" t="s">
        <v>229</v>
      </c>
      <c r="B56">
        <f>m1bj!J10</f>
        <v>0.19999999999999996</v>
      </c>
      <c r="C56">
        <f>m1bj!K10</f>
        <v>0.2</v>
      </c>
      <c r="E56" t="s">
        <v>229</v>
      </c>
      <c r="F56">
        <f>m1bj!J33</f>
        <v>0.39999999999999997</v>
      </c>
      <c r="G56">
        <f>m1bj!K33</f>
        <v>0.39999999999999997</v>
      </c>
      <c r="I56" t="s">
        <v>229</v>
      </c>
      <c r="J56">
        <f>m1bj!J56</f>
        <v>0.39999999999999997</v>
      </c>
      <c r="K56">
        <f>m1bj!K56</f>
        <v>0.39999999999999997</v>
      </c>
      <c r="M56" t="s">
        <v>229</v>
      </c>
      <c r="N56">
        <f>m1bj!J80</f>
        <v>0.39999999999999997</v>
      </c>
      <c r="O56">
        <f>m1bj!K80</f>
        <v>0.39999999999999997</v>
      </c>
      <c r="Q56" t="s">
        <v>229</v>
      </c>
      <c r="R56">
        <f>m1bj!J103</f>
        <v>0.39999999999999997</v>
      </c>
      <c r="S56">
        <f>m1bj!K103</f>
        <v>0.39999999999999997</v>
      </c>
      <c r="U56" t="s">
        <v>229</v>
      </c>
      <c r="V56">
        <f>m1bj!J127</f>
        <v>0.39999999999999997</v>
      </c>
      <c r="W56">
        <f>m1bj!K127</f>
        <v>0.39999999999999997</v>
      </c>
    </row>
    <row r="57" spans="1:23" x14ac:dyDescent="0.25">
      <c r="A57" t="s">
        <v>230</v>
      </c>
      <c r="B57">
        <f>m1bj!J11</f>
        <v>0</v>
      </c>
      <c r="C57">
        <f>m1bj!K11</f>
        <v>0</v>
      </c>
      <c r="E57" t="s">
        <v>230</v>
      </c>
      <c r="F57">
        <f>m1bj!J34</f>
        <v>0</v>
      </c>
      <c r="G57">
        <f>m1bj!K34</f>
        <v>0</v>
      </c>
      <c r="I57" t="s">
        <v>230</v>
      </c>
      <c r="J57">
        <f>m1bj!J57</f>
        <v>0</v>
      </c>
      <c r="K57">
        <f>m1bj!K57</f>
        <v>0</v>
      </c>
      <c r="M57" t="s">
        <v>230</v>
      </c>
      <c r="N57">
        <f>m1bj!J81</f>
        <v>0</v>
      </c>
      <c r="O57">
        <f>m1bj!K81</f>
        <v>0</v>
      </c>
      <c r="Q57" t="s">
        <v>230</v>
      </c>
      <c r="R57">
        <f>m1bj!J104</f>
        <v>0</v>
      </c>
      <c r="S57">
        <f>m1bj!K104</f>
        <v>0</v>
      </c>
      <c r="U57" t="s">
        <v>230</v>
      </c>
      <c r="V57">
        <f>m1bj!J128</f>
        <v>0</v>
      </c>
      <c r="W57">
        <f>m1bj!K128</f>
        <v>0</v>
      </c>
    </row>
    <row r="58" spans="1:23" x14ac:dyDescent="0.25">
      <c r="A58" t="s">
        <v>231</v>
      </c>
      <c r="B58">
        <f>m1bj!J12</f>
        <v>0</v>
      </c>
      <c r="C58">
        <f>m1bj!K12</f>
        <v>0</v>
      </c>
      <c r="E58" t="s">
        <v>231</v>
      </c>
      <c r="F58">
        <f>m1bj!J35</f>
        <v>0</v>
      </c>
      <c r="G58">
        <f>m1bj!K35</f>
        <v>0</v>
      </c>
      <c r="I58" t="s">
        <v>231</v>
      </c>
      <c r="J58">
        <f>m1bj!J58</f>
        <v>0.19999999999999996</v>
      </c>
      <c r="K58">
        <f>m1bj!K58</f>
        <v>0.2</v>
      </c>
      <c r="M58" t="s">
        <v>231</v>
      </c>
      <c r="N58">
        <f>m1bj!J82</f>
        <v>0.4</v>
      </c>
      <c r="O58">
        <f>m1bj!K82</f>
        <v>0.4</v>
      </c>
      <c r="Q58" t="s">
        <v>231</v>
      </c>
      <c r="R58">
        <f>m1bj!J105</f>
        <v>0.4</v>
      </c>
      <c r="S58">
        <f>m1bj!K105</f>
        <v>0.4</v>
      </c>
      <c r="U58" t="s">
        <v>231</v>
      </c>
      <c r="V58">
        <f>m1bj!J129</f>
        <v>0.19999999999999996</v>
      </c>
      <c r="W58">
        <f>m1bj!K129</f>
        <v>0.2</v>
      </c>
    </row>
    <row r="59" spans="1:23" x14ac:dyDescent="0.25">
      <c r="A59" t="s">
        <v>232</v>
      </c>
      <c r="B59">
        <f>m1bj!J13</f>
        <v>0</v>
      </c>
      <c r="C59">
        <f>m1bj!K13</f>
        <v>0</v>
      </c>
      <c r="E59" t="s">
        <v>232</v>
      </c>
      <c r="F59">
        <f>m1bj!J36</f>
        <v>0</v>
      </c>
      <c r="G59">
        <f>m1bj!K36</f>
        <v>0</v>
      </c>
      <c r="I59" t="s">
        <v>232</v>
      </c>
      <c r="J59">
        <f>m1bj!J59</f>
        <v>0.2</v>
      </c>
      <c r="K59">
        <f>m1bj!K59</f>
        <v>0.19999999999999996</v>
      </c>
      <c r="M59" t="s">
        <v>232</v>
      </c>
      <c r="N59">
        <f>m1bj!J83</f>
        <v>0</v>
      </c>
      <c r="O59">
        <f>m1bj!K83</f>
        <v>0</v>
      </c>
      <c r="Q59" t="s">
        <v>232</v>
      </c>
      <c r="R59">
        <f>m1bj!J106</f>
        <v>0</v>
      </c>
      <c r="S59">
        <f>m1bj!K106</f>
        <v>0</v>
      </c>
      <c r="U59" t="s">
        <v>232</v>
      </c>
      <c r="V59">
        <f>m1bj!J130</f>
        <v>0</v>
      </c>
      <c r="W59">
        <f>m1bj!K130</f>
        <v>0</v>
      </c>
    </row>
    <row r="60" spans="1:23" x14ac:dyDescent="0.25">
      <c r="A60" t="s">
        <v>233</v>
      </c>
      <c r="B60">
        <f>m1bj!J14</f>
        <v>0</v>
      </c>
      <c r="C60">
        <f>m1bj!K14</f>
        <v>0</v>
      </c>
      <c r="E60" t="s">
        <v>233</v>
      </c>
      <c r="F60">
        <f>m1bj!J37</f>
        <v>0</v>
      </c>
      <c r="G60">
        <f>m1bj!K37</f>
        <v>0</v>
      </c>
      <c r="I60" t="s">
        <v>233</v>
      </c>
      <c r="J60">
        <f>m1bj!J60</f>
        <v>0</v>
      </c>
      <c r="K60">
        <f>m1bj!K60</f>
        <v>0</v>
      </c>
      <c r="M60" t="s">
        <v>233</v>
      </c>
      <c r="N60">
        <f>m1bj!J84</f>
        <v>0</v>
      </c>
      <c r="O60">
        <f>m1bj!K84</f>
        <v>0</v>
      </c>
      <c r="Q60" t="s">
        <v>233</v>
      </c>
      <c r="R60">
        <f>m1bj!J107</f>
        <v>0</v>
      </c>
      <c r="S60">
        <f>m1bj!K107</f>
        <v>0</v>
      </c>
      <c r="U60" t="s">
        <v>233</v>
      </c>
      <c r="V60">
        <f>m1bj!J131</f>
        <v>0</v>
      </c>
      <c r="W60">
        <f>m1bj!K131</f>
        <v>0</v>
      </c>
    </row>
    <row r="61" spans="1:23" x14ac:dyDescent="0.25">
      <c r="A61" t="s">
        <v>234</v>
      </c>
      <c r="B61">
        <f>m1bj!J15</f>
        <v>0</v>
      </c>
      <c r="C61">
        <f>m1bj!K15</f>
        <v>0</v>
      </c>
      <c r="E61" t="s">
        <v>234</v>
      </c>
      <c r="F61">
        <f>m1bj!J38</f>
        <v>0</v>
      </c>
      <c r="G61">
        <f>m1bj!K38</f>
        <v>0</v>
      </c>
      <c r="I61" t="s">
        <v>234</v>
      </c>
      <c r="J61">
        <f>m1bj!J61</f>
        <v>0</v>
      </c>
      <c r="K61">
        <f>m1bj!K61</f>
        <v>0</v>
      </c>
      <c r="M61" t="s">
        <v>234</v>
      </c>
      <c r="N61">
        <f>m1bj!J85</f>
        <v>0</v>
      </c>
      <c r="O61">
        <f>m1bj!K85</f>
        <v>0</v>
      </c>
      <c r="Q61" t="s">
        <v>234</v>
      </c>
      <c r="R61">
        <f>m1bj!J108</f>
        <v>0</v>
      </c>
      <c r="S61">
        <f>m1bj!K108</f>
        <v>0</v>
      </c>
      <c r="U61" t="s">
        <v>234</v>
      </c>
      <c r="V61">
        <f>m1bj!J132</f>
        <v>0</v>
      </c>
      <c r="W61">
        <f>m1bj!K132</f>
        <v>0</v>
      </c>
    </row>
    <row r="62" spans="1:23" x14ac:dyDescent="0.25">
      <c r="A62" t="s">
        <v>235</v>
      </c>
      <c r="B62">
        <f>m1bj!J16</f>
        <v>0.4</v>
      </c>
      <c r="C62">
        <f>m1bj!K16</f>
        <v>0.4</v>
      </c>
      <c r="E62" t="s">
        <v>235</v>
      </c>
      <c r="F62">
        <f>m1bj!J39</f>
        <v>0</v>
      </c>
      <c r="G62">
        <f>m1bj!K39</f>
        <v>0</v>
      </c>
      <c r="I62" t="s">
        <v>235</v>
      </c>
      <c r="J62">
        <f>m1bj!J62</f>
        <v>0.4</v>
      </c>
      <c r="K62">
        <f>m1bj!K62</f>
        <v>0.4</v>
      </c>
      <c r="M62" t="s">
        <v>235</v>
      </c>
      <c r="N62">
        <f>m1bj!J86</f>
        <v>0.20000000000000007</v>
      </c>
      <c r="O62">
        <f>m1bj!K86</f>
        <v>0.19999999999999998</v>
      </c>
      <c r="Q62" t="s">
        <v>235</v>
      </c>
      <c r="R62">
        <f>m1bj!J109</f>
        <v>0.60000000000000009</v>
      </c>
      <c r="S62">
        <f>m1bj!K109</f>
        <v>0.6</v>
      </c>
      <c r="U62" t="s">
        <v>235</v>
      </c>
      <c r="V62">
        <f>m1bj!J133</f>
        <v>0.20000000000000007</v>
      </c>
      <c r="W62">
        <f>m1bj!K133</f>
        <v>0.19999999999999998</v>
      </c>
    </row>
    <row r="63" spans="1:23" x14ac:dyDescent="0.25">
      <c r="A63" t="s">
        <v>236</v>
      </c>
      <c r="B63">
        <f>m1bj!J17</f>
        <v>0</v>
      </c>
      <c r="C63">
        <f>m1bj!K17</f>
        <v>0</v>
      </c>
      <c r="E63" t="s">
        <v>236</v>
      </c>
      <c r="F63">
        <f>m1bj!J40</f>
        <v>0.39999999999999997</v>
      </c>
      <c r="G63">
        <f>m1bj!K40</f>
        <v>0.39999999999999997</v>
      </c>
      <c r="I63" t="s">
        <v>236</v>
      </c>
      <c r="J63">
        <f>m1bj!J63</f>
        <v>0.39999999999999997</v>
      </c>
      <c r="K63">
        <f>m1bj!K63</f>
        <v>0.39999999999999997</v>
      </c>
      <c r="M63" t="s">
        <v>236</v>
      </c>
      <c r="N63">
        <f>m1bj!J87</f>
        <v>0</v>
      </c>
      <c r="O63">
        <f>m1bj!K87</f>
        <v>0</v>
      </c>
      <c r="Q63" t="s">
        <v>236</v>
      </c>
      <c r="R63">
        <f>m1bj!J110</f>
        <v>0</v>
      </c>
      <c r="S63">
        <f>m1bj!K110</f>
        <v>0</v>
      </c>
      <c r="U63" t="s">
        <v>236</v>
      </c>
      <c r="V63">
        <f>m1bj!J134</f>
        <v>0.39999999999999997</v>
      </c>
      <c r="W63">
        <f>m1bj!K134</f>
        <v>0.39999999999999997</v>
      </c>
    </row>
    <row r="64" spans="1:23" x14ac:dyDescent="0.25">
      <c r="A64" t="s">
        <v>237</v>
      </c>
      <c r="B64">
        <f>m1bj!J18</f>
        <v>0</v>
      </c>
      <c r="C64">
        <f>m1bj!K18</f>
        <v>0</v>
      </c>
      <c r="E64" t="s">
        <v>237</v>
      </c>
      <c r="F64">
        <f>m1bj!J41</f>
        <v>0</v>
      </c>
      <c r="G64">
        <f>m1bj!K41</f>
        <v>0</v>
      </c>
      <c r="I64" t="s">
        <v>237</v>
      </c>
      <c r="J64">
        <f>m1bj!J64</f>
        <v>0.4</v>
      </c>
      <c r="K64">
        <f>m1bj!K64</f>
        <v>0.4</v>
      </c>
      <c r="M64" t="s">
        <v>237</v>
      </c>
      <c r="N64">
        <f>m1bj!J88</f>
        <v>0.4</v>
      </c>
      <c r="O64">
        <f>m1bj!K88</f>
        <v>0.4</v>
      </c>
      <c r="Q64" t="s">
        <v>237</v>
      </c>
      <c r="R64">
        <f>m1bj!J111</f>
        <v>0.60000000000000009</v>
      </c>
      <c r="S64">
        <f>m1bj!K111</f>
        <v>0.6</v>
      </c>
      <c r="U64" t="s">
        <v>237</v>
      </c>
      <c r="V64">
        <f>m1bj!J135</f>
        <v>0.4</v>
      </c>
      <c r="W64">
        <f>m1bj!K135</f>
        <v>0.4</v>
      </c>
    </row>
    <row r="65" spans="1:26" x14ac:dyDescent="0.25">
      <c r="A65" t="s">
        <v>238</v>
      </c>
      <c r="B65">
        <f>m1bj!J19</f>
        <v>0.60000000000000009</v>
      </c>
      <c r="C65">
        <f>m1bj!K19</f>
        <v>0.6</v>
      </c>
      <c r="E65" t="s">
        <v>238</v>
      </c>
      <c r="F65">
        <f>m1bj!J42</f>
        <v>0.60000000000000009</v>
      </c>
      <c r="G65">
        <f>m1bj!K42</f>
        <v>0.6</v>
      </c>
      <c r="I65" t="s">
        <v>238</v>
      </c>
      <c r="J65">
        <f>m1bj!J65</f>
        <v>0.60000000000000009</v>
      </c>
      <c r="K65">
        <f>m1bj!K65</f>
        <v>0.6</v>
      </c>
      <c r="M65" t="s">
        <v>238</v>
      </c>
      <c r="N65">
        <f>m1bj!J89</f>
        <v>0.60000000000000009</v>
      </c>
      <c r="O65">
        <f>m1bj!K89</f>
        <v>0.6</v>
      </c>
      <c r="Q65" t="s">
        <v>238</v>
      </c>
      <c r="R65">
        <f>m1bj!J112</f>
        <v>0.60000000000000009</v>
      </c>
      <c r="S65">
        <f>m1bj!K112</f>
        <v>0.6</v>
      </c>
      <c r="U65" t="s">
        <v>238</v>
      </c>
      <c r="V65">
        <f>m1bj!J136</f>
        <v>0.60000000000000009</v>
      </c>
      <c r="W65">
        <f>m1bj!K136</f>
        <v>0.6</v>
      </c>
    </row>
    <row r="66" spans="1:26" x14ac:dyDescent="0.25">
      <c r="A66" t="s">
        <v>239</v>
      </c>
      <c r="B66">
        <f>m1bj!J20</f>
        <v>0.20000000000000007</v>
      </c>
      <c r="C66">
        <f>m1bj!K20</f>
        <v>0.19999999999999998</v>
      </c>
      <c r="E66" t="s">
        <v>239</v>
      </c>
      <c r="F66">
        <f>m1bj!J43</f>
        <v>0</v>
      </c>
      <c r="G66">
        <f>m1bj!K43</f>
        <v>0</v>
      </c>
      <c r="I66" t="s">
        <v>239</v>
      </c>
      <c r="J66">
        <f>m1bj!J66</f>
        <v>0.60000000000000009</v>
      </c>
      <c r="K66">
        <f>m1bj!K66</f>
        <v>0.6</v>
      </c>
      <c r="M66" t="s">
        <v>239</v>
      </c>
      <c r="N66">
        <f>m1bj!J90</f>
        <v>0</v>
      </c>
      <c r="O66">
        <f>m1bj!K90</f>
        <v>0</v>
      </c>
      <c r="Q66" t="s">
        <v>239</v>
      </c>
      <c r="R66">
        <f>m1bj!J113</f>
        <v>0.60000000000000009</v>
      </c>
      <c r="S66">
        <f>m1bj!K113</f>
        <v>0.6</v>
      </c>
      <c r="U66" t="s">
        <v>239</v>
      </c>
      <c r="V66">
        <f>m1bj!J137</f>
        <v>0</v>
      </c>
      <c r="W66">
        <f>m1bj!K137</f>
        <v>0</v>
      </c>
    </row>
    <row r="67" spans="1:26" x14ac:dyDescent="0.25">
      <c r="B67">
        <f>SUM(B48:B66)</f>
        <v>1.8000000000000003</v>
      </c>
      <c r="C67">
        <f t="shared" ref="C67" si="9">SUM(C48:C66)</f>
        <v>1.7999999999999998</v>
      </c>
      <c r="F67">
        <f t="shared" ref="F67:G67" si="10">SUM(F48:F66)</f>
        <v>1.6</v>
      </c>
      <c r="G67">
        <f t="shared" si="10"/>
        <v>1.5999999999999996</v>
      </c>
      <c r="J67">
        <f t="shared" ref="J67:K67" si="11">SUM(J48:J66)</f>
        <v>3.4</v>
      </c>
      <c r="K67">
        <f t="shared" si="11"/>
        <v>3.4</v>
      </c>
      <c r="N67">
        <f t="shared" ref="N67:O67" si="12">SUM(N48:N66)</f>
        <v>2</v>
      </c>
      <c r="O67">
        <f t="shared" si="12"/>
        <v>2</v>
      </c>
      <c r="R67">
        <f t="shared" ref="R67:S67" si="13">SUM(R48:R66)</f>
        <v>3.6000000000000005</v>
      </c>
      <c r="S67">
        <f t="shared" si="13"/>
        <v>3.6</v>
      </c>
      <c r="V67">
        <f t="shared" ref="V67:W67" si="14">SUM(V48:V66)</f>
        <v>2.4</v>
      </c>
      <c r="W67">
        <f t="shared" si="14"/>
        <v>2.4</v>
      </c>
    </row>
    <row r="68" spans="1:26" x14ac:dyDescent="0.25">
      <c r="A68" t="s">
        <v>271</v>
      </c>
      <c r="D68">
        <f>1/19*(B67+C67)</f>
        <v>0.18947368421052632</v>
      </c>
      <c r="H68">
        <f t="shared" ref="H68" si="15">1/19*(F67+G67)</f>
        <v>0.16842105263157892</v>
      </c>
      <c r="L68">
        <f t="shared" ref="L68" si="16">1/19*(J67+K67)</f>
        <v>0.35789473684210521</v>
      </c>
      <c r="P68">
        <f t="shared" ref="P68" si="17">1/19*(N67+O67)</f>
        <v>0.21052631578947367</v>
      </c>
      <c r="T68">
        <f t="shared" ref="T68" si="18">1/19*(R67+S67)</f>
        <v>0.37894736842105264</v>
      </c>
      <c r="X68">
        <f t="shared" ref="X68" si="19">1/19*(V67+W67)</f>
        <v>0.25263157894736837</v>
      </c>
      <c r="Y68" t="s">
        <v>272</v>
      </c>
      <c r="Z68" s="110">
        <f>MIN(B68:Y68)</f>
        <v>0.16842105263157892</v>
      </c>
    </row>
    <row r="69" spans="1:26" x14ac:dyDescent="0.25">
      <c r="Z69" s="110"/>
    </row>
    <row r="71" spans="1:26" x14ac:dyDescent="0.25">
      <c r="A71" t="s">
        <v>218</v>
      </c>
      <c r="B71" t="s">
        <v>212</v>
      </c>
      <c r="C71" t="s">
        <v>214</v>
      </c>
      <c r="E71" t="s">
        <v>243</v>
      </c>
      <c r="F71" t="s">
        <v>212</v>
      </c>
      <c r="G71" t="s">
        <v>214</v>
      </c>
      <c r="I71" t="s">
        <v>249</v>
      </c>
      <c r="J71" t="s">
        <v>212</v>
      </c>
      <c r="K71" t="s">
        <v>214</v>
      </c>
      <c r="M71" t="s">
        <v>255</v>
      </c>
      <c r="N71" t="s">
        <v>212</v>
      </c>
      <c r="O71" t="s">
        <v>214</v>
      </c>
      <c r="Q71" t="s">
        <v>261</v>
      </c>
      <c r="R71" t="s">
        <v>212</v>
      </c>
      <c r="S71" t="s">
        <v>214</v>
      </c>
      <c r="U71" t="s">
        <v>267</v>
      </c>
      <c r="V71" t="s">
        <v>212</v>
      </c>
      <c r="W71" t="s">
        <v>214</v>
      </c>
    </row>
    <row r="72" spans="1:26" x14ac:dyDescent="0.25">
      <c r="A72" t="s">
        <v>221</v>
      </c>
      <c r="B72">
        <f>m1bj!N2</f>
        <v>0.2</v>
      </c>
      <c r="C72">
        <f>m1bj!O2</f>
        <v>0.19999999999999996</v>
      </c>
      <c r="E72" t="s">
        <v>221</v>
      </c>
      <c r="F72">
        <f>m1bj!N25</f>
        <v>0.2</v>
      </c>
      <c r="G72">
        <f>m1bj!O25</f>
        <v>0.19999999999999996</v>
      </c>
      <c r="I72" t="s">
        <v>221</v>
      </c>
      <c r="J72">
        <f>m1bj!N48</f>
        <v>0.2</v>
      </c>
      <c r="K72">
        <f>m1bj!O48</f>
        <v>0.19999999999999996</v>
      </c>
      <c r="M72" t="s">
        <v>221</v>
      </c>
      <c r="N72">
        <f>m1bj!N72</f>
        <v>0</v>
      </c>
      <c r="O72">
        <f>m1bj!O72</f>
        <v>0</v>
      </c>
      <c r="Q72" t="s">
        <v>221</v>
      </c>
      <c r="R72">
        <f>m1bj!N95</f>
        <v>0</v>
      </c>
      <c r="S72">
        <f>m1bj!O95</f>
        <v>0</v>
      </c>
      <c r="U72" t="s">
        <v>221</v>
      </c>
      <c r="V72">
        <f>m1bj!N119</f>
        <v>0.2</v>
      </c>
      <c r="W72">
        <f>m1bj!O119</f>
        <v>0.19999999999999996</v>
      </c>
    </row>
    <row r="73" spans="1:26" x14ac:dyDescent="0.25">
      <c r="A73" t="s">
        <v>222</v>
      </c>
      <c r="B73">
        <f>m1bj!N3</f>
        <v>0</v>
      </c>
      <c r="C73">
        <f>m1bj!O3</f>
        <v>0</v>
      </c>
      <c r="E73" t="s">
        <v>222</v>
      </c>
      <c r="F73">
        <f>m1bj!N26</f>
        <v>0</v>
      </c>
      <c r="G73">
        <f>m1bj!O26</f>
        <v>0</v>
      </c>
      <c r="I73" t="s">
        <v>222</v>
      </c>
      <c r="J73">
        <f>m1bj!N49</f>
        <v>0</v>
      </c>
      <c r="K73">
        <f>m1bj!O49</f>
        <v>0</v>
      </c>
      <c r="M73" t="s">
        <v>222</v>
      </c>
      <c r="N73">
        <f>m1bj!N73</f>
        <v>0</v>
      </c>
      <c r="O73">
        <f>m1bj!O73</f>
        <v>0</v>
      </c>
      <c r="Q73" t="s">
        <v>222</v>
      </c>
      <c r="R73">
        <f>m1bj!N96</f>
        <v>0</v>
      </c>
      <c r="S73">
        <f>m1bj!O96</f>
        <v>0</v>
      </c>
      <c r="U73" t="s">
        <v>222</v>
      </c>
      <c r="V73">
        <f>m1bj!N120</f>
        <v>0</v>
      </c>
      <c r="W73">
        <f>m1bj!O120</f>
        <v>0</v>
      </c>
    </row>
    <row r="74" spans="1:26" x14ac:dyDescent="0.25">
      <c r="A74" t="s">
        <v>223</v>
      </c>
      <c r="B74">
        <f>m1bj!N4</f>
        <v>0</v>
      </c>
      <c r="C74">
        <f>m1bj!O4</f>
        <v>0</v>
      </c>
      <c r="E74" t="s">
        <v>223</v>
      </c>
      <c r="F74">
        <f>m1bj!N27</f>
        <v>0</v>
      </c>
      <c r="G74">
        <f>m1bj!O27</f>
        <v>0</v>
      </c>
      <c r="I74" t="s">
        <v>223</v>
      </c>
      <c r="J74">
        <f>m1bj!N50</f>
        <v>0</v>
      </c>
      <c r="K74">
        <f>m1bj!O50</f>
        <v>0</v>
      </c>
      <c r="M74" t="s">
        <v>223</v>
      </c>
      <c r="N74">
        <f>m1bj!N74</f>
        <v>0</v>
      </c>
      <c r="O74">
        <f>m1bj!O74</f>
        <v>0</v>
      </c>
      <c r="Q74" t="s">
        <v>223</v>
      </c>
      <c r="R74">
        <f>m1bj!N97</f>
        <v>0</v>
      </c>
      <c r="S74">
        <f>m1bj!O97</f>
        <v>0</v>
      </c>
      <c r="U74" t="s">
        <v>223</v>
      </c>
      <c r="V74">
        <f>m1bj!N121</f>
        <v>0</v>
      </c>
      <c r="W74">
        <f>m1bj!O121</f>
        <v>0</v>
      </c>
    </row>
    <row r="75" spans="1:26" x14ac:dyDescent="0.25">
      <c r="A75" t="s">
        <v>224</v>
      </c>
      <c r="B75">
        <f>m1bj!N5</f>
        <v>0</v>
      </c>
      <c r="C75">
        <f>m1bj!O5</f>
        <v>0</v>
      </c>
      <c r="E75" t="s">
        <v>224</v>
      </c>
      <c r="F75">
        <f>m1bj!N28</f>
        <v>0</v>
      </c>
      <c r="G75">
        <f>m1bj!O28</f>
        <v>0</v>
      </c>
      <c r="I75" t="s">
        <v>224</v>
      </c>
      <c r="J75">
        <f>m1bj!N51</f>
        <v>0</v>
      </c>
      <c r="K75">
        <f>m1bj!O51</f>
        <v>0</v>
      </c>
      <c r="M75" t="s">
        <v>224</v>
      </c>
      <c r="N75">
        <f>m1bj!N75</f>
        <v>0</v>
      </c>
      <c r="O75">
        <f>m1bj!O75</f>
        <v>0</v>
      </c>
      <c r="Q75" t="s">
        <v>224</v>
      </c>
      <c r="R75">
        <f>m1bj!N98</f>
        <v>0</v>
      </c>
      <c r="S75">
        <f>m1bj!O98</f>
        <v>0</v>
      </c>
      <c r="U75" t="s">
        <v>224</v>
      </c>
      <c r="V75">
        <f>m1bj!N122</f>
        <v>0</v>
      </c>
      <c r="W75">
        <f>m1bj!O122</f>
        <v>0</v>
      </c>
    </row>
    <row r="76" spans="1:26" x14ac:dyDescent="0.25">
      <c r="A76" t="s">
        <v>225</v>
      </c>
      <c r="B76">
        <f>m1bj!N6</f>
        <v>0</v>
      </c>
      <c r="C76">
        <f>m1bj!O6</f>
        <v>0</v>
      </c>
      <c r="E76" t="s">
        <v>225</v>
      </c>
      <c r="F76">
        <f>m1bj!N29</f>
        <v>0</v>
      </c>
      <c r="G76">
        <f>m1bj!O29</f>
        <v>0</v>
      </c>
      <c r="I76" t="s">
        <v>225</v>
      </c>
      <c r="J76">
        <f>m1bj!N52</f>
        <v>0</v>
      </c>
      <c r="K76">
        <f>m1bj!O52</f>
        <v>0</v>
      </c>
      <c r="M76" t="s">
        <v>225</v>
      </c>
      <c r="N76">
        <f>m1bj!N76</f>
        <v>0</v>
      </c>
      <c r="O76">
        <f>m1bj!O76</f>
        <v>0</v>
      </c>
      <c r="Q76" t="s">
        <v>225</v>
      </c>
      <c r="R76">
        <f>m1bj!N99</f>
        <v>0</v>
      </c>
      <c r="S76">
        <f>m1bj!O99</f>
        <v>0</v>
      </c>
      <c r="U76" t="s">
        <v>225</v>
      </c>
      <c r="V76">
        <f>m1bj!N123</f>
        <v>0</v>
      </c>
      <c r="W76">
        <f>m1bj!O123</f>
        <v>0</v>
      </c>
    </row>
    <row r="77" spans="1:26" x14ac:dyDescent="0.25">
      <c r="A77" t="s">
        <v>226</v>
      </c>
      <c r="B77">
        <f>m1bj!N7</f>
        <v>0.2</v>
      </c>
      <c r="C77">
        <f>m1bj!O7</f>
        <v>0.19999999999999996</v>
      </c>
      <c r="E77" t="s">
        <v>226</v>
      </c>
      <c r="F77">
        <f>m1bj!N30</f>
        <v>0</v>
      </c>
      <c r="G77">
        <f>m1bj!O30</f>
        <v>0</v>
      </c>
      <c r="I77" t="s">
        <v>226</v>
      </c>
      <c r="J77">
        <f>m1bj!N53</f>
        <v>0</v>
      </c>
      <c r="K77">
        <f>m1bj!O53</f>
        <v>0</v>
      </c>
      <c r="M77" t="s">
        <v>226</v>
      </c>
      <c r="N77">
        <f>m1bj!N77</f>
        <v>0</v>
      </c>
      <c r="O77">
        <f>m1bj!O77</f>
        <v>0</v>
      </c>
      <c r="Q77" t="s">
        <v>226</v>
      </c>
      <c r="R77">
        <f>m1bj!N100</f>
        <v>0.39999999999999997</v>
      </c>
      <c r="S77">
        <f>m1bj!O100</f>
        <v>0.39999999999999997</v>
      </c>
      <c r="U77" t="s">
        <v>226</v>
      </c>
      <c r="V77">
        <f>m1bj!N124</f>
        <v>0</v>
      </c>
      <c r="W77">
        <f>m1bj!O124</f>
        <v>0</v>
      </c>
    </row>
    <row r="78" spans="1:26" x14ac:dyDescent="0.25">
      <c r="A78" t="s">
        <v>227</v>
      </c>
      <c r="B78">
        <f>m1bj!N8</f>
        <v>0</v>
      </c>
      <c r="C78">
        <f>m1bj!O8</f>
        <v>0</v>
      </c>
      <c r="E78" t="s">
        <v>227</v>
      </c>
      <c r="F78">
        <f>m1bj!N31</f>
        <v>0</v>
      </c>
      <c r="G78">
        <f>m1bj!O31</f>
        <v>0</v>
      </c>
      <c r="I78" t="s">
        <v>227</v>
      </c>
      <c r="J78">
        <f>m1bj!N54</f>
        <v>0</v>
      </c>
      <c r="K78">
        <f>m1bj!O54</f>
        <v>0</v>
      </c>
      <c r="M78" t="s">
        <v>227</v>
      </c>
      <c r="N78">
        <f>m1bj!N78</f>
        <v>0</v>
      </c>
      <c r="O78">
        <f>m1bj!O78</f>
        <v>0</v>
      </c>
      <c r="Q78" t="s">
        <v>227</v>
      </c>
      <c r="R78">
        <f>m1bj!N101</f>
        <v>0</v>
      </c>
      <c r="S78">
        <f>m1bj!O101</f>
        <v>0</v>
      </c>
      <c r="U78" t="s">
        <v>227</v>
      </c>
      <c r="V78">
        <f>m1bj!N125</f>
        <v>0</v>
      </c>
      <c r="W78">
        <f>m1bj!O125</f>
        <v>0</v>
      </c>
    </row>
    <row r="79" spans="1:26" x14ac:dyDescent="0.25">
      <c r="A79" t="s">
        <v>228</v>
      </c>
      <c r="B79">
        <f>m1bj!N9</f>
        <v>0</v>
      </c>
      <c r="C79">
        <f>m1bj!O9</f>
        <v>0</v>
      </c>
      <c r="E79" t="s">
        <v>228</v>
      </c>
      <c r="F79">
        <f>m1bj!N32</f>
        <v>0</v>
      </c>
      <c r="G79">
        <f>m1bj!O32</f>
        <v>0</v>
      </c>
      <c r="I79" t="s">
        <v>228</v>
      </c>
      <c r="J79">
        <f>m1bj!N55</f>
        <v>0</v>
      </c>
      <c r="K79">
        <f>m1bj!O55</f>
        <v>0</v>
      </c>
      <c r="M79" t="s">
        <v>228</v>
      </c>
      <c r="N79">
        <f>m1bj!N79</f>
        <v>0</v>
      </c>
      <c r="O79">
        <f>m1bj!O79</f>
        <v>0</v>
      </c>
      <c r="Q79" t="s">
        <v>228</v>
      </c>
      <c r="R79">
        <f>m1bj!N102</f>
        <v>0</v>
      </c>
      <c r="S79">
        <f>m1bj!O102</f>
        <v>0</v>
      </c>
      <c r="U79" t="s">
        <v>228</v>
      </c>
      <c r="V79">
        <f>m1bj!N126</f>
        <v>0</v>
      </c>
      <c r="W79">
        <f>m1bj!O126</f>
        <v>0</v>
      </c>
    </row>
    <row r="80" spans="1:26" x14ac:dyDescent="0.25">
      <c r="A80" t="s">
        <v>229</v>
      </c>
      <c r="B80">
        <f>m1bj!N10</f>
        <v>0.2</v>
      </c>
      <c r="C80">
        <f>m1bj!O10</f>
        <v>0.19999999999999996</v>
      </c>
      <c r="E80" t="s">
        <v>229</v>
      </c>
      <c r="F80">
        <f>m1bj!N33</f>
        <v>0</v>
      </c>
      <c r="G80">
        <f>m1bj!O33</f>
        <v>0</v>
      </c>
      <c r="I80" t="s">
        <v>229</v>
      </c>
      <c r="J80">
        <f>m1bj!N56</f>
        <v>0</v>
      </c>
      <c r="K80">
        <f>m1bj!O56</f>
        <v>0</v>
      </c>
      <c r="M80" t="s">
        <v>229</v>
      </c>
      <c r="N80">
        <f>m1bj!N80</f>
        <v>0</v>
      </c>
      <c r="O80">
        <f>m1bj!O80</f>
        <v>0</v>
      </c>
      <c r="Q80" t="s">
        <v>229</v>
      </c>
      <c r="R80">
        <f>m1bj!N103</f>
        <v>0</v>
      </c>
      <c r="S80">
        <f>m1bj!O103</f>
        <v>0</v>
      </c>
      <c r="U80" t="s">
        <v>229</v>
      </c>
      <c r="V80">
        <f>m1bj!N127</f>
        <v>0</v>
      </c>
      <c r="W80">
        <f>m1bj!O127</f>
        <v>0</v>
      </c>
    </row>
    <row r="81" spans="1:26" x14ac:dyDescent="0.25">
      <c r="A81" t="s">
        <v>230</v>
      </c>
      <c r="B81">
        <f>m1bj!N11</f>
        <v>0</v>
      </c>
      <c r="C81">
        <f>m1bj!O11</f>
        <v>0</v>
      </c>
      <c r="E81" t="s">
        <v>230</v>
      </c>
      <c r="F81">
        <f>m1bj!N34</f>
        <v>0</v>
      </c>
      <c r="G81">
        <f>m1bj!O34</f>
        <v>0</v>
      </c>
      <c r="I81" t="s">
        <v>230</v>
      </c>
      <c r="J81">
        <f>m1bj!N57</f>
        <v>0</v>
      </c>
      <c r="K81">
        <f>m1bj!O57</f>
        <v>0</v>
      </c>
      <c r="M81" t="s">
        <v>230</v>
      </c>
      <c r="N81">
        <f>m1bj!N81</f>
        <v>0</v>
      </c>
      <c r="O81">
        <f>m1bj!O81</f>
        <v>0</v>
      </c>
      <c r="Q81" t="s">
        <v>230</v>
      </c>
      <c r="R81">
        <f>m1bj!N104</f>
        <v>0</v>
      </c>
      <c r="S81">
        <f>m1bj!O104</f>
        <v>0</v>
      </c>
      <c r="U81" t="s">
        <v>230</v>
      </c>
      <c r="V81">
        <f>m1bj!N128</f>
        <v>0</v>
      </c>
      <c r="W81">
        <f>m1bj!O128</f>
        <v>0</v>
      </c>
    </row>
    <row r="82" spans="1:26" x14ac:dyDescent="0.25">
      <c r="A82" t="s">
        <v>231</v>
      </c>
      <c r="B82">
        <f>m1bj!N12</f>
        <v>0</v>
      </c>
      <c r="C82">
        <f>m1bj!O12</f>
        <v>0</v>
      </c>
      <c r="E82" t="s">
        <v>231</v>
      </c>
      <c r="F82">
        <f>m1bj!N35</f>
        <v>0</v>
      </c>
      <c r="G82">
        <f>m1bj!O35</f>
        <v>0</v>
      </c>
      <c r="I82" t="s">
        <v>231</v>
      </c>
      <c r="J82">
        <f>m1bj!N58</f>
        <v>0.19999999999999996</v>
      </c>
      <c r="K82">
        <f>m1bj!O58</f>
        <v>0.2</v>
      </c>
      <c r="M82" t="s">
        <v>231</v>
      </c>
      <c r="N82">
        <f>m1bj!N82</f>
        <v>0.4</v>
      </c>
      <c r="O82">
        <f>m1bj!O82</f>
        <v>0.4</v>
      </c>
      <c r="Q82" t="s">
        <v>231</v>
      </c>
      <c r="R82">
        <f>m1bj!N105</f>
        <v>0.4</v>
      </c>
      <c r="S82">
        <f>m1bj!O105</f>
        <v>0.4</v>
      </c>
      <c r="U82" t="s">
        <v>231</v>
      </c>
      <c r="V82">
        <f>m1bj!N129</f>
        <v>0.19999999999999996</v>
      </c>
      <c r="W82">
        <f>m1bj!O129</f>
        <v>0.2</v>
      </c>
    </row>
    <row r="83" spans="1:26" x14ac:dyDescent="0.25">
      <c r="A83" t="s">
        <v>232</v>
      </c>
      <c r="B83">
        <f>m1bj!N13</f>
        <v>0</v>
      </c>
      <c r="C83">
        <f>m1bj!O13</f>
        <v>0</v>
      </c>
      <c r="E83" t="s">
        <v>232</v>
      </c>
      <c r="F83">
        <f>m1bj!N36</f>
        <v>0</v>
      </c>
      <c r="G83">
        <f>m1bj!O36</f>
        <v>0</v>
      </c>
      <c r="I83" t="s">
        <v>232</v>
      </c>
      <c r="J83">
        <f>m1bj!N59</f>
        <v>0.2</v>
      </c>
      <c r="K83">
        <f>m1bj!O59</f>
        <v>0.19999999999999996</v>
      </c>
      <c r="M83" t="s">
        <v>232</v>
      </c>
      <c r="N83">
        <f>m1bj!N83</f>
        <v>0</v>
      </c>
      <c r="O83">
        <f>m1bj!O83</f>
        <v>0</v>
      </c>
      <c r="Q83" t="s">
        <v>232</v>
      </c>
      <c r="R83">
        <f>m1bj!N106</f>
        <v>0</v>
      </c>
      <c r="S83">
        <f>m1bj!O106</f>
        <v>0</v>
      </c>
      <c r="U83" t="s">
        <v>232</v>
      </c>
      <c r="V83">
        <f>m1bj!N130</f>
        <v>0</v>
      </c>
      <c r="W83">
        <f>m1bj!O130</f>
        <v>0</v>
      </c>
    </row>
    <row r="84" spans="1:26" x14ac:dyDescent="0.25">
      <c r="A84" t="s">
        <v>233</v>
      </c>
      <c r="B84">
        <f>m1bj!N14</f>
        <v>0</v>
      </c>
      <c r="C84">
        <f>m1bj!O14</f>
        <v>0</v>
      </c>
      <c r="E84" t="s">
        <v>233</v>
      </c>
      <c r="F84">
        <f>m1bj!N37</f>
        <v>0</v>
      </c>
      <c r="G84">
        <f>m1bj!O37</f>
        <v>0</v>
      </c>
      <c r="I84" t="s">
        <v>233</v>
      </c>
      <c r="J84">
        <f>m1bj!N60</f>
        <v>0</v>
      </c>
      <c r="K84">
        <f>m1bj!O60</f>
        <v>0</v>
      </c>
      <c r="M84" t="s">
        <v>233</v>
      </c>
      <c r="N84">
        <f>m1bj!N84</f>
        <v>0</v>
      </c>
      <c r="O84">
        <f>m1bj!O84</f>
        <v>0</v>
      </c>
      <c r="Q84" t="s">
        <v>233</v>
      </c>
      <c r="R84">
        <f>m1bj!N107</f>
        <v>0</v>
      </c>
      <c r="S84">
        <f>m1bj!O107</f>
        <v>0</v>
      </c>
      <c r="U84" t="s">
        <v>233</v>
      </c>
      <c r="V84">
        <f>m1bj!N131</f>
        <v>0</v>
      </c>
      <c r="W84">
        <f>m1bj!O131</f>
        <v>0</v>
      </c>
    </row>
    <row r="85" spans="1:26" x14ac:dyDescent="0.25">
      <c r="A85" t="s">
        <v>234</v>
      </c>
      <c r="B85">
        <f>m1bj!N15</f>
        <v>0</v>
      </c>
      <c r="C85">
        <f>m1bj!O15</f>
        <v>0</v>
      </c>
      <c r="E85" t="s">
        <v>234</v>
      </c>
      <c r="F85">
        <f>m1bj!N38</f>
        <v>0</v>
      </c>
      <c r="G85">
        <f>m1bj!O38</f>
        <v>0</v>
      </c>
      <c r="I85" t="s">
        <v>234</v>
      </c>
      <c r="J85">
        <f>m1bj!N61</f>
        <v>0</v>
      </c>
      <c r="K85">
        <f>m1bj!O61</f>
        <v>0</v>
      </c>
      <c r="M85" t="s">
        <v>234</v>
      </c>
      <c r="N85">
        <f>m1bj!N85</f>
        <v>0</v>
      </c>
      <c r="O85">
        <f>m1bj!O85</f>
        <v>0</v>
      </c>
      <c r="Q85" t="s">
        <v>234</v>
      </c>
      <c r="R85">
        <f>m1bj!N108</f>
        <v>0</v>
      </c>
      <c r="S85">
        <f>m1bj!O108</f>
        <v>0</v>
      </c>
      <c r="U85" t="s">
        <v>234</v>
      </c>
      <c r="V85">
        <f>m1bj!N132</f>
        <v>0</v>
      </c>
      <c r="W85">
        <f>m1bj!O132</f>
        <v>0</v>
      </c>
    </row>
    <row r="86" spans="1:26" x14ac:dyDescent="0.25">
      <c r="A86" t="s">
        <v>235</v>
      </c>
      <c r="B86">
        <f>m1bj!N16</f>
        <v>0.4</v>
      </c>
      <c r="C86">
        <f>m1bj!O16</f>
        <v>0.4</v>
      </c>
      <c r="E86" t="s">
        <v>235</v>
      </c>
      <c r="F86">
        <f>m1bj!N39</f>
        <v>0</v>
      </c>
      <c r="G86">
        <f>m1bj!O39</f>
        <v>0</v>
      </c>
      <c r="I86" t="s">
        <v>235</v>
      </c>
      <c r="J86">
        <f>m1bj!N62</f>
        <v>0.4</v>
      </c>
      <c r="K86">
        <f>m1bj!O62</f>
        <v>0.4</v>
      </c>
      <c r="M86" t="s">
        <v>235</v>
      </c>
      <c r="N86">
        <f>m1bj!N86</f>
        <v>0.20000000000000007</v>
      </c>
      <c r="O86">
        <f>m1bj!O86</f>
        <v>0.19999999999999998</v>
      </c>
      <c r="Q86" t="s">
        <v>235</v>
      </c>
      <c r="R86">
        <f>m1bj!N109</f>
        <v>0.60000000000000009</v>
      </c>
      <c r="S86">
        <f>m1bj!O109</f>
        <v>0.6</v>
      </c>
      <c r="U86" t="s">
        <v>235</v>
      </c>
      <c r="V86">
        <f>m1bj!N133</f>
        <v>0.20000000000000007</v>
      </c>
      <c r="W86">
        <f>m1bj!O133</f>
        <v>0.19999999999999998</v>
      </c>
    </row>
    <row r="87" spans="1:26" x14ac:dyDescent="0.25">
      <c r="A87" t="s">
        <v>236</v>
      </c>
      <c r="B87">
        <f>m1bj!N17</f>
        <v>0.60000000000000009</v>
      </c>
      <c r="C87">
        <f>m1bj!O17</f>
        <v>0.6</v>
      </c>
      <c r="E87" t="s">
        <v>236</v>
      </c>
      <c r="F87">
        <f>m1bj!N40</f>
        <v>0.20000000000000007</v>
      </c>
      <c r="G87">
        <f>m1bj!O40</f>
        <v>0.19999999999999998</v>
      </c>
      <c r="I87" t="s">
        <v>236</v>
      </c>
      <c r="J87">
        <f>m1bj!N63</f>
        <v>0.20000000000000007</v>
      </c>
      <c r="K87">
        <f>m1bj!O63</f>
        <v>0.19999999999999998</v>
      </c>
      <c r="M87" t="s">
        <v>236</v>
      </c>
      <c r="N87">
        <f>m1bj!N87</f>
        <v>0.60000000000000009</v>
      </c>
      <c r="O87">
        <f>m1bj!O87</f>
        <v>0.6</v>
      </c>
      <c r="Q87" t="s">
        <v>236</v>
      </c>
      <c r="R87">
        <f>m1bj!N110</f>
        <v>0.60000000000000009</v>
      </c>
      <c r="S87">
        <f>m1bj!O110</f>
        <v>0.6</v>
      </c>
      <c r="U87" t="s">
        <v>236</v>
      </c>
      <c r="V87">
        <f>m1bj!N134</f>
        <v>0.20000000000000007</v>
      </c>
      <c r="W87">
        <f>m1bj!O134</f>
        <v>0.19999999999999998</v>
      </c>
    </row>
    <row r="88" spans="1:26" x14ac:dyDescent="0.25">
      <c r="A88" t="s">
        <v>237</v>
      </c>
      <c r="B88">
        <f>m1bj!N18</f>
        <v>0</v>
      </c>
      <c r="C88">
        <f>m1bj!O18</f>
        <v>0</v>
      </c>
      <c r="E88" t="s">
        <v>237</v>
      </c>
      <c r="F88">
        <f>m1bj!N41</f>
        <v>0</v>
      </c>
      <c r="G88">
        <f>m1bj!O41</f>
        <v>0</v>
      </c>
      <c r="I88" t="s">
        <v>237</v>
      </c>
      <c r="J88">
        <f>m1bj!N64</f>
        <v>0.4</v>
      </c>
      <c r="K88">
        <f>m1bj!O64</f>
        <v>0.4</v>
      </c>
      <c r="M88" t="s">
        <v>237</v>
      </c>
      <c r="N88">
        <f>m1bj!N88</f>
        <v>0.4</v>
      </c>
      <c r="O88">
        <f>m1bj!O88</f>
        <v>0.4</v>
      </c>
      <c r="Q88" t="s">
        <v>237</v>
      </c>
      <c r="R88">
        <f>m1bj!N111</f>
        <v>0.60000000000000009</v>
      </c>
      <c r="S88">
        <f>m1bj!O111</f>
        <v>0.6</v>
      </c>
      <c r="U88" t="s">
        <v>237</v>
      </c>
      <c r="V88">
        <f>m1bj!N135</f>
        <v>0.4</v>
      </c>
      <c r="W88">
        <f>m1bj!O135</f>
        <v>0.4</v>
      </c>
    </row>
    <row r="89" spans="1:26" x14ac:dyDescent="0.25">
      <c r="A89" t="s">
        <v>238</v>
      </c>
      <c r="B89">
        <f>m1bj!N19</f>
        <v>0.60000000000000009</v>
      </c>
      <c r="C89">
        <f>m1bj!O19</f>
        <v>0.6</v>
      </c>
      <c r="E89" t="s">
        <v>238</v>
      </c>
      <c r="F89">
        <f>m1bj!N42</f>
        <v>0.60000000000000009</v>
      </c>
      <c r="G89">
        <f>m1bj!O42</f>
        <v>0.6</v>
      </c>
      <c r="I89" t="s">
        <v>238</v>
      </c>
      <c r="J89">
        <f>m1bj!N65</f>
        <v>0.60000000000000009</v>
      </c>
      <c r="K89">
        <f>m1bj!O65</f>
        <v>0.6</v>
      </c>
      <c r="M89" t="s">
        <v>238</v>
      </c>
      <c r="N89">
        <f>m1bj!N89</f>
        <v>0.60000000000000009</v>
      </c>
      <c r="O89">
        <f>m1bj!O89</f>
        <v>0.6</v>
      </c>
      <c r="Q89" t="s">
        <v>238</v>
      </c>
      <c r="R89">
        <f>m1bj!N112</f>
        <v>0.60000000000000009</v>
      </c>
      <c r="S89">
        <f>m1bj!O112</f>
        <v>0.6</v>
      </c>
      <c r="U89" t="s">
        <v>238</v>
      </c>
      <c r="V89">
        <f>m1bj!N136</f>
        <v>0.60000000000000009</v>
      </c>
      <c r="W89">
        <f>m1bj!O136</f>
        <v>0.6</v>
      </c>
    </row>
    <row r="90" spans="1:26" x14ac:dyDescent="0.25">
      <c r="A90" t="s">
        <v>239</v>
      </c>
      <c r="B90">
        <f>m1bj!N20</f>
        <v>0.20000000000000007</v>
      </c>
      <c r="C90">
        <f>m1bj!O20</f>
        <v>0.19999999999999998</v>
      </c>
      <c r="E90" t="s">
        <v>239</v>
      </c>
      <c r="F90">
        <f>m1bj!N43</f>
        <v>0</v>
      </c>
      <c r="G90">
        <f>m1bj!O43</f>
        <v>0</v>
      </c>
      <c r="I90" t="s">
        <v>239</v>
      </c>
      <c r="J90">
        <f>m1bj!N66</f>
        <v>0.60000000000000009</v>
      </c>
      <c r="K90">
        <f>m1bj!O66</f>
        <v>0.6</v>
      </c>
      <c r="M90" t="s">
        <v>239</v>
      </c>
      <c r="N90">
        <f>m1bj!N90</f>
        <v>0</v>
      </c>
      <c r="O90">
        <f>m1bj!O90</f>
        <v>0</v>
      </c>
      <c r="Q90" t="s">
        <v>239</v>
      </c>
      <c r="R90">
        <f>m1bj!N113</f>
        <v>0.60000000000000009</v>
      </c>
      <c r="S90">
        <f>m1bj!O113</f>
        <v>0.6</v>
      </c>
      <c r="U90" t="s">
        <v>239</v>
      </c>
      <c r="V90">
        <f>m1bj!N137</f>
        <v>0</v>
      </c>
      <c r="W90">
        <f>m1bj!O137</f>
        <v>0</v>
      </c>
    </row>
    <row r="91" spans="1:26" x14ac:dyDescent="0.25">
      <c r="B91">
        <f>SUM(B72:B90)</f>
        <v>2.4000000000000004</v>
      </c>
      <c r="C91">
        <f t="shared" ref="C91" si="20">SUM(C72:C90)</f>
        <v>2.4</v>
      </c>
      <c r="F91">
        <f t="shared" ref="F91:G91" si="21">SUM(F72:F90)</f>
        <v>1.0000000000000002</v>
      </c>
      <c r="G91">
        <f t="shared" si="21"/>
        <v>0.99999999999999989</v>
      </c>
      <c r="J91">
        <f t="shared" ref="J91:K91" si="22">SUM(J72:J90)</f>
        <v>2.8000000000000003</v>
      </c>
      <c r="K91">
        <f t="shared" si="22"/>
        <v>2.8000000000000003</v>
      </c>
      <c r="N91">
        <f t="shared" ref="N91:O91" si="23">SUM(N72:N90)</f>
        <v>2.2000000000000002</v>
      </c>
      <c r="O91">
        <f t="shared" si="23"/>
        <v>2.2000000000000002</v>
      </c>
      <c r="R91">
        <f t="shared" ref="R91:S91" si="24">SUM(R72:R90)</f>
        <v>3.8000000000000003</v>
      </c>
      <c r="S91">
        <f t="shared" si="24"/>
        <v>3.8000000000000003</v>
      </c>
      <c r="V91">
        <f t="shared" ref="V91:W91" si="25">SUM(V72:V90)</f>
        <v>1.8000000000000003</v>
      </c>
      <c r="W91">
        <f t="shared" si="25"/>
        <v>1.7999999999999998</v>
      </c>
    </row>
    <row r="92" spans="1:26" x14ac:dyDescent="0.25">
      <c r="A92" t="s">
        <v>271</v>
      </c>
      <c r="D92">
        <f>1/19*(B91+C91)</f>
        <v>0.25263157894736843</v>
      </c>
      <c r="H92">
        <f t="shared" ref="H92" si="26">1/19*(F91+G91)</f>
        <v>0.10526315789473684</v>
      </c>
      <c r="L92">
        <f t="shared" ref="L92" si="27">1/19*(J91+K91)</f>
        <v>0.29473684210526319</v>
      </c>
      <c r="P92">
        <f t="shared" ref="P92" si="28">1/19*(N91+O91)</f>
        <v>0.23157894736842105</v>
      </c>
      <c r="T92">
        <f t="shared" ref="T92" si="29">1/19*(R91+S91)</f>
        <v>0.4</v>
      </c>
      <c r="X92">
        <f t="shared" ref="X92" si="30">1/19*(V91+W91)</f>
        <v>0.18947368421052632</v>
      </c>
      <c r="Y92" t="s">
        <v>272</v>
      </c>
      <c r="Z92" s="110">
        <f>MIN(B92:Y92)</f>
        <v>0.10526315789473684</v>
      </c>
    </row>
    <row r="94" spans="1:26" x14ac:dyDescent="0.25">
      <c r="A94" t="s">
        <v>219</v>
      </c>
      <c r="B94" t="s">
        <v>212</v>
      </c>
      <c r="C94" t="s">
        <v>214</v>
      </c>
      <c r="E94" t="s">
        <v>244</v>
      </c>
      <c r="F94" t="s">
        <v>212</v>
      </c>
      <c r="G94" t="s">
        <v>214</v>
      </c>
      <c r="I94" t="s">
        <v>250</v>
      </c>
      <c r="J94" t="s">
        <v>212</v>
      </c>
      <c r="K94" t="s">
        <v>214</v>
      </c>
      <c r="M94" t="s">
        <v>256</v>
      </c>
      <c r="N94" t="s">
        <v>212</v>
      </c>
      <c r="O94" t="s">
        <v>214</v>
      </c>
      <c r="Q94" t="s">
        <v>262</v>
      </c>
      <c r="R94" t="s">
        <v>212</v>
      </c>
      <c r="S94" t="s">
        <v>214</v>
      </c>
      <c r="U94" t="s">
        <v>268</v>
      </c>
      <c r="V94" t="s">
        <v>212</v>
      </c>
      <c r="W94" t="s">
        <v>214</v>
      </c>
    </row>
    <row r="95" spans="1:26" x14ac:dyDescent="0.25">
      <c r="A95" t="s">
        <v>221</v>
      </c>
      <c r="B95">
        <f>m1bj!R2</f>
        <v>0.2</v>
      </c>
      <c r="C95">
        <f>m1bj!S2</f>
        <v>0.19999999999999996</v>
      </c>
      <c r="E95" t="s">
        <v>221</v>
      </c>
      <c r="F95">
        <f>m1bj!R25</f>
        <v>0.2</v>
      </c>
      <c r="G95">
        <f>m1bj!S25</f>
        <v>0.19999999999999996</v>
      </c>
      <c r="I95" t="s">
        <v>221</v>
      </c>
      <c r="J95">
        <f>m1bj!R48</f>
        <v>0.2</v>
      </c>
      <c r="K95">
        <f>m1bj!S48</f>
        <v>0.19999999999999996</v>
      </c>
      <c r="M95" t="s">
        <v>221</v>
      </c>
      <c r="N95">
        <f>m1bj!R72</f>
        <v>0</v>
      </c>
      <c r="O95">
        <f>m1bj!S72</f>
        <v>0</v>
      </c>
      <c r="Q95" t="s">
        <v>221</v>
      </c>
      <c r="R95">
        <f>m1bj!R95</f>
        <v>0</v>
      </c>
      <c r="S95">
        <f>m1bj!S95</f>
        <v>0</v>
      </c>
      <c r="U95" t="s">
        <v>221</v>
      </c>
      <c r="V95">
        <f>m1bj!R119</f>
        <v>0.2</v>
      </c>
      <c r="W95">
        <f>m1bj!S119</f>
        <v>0.19999999999999996</v>
      </c>
    </row>
    <row r="96" spans="1:26" x14ac:dyDescent="0.25">
      <c r="A96" t="s">
        <v>222</v>
      </c>
      <c r="B96">
        <f>m1bj!R3</f>
        <v>0.39999999999999997</v>
      </c>
      <c r="C96">
        <f>m1bj!S3</f>
        <v>0.39999999999999997</v>
      </c>
      <c r="E96" t="s">
        <v>222</v>
      </c>
      <c r="F96">
        <f>m1bj!R26</f>
        <v>0.39999999999999997</v>
      </c>
      <c r="G96">
        <f>m1bj!S26</f>
        <v>0.39999999999999997</v>
      </c>
      <c r="I96" t="s">
        <v>222</v>
      </c>
      <c r="J96">
        <f>m1bj!R49</f>
        <v>0.39999999999999997</v>
      </c>
      <c r="K96">
        <f>m1bj!S49</f>
        <v>0.39999999999999997</v>
      </c>
      <c r="M96" t="s">
        <v>222</v>
      </c>
      <c r="N96">
        <f>m1bj!R73</f>
        <v>0.39999999999999997</v>
      </c>
      <c r="O96">
        <f>m1bj!S73</f>
        <v>0.39999999999999997</v>
      </c>
      <c r="Q96" t="s">
        <v>222</v>
      </c>
      <c r="R96">
        <f>m1bj!R96</f>
        <v>0.39999999999999997</v>
      </c>
      <c r="S96">
        <f>m1bj!S96</f>
        <v>0.39999999999999997</v>
      </c>
      <c r="U96" t="s">
        <v>222</v>
      </c>
      <c r="V96">
        <f>m1bj!R120</f>
        <v>0.39999999999999997</v>
      </c>
      <c r="W96">
        <f>m1bj!S120</f>
        <v>0.39999999999999997</v>
      </c>
    </row>
    <row r="97" spans="1:23" x14ac:dyDescent="0.25">
      <c r="A97" t="s">
        <v>223</v>
      </c>
      <c r="B97">
        <f>m1bj!R4</f>
        <v>0</v>
      </c>
      <c r="C97">
        <f>m1bj!S4</f>
        <v>0</v>
      </c>
      <c r="E97" t="s">
        <v>223</v>
      </c>
      <c r="F97">
        <f>m1bj!R27</f>
        <v>0</v>
      </c>
      <c r="G97">
        <f>m1bj!S27</f>
        <v>0</v>
      </c>
      <c r="I97" t="s">
        <v>223</v>
      </c>
      <c r="J97">
        <f>m1bj!R50</f>
        <v>0</v>
      </c>
      <c r="K97">
        <f>m1bj!S50</f>
        <v>0</v>
      </c>
      <c r="M97" t="s">
        <v>223</v>
      </c>
      <c r="N97">
        <f>m1bj!R74</f>
        <v>0</v>
      </c>
      <c r="O97">
        <f>m1bj!S74</f>
        <v>0</v>
      </c>
      <c r="Q97" t="s">
        <v>223</v>
      </c>
      <c r="R97">
        <f>m1bj!R97</f>
        <v>0</v>
      </c>
      <c r="S97">
        <f>m1bj!S97</f>
        <v>0</v>
      </c>
      <c r="U97" t="s">
        <v>223</v>
      </c>
      <c r="V97">
        <f>m1bj!R121</f>
        <v>0</v>
      </c>
      <c r="W97">
        <f>m1bj!S121</f>
        <v>0</v>
      </c>
    </row>
    <row r="98" spans="1:23" x14ac:dyDescent="0.25">
      <c r="A98" t="s">
        <v>224</v>
      </c>
      <c r="B98">
        <f>m1bj!R5</f>
        <v>0</v>
      </c>
      <c r="C98">
        <f>m1bj!S5</f>
        <v>0</v>
      </c>
      <c r="E98" t="s">
        <v>224</v>
      </c>
      <c r="F98">
        <f>m1bj!R28</f>
        <v>0</v>
      </c>
      <c r="G98">
        <f>m1bj!S28</f>
        <v>0</v>
      </c>
      <c r="I98" t="s">
        <v>224</v>
      </c>
      <c r="J98">
        <f>m1bj!R51</f>
        <v>0</v>
      </c>
      <c r="K98">
        <f>m1bj!S51</f>
        <v>0</v>
      </c>
      <c r="M98" t="s">
        <v>224</v>
      </c>
      <c r="N98">
        <f>m1bj!R75</f>
        <v>0</v>
      </c>
      <c r="O98">
        <f>m1bj!S75</f>
        <v>0</v>
      </c>
      <c r="Q98" t="s">
        <v>224</v>
      </c>
      <c r="R98">
        <f>m1bj!R98</f>
        <v>0</v>
      </c>
      <c r="S98">
        <f>m1bj!S98</f>
        <v>0</v>
      </c>
      <c r="U98" t="s">
        <v>224</v>
      </c>
      <c r="V98">
        <f>m1bj!R122</f>
        <v>0</v>
      </c>
      <c r="W98">
        <f>m1bj!S122</f>
        <v>0</v>
      </c>
    </row>
    <row r="99" spans="1:23" x14ac:dyDescent="0.25">
      <c r="A99" t="s">
        <v>225</v>
      </c>
      <c r="B99">
        <f>m1bj!R6</f>
        <v>0</v>
      </c>
      <c r="C99">
        <f>m1bj!S6</f>
        <v>0</v>
      </c>
      <c r="E99" t="s">
        <v>225</v>
      </c>
      <c r="F99">
        <f>m1bj!R29</f>
        <v>0</v>
      </c>
      <c r="G99">
        <f>m1bj!S29</f>
        <v>0</v>
      </c>
      <c r="I99" t="s">
        <v>225</v>
      </c>
      <c r="J99">
        <f>m1bj!R52</f>
        <v>0</v>
      </c>
      <c r="K99">
        <f>m1bj!S52</f>
        <v>0</v>
      </c>
      <c r="M99" t="s">
        <v>225</v>
      </c>
      <c r="N99">
        <f>m1bj!R76</f>
        <v>0</v>
      </c>
      <c r="O99">
        <f>m1bj!S76</f>
        <v>0</v>
      </c>
      <c r="Q99" t="s">
        <v>225</v>
      </c>
      <c r="R99">
        <f>m1bj!R99</f>
        <v>0</v>
      </c>
      <c r="S99">
        <f>m1bj!S99</f>
        <v>0</v>
      </c>
      <c r="U99" t="s">
        <v>225</v>
      </c>
      <c r="V99">
        <f>m1bj!R123</f>
        <v>0</v>
      </c>
      <c r="W99">
        <f>m1bj!S123</f>
        <v>0</v>
      </c>
    </row>
    <row r="100" spans="1:23" x14ac:dyDescent="0.25">
      <c r="A100" t="s">
        <v>226</v>
      </c>
      <c r="B100">
        <f>m1bj!R7</f>
        <v>0</v>
      </c>
      <c r="C100">
        <f>m1bj!S7</f>
        <v>0</v>
      </c>
      <c r="E100" t="s">
        <v>226</v>
      </c>
      <c r="F100">
        <f>m1bj!R30</f>
        <v>0.2</v>
      </c>
      <c r="G100">
        <f>m1bj!S30</f>
        <v>0.19999999999999996</v>
      </c>
      <c r="I100" t="s">
        <v>226</v>
      </c>
      <c r="J100">
        <f>m1bj!R53</f>
        <v>0.2</v>
      </c>
      <c r="K100">
        <f>m1bj!S53</f>
        <v>0.19999999999999996</v>
      </c>
      <c r="M100" t="s">
        <v>226</v>
      </c>
      <c r="N100">
        <f>m1bj!R77</f>
        <v>0.2</v>
      </c>
      <c r="O100">
        <f>m1bj!S77</f>
        <v>0.19999999999999996</v>
      </c>
      <c r="Q100" t="s">
        <v>226</v>
      </c>
      <c r="R100">
        <f>m1bj!R100</f>
        <v>0.19999999999999996</v>
      </c>
      <c r="S100">
        <f>m1bj!S100</f>
        <v>0.2</v>
      </c>
      <c r="U100" t="s">
        <v>226</v>
      </c>
      <c r="V100">
        <f>m1bj!R124</f>
        <v>0.2</v>
      </c>
      <c r="W100">
        <f>m1bj!S124</f>
        <v>0.19999999999999996</v>
      </c>
    </row>
    <row r="101" spans="1:23" x14ac:dyDescent="0.25">
      <c r="A101" t="s">
        <v>227</v>
      </c>
      <c r="B101">
        <f>m1bj!R8</f>
        <v>0</v>
      </c>
      <c r="C101">
        <f>m1bj!S8</f>
        <v>0</v>
      </c>
      <c r="E101" t="s">
        <v>227</v>
      </c>
      <c r="F101">
        <f>m1bj!R31</f>
        <v>0</v>
      </c>
      <c r="G101">
        <f>m1bj!S31</f>
        <v>0</v>
      </c>
      <c r="I101" t="s">
        <v>227</v>
      </c>
      <c r="J101">
        <f>m1bj!R54</f>
        <v>0</v>
      </c>
      <c r="K101">
        <f>m1bj!S54</f>
        <v>0</v>
      </c>
      <c r="M101" t="s">
        <v>227</v>
      </c>
      <c r="N101">
        <f>m1bj!R78</f>
        <v>0</v>
      </c>
      <c r="O101">
        <f>m1bj!S78</f>
        <v>0</v>
      </c>
      <c r="Q101" t="s">
        <v>227</v>
      </c>
      <c r="R101">
        <f>m1bj!R101</f>
        <v>0</v>
      </c>
      <c r="S101">
        <f>m1bj!S101</f>
        <v>0</v>
      </c>
      <c r="U101" t="s">
        <v>227</v>
      </c>
      <c r="V101">
        <f>m1bj!R125</f>
        <v>0</v>
      </c>
      <c r="W101">
        <f>m1bj!S125</f>
        <v>0</v>
      </c>
    </row>
    <row r="102" spans="1:23" x14ac:dyDescent="0.25">
      <c r="A102" t="s">
        <v>228</v>
      </c>
      <c r="B102">
        <f>m1bj!R9</f>
        <v>0.2</v>
      </c>
      <c r="C102">
        <f>m1bj!S9</f>
        <v>0.19999999999999996</v>
      </c>
      <c r="E102" t="s">
        <v>228</v>
      </c>
      <c r="F102">
        <f>m1bj!R32</f>
        <v>0.2</v>
      </c>
      <c r="G102">
        <f>m1bj!S32</f>
        <v>0.19999999999999996</v>
      </c>
      <c r="I102" t="s">
        <v>228</v>
      </c>
      <c r="J102">
        <f>m1bj!R55</f>
        <v>0.2</v>
      </c>
      <c r="K102">
        <f>m1bj!S55</f>
        <v>0.19999999999999996</v>
      </c>
      <c r="M102" t="s">
        <v>228</v>
      </c>
      <c r="N102">
        <f>m1bj!R79</f>
        <v>0.2</v>
      </c>
      <c r="O102">
        <f>m1bj!S79</f>
        <v>0.19999999999999996</v>
      </c>
      <c r="Q102" t="s">
        <v>228</v>
      </c>
      <c r="R102">
        <f>m1bj!R102</f>
        <v>0.2</v>
      </c>
      <c r="S102">
        <f>m1bj!S102</f>
        <v>0.19999999999999996</v>
      </c>
      <c r="U102" t="s">
        <v>228</v>
      </c>
      <c r="V102">
        <f>m1bj!R126</f>
        <v>0.2</v>
      </c>
      <c r="W102">
        <f>m1bj!S126</f>
        <v>0.19999999999999996</v>
      </c>
    </row>
    <row r="103" spans="1:23" x14ac:dyDescent="0.25">
      <c r="A103" t="s">
        <v>229</v>
      </c>
      <c r="B103">
        <f>m1bj!R10</f>
        <v>0</v>
      </c>
      <c r="C103">
        <f>m1bj!S10</f>
        <v>0</v>
      </c>
      <c r="E103" t="s">
        <v>229</v>
      </c>
      <c r="F103">
        <f>m1bj!R33</f>
        <v>0.2</v>
      </c>
      <c r="G103">
        <f>m1bj!S33</f>
        <v>0.19999999999999996</v>
      </c>
      <c r="I103" t="s">
        <v>229</v>
      </c>
      <c r="J103">
        <f>m1bj!R56</f>
        <v>0.2</v>
      </c>
      <c r="K103">
        <f>m1bj!S56</f>
        <v>0.19999999999999996</v>
      </c>
      <c r="M103" t="s">
        <v>229</v>
      </c>
      <c r="N103">
        <f>m1bj!R80</f>
        <v>0.2</v>
      </c>
      <c r="O103">
        <f>m1bj!S80</f>
        <v>0.19999999999999996</v>
      </c>
      <c r="Q103" t="s">
        <v>229</v>
      </c>
      <c r="R103">
        <f>m1bj!R103</f>
        <v>0.2</v>
      </c>
      <c r="S103">
        <f>m1bj!S103</f>
        <v>0.19999999999999996</v>
      </c>
      <c r="U103" t="s">
        <v>229</v>
      </c>
      <c r="V103">
        <f>m1bj!R127</f>
        <v>0.2</v>
      </c>
      <c r="W103">
        <f>m1bj!S127</f>
        <v>0.19999999999999996</v>
      </c>
    </row>
    <row r="104" spans="1:23" x14ac:dyDescent="0.25">
      <c r="A104" t="s">
        <v>230</v>
      </c>
      <c r="B104">
        <f>m1bj!R11</f>
        <v>0</v>
      </c>
      <c r="C104">
        <f>m1bj!S11</f>
        <v>0</v>
      </c>
      <c r="E104" t="s">
        <v>230</v>
      </c>
      <c r="F104">
        <f>m1bj!R34</f>
        <v>0</v>
      </c>
      <c r="G104">
        <f>m1bj!S34</f>
        <v>0</v>
      </c>
      <c r="I104" t="s">
        <v>230</v>
      </c>
      <c r="J104">
        <f>m1bj!R57</f>
        <v>0</v>
      </c>
      <c r="K104">
        <f>m1bj!S57</f>
        <v>0</v>
      </c>
      <c r="M104" t="s">
        <v>230</v>
      </c>
      <c r="N104">
        <f>m1bj!R81</f>
        <v>0</v>
      </c>
      <c r="O104">
        <f>m1bj!S81</f>
        <v>0</v>
      </c>
      <c r="Q104" t="s">
        <v>230</v>
      </c>
      <c r="R104">
        <f>m1bj!R104</f>
        <v>0</v>
      </c>
      <c r="S104">
        <f>m1bj!S104</f>
        <v>0</v>
      </c>
      <c r="U104" t="s">
        <v>230</v>
      </c>
      <c r="V104">
        <f>m1bj!R128</f>
        <v>0</v>
      </c>
      <c r="W104">
        <f>m1bj!S128</f>
        <v>0</v>
      </c>
    </row>
    <row r="105" spans="1:23" x14ac:dyDescent="0.25">
      <c r="A105" t="s">
        <v>231</v>
      </c>
      <c r="B105">
        <f>m1bj!R12</f>
        <v>0.19999999999999996</v>
      </c>
      <c r="C105">
        <f>m1bj!S12</f>
        <v>0.2</v>
      </c>
      <c r="E105" t="s">
        <v>231</v>
      </c>
      <c r="F105">
        <f>m1bj!R35</f>
        <v>0.19999999999999996</v>
      </c>
      <c r="G105">
        <f>m1bj!S35</f>
        <v>0.2</v>
      </c>
      <c r="I105" t="s">
        <v>231</v>
      </c>
      <c r="J105">
        <f>m1bj!R58</f>
        <v>0</v>
      </c>
      <c r="K105">
        <f>m1bj!S58</f>
        <v>0</v>
      </c>
      <c r="M105" t="s">
        <v>231</v>
      </c>
      <c r="N105">
        <f>m1bj!R82</f>
        <v>0.20000000000000007</v>
      </c>
      <c r="O105">
        <f>m1bj!S82</f>
        <v>0.19999999999999998</v>
      </c>
      <c r="Q105" t="s">
        <v>231</v>
      </c>
      <c r="R105">
        <f>m1bj!R105</f>
        <v>0.20000000000000007</v>
      </c>
      <c r="S105">
        <f>m1bj!S105</f>
        <v>0.19999999999999998</v>
      </c>
      <c r="U105" t="s">
        <v>231</v>
      </c>
      <c r="V105">
        <f>m1bj!R129</f>
        <v>0</v>
      </c>
      <c r="W105">
        <f>m1bj!S129</f>
        <v>0</v>
      </c>
    </row>
    <row r="106" spans="1:23" x14ac:dyDescent="0.25">
      <c r="A106" t="s">
        <v>232</v>
      </c>
      <c r="B106">
        <f>m1bj!R13</f>
        <v>0</v>
      </c>
      <c r="C106">
        <f>m1bj!S13</f>
        <v>0</v>
      </c>
      <c r="E106" t="s">
        <v>232</v>
      </c>
      <c r="F106">
        <f>m1bj!R36</f>
        <v>0</v>
      </c>
      <c r="G106">
        <f>m1bj!S36</f>
        <v>0</v>
      </c>
      <c r="I106" t="s">
        <v>232</v>
      </c>
      <c r="J106">
        <f>m1bj!R59</f>
        <v>0.2</v>
      </c>
      <c r="K106">
        <f>m1bj!S59</f>
        <v>0.19999999999999996</v>
      </c>
      <c r="M106" t="s">
        <v>232</v>
      </c>
      <c r="N106">
        <f>m1bj!R83</f>
        <v>0</v>
      </c>
      <c r="O106">
        <f>m1bj!S83</f>
        <v>0</v>
      </c>
      <c r="Q106" t="s">
        <v>232</v>
      </c>
      <c r="R106">
        <f>m1bj!R106</f>
        <v>0</v>
      </c>
      <c r="S106">
        <f>m1bj!S106</f>
        <v>0</v>
      </c>
      <c r="U106" t="s">
        <v>232</v>
      </c>
      <c r="V106">
        <f>m1bj!R130</f>
        <v>0</v>
      </c>
      <c r="W106">
        <f>m1bj!S130</f>
        <v>0</v>
      </c>
    </row>
    <row r="107" spans="1:23" x14ac:dyDescent="0.25">
      <c r="A107" t="s">
        <v>233</v>
      </c>
      <c r="B107">
        <f>m1bj!R14</f>
        <v>0</v>
      </c>
      <c r="C107">
        <f>m1bj!S14</f>
        <v>0</v>
      </c>
      <c r="E107" t="s">
        <v>233</v>
      </c>
      <c r="F107">
        <f>m1bj!R37</f>
        <v>0</v>
      </c>
      <c r="G107">
        <f>m1bj!S37</f>
        <v>0</v>
      </c>
      <c r="I107" t="s">
        <v>233</v>
      </c>
      <c r="J107">
        <f>m1bj!R60</f>
        <v>0</v>
      </c>
      <c r="K107">
        <f>m1bj!S60</f>
        <v>0</v>
      </c>
      <c r="M107" t="s">
        <v>233</v>
      </c>
      <c r="N107">
        <f>m1bj!R84</f>
        <v>0</v>
      </c>
      <c r="O107">
        <f>m1bj!S84</f>
        <v>0</v>
      </c>
      <c r="Q107" t="s">
        <v>233</v>
      </c>
      <c r="R107">
        <f>m1bj!R107</f>
        <v>0</v>
      </c>
      <c r="S107">
        <f>m1bj!S107</f>
        <v>0</v>
      </c>
      <c r="U107" t="s">
        <v>233</v>
      </c>
      <c r="V107">
        <f>m1bj!R131</f>
        <v>0</v>
      </c>
      <c r="W107">
        <f>m1bj!S131</f>
        <v>0</v>
      </c>
    </row>
    <row r="108" spans="1:23" x14ac:dyDescent="0.25">
      <c r="A108" t="s">
        <v>234</v>
      </c>
      <c r="B108">
        <f>m1bj!R15</f>
        <v>0</v>
      </c>
      <c r="C108">
        <f>m1bj!S15</f>
        <v>0</v>
      </c>
      <c r="E108" t="s">
        <v>234</v>
      </c>
      <c r="F108">
        <f>m1bj!R38</f>
        <v>0</v>
      </c>
      <c r="G108">
        <f>m1bj!S38</f>
        <v>0</v>
      </c>
      <c r="I108" t="s">
        <v>234</v>
      </c>
      <c r="J108">
        <f>m1bj!R61</f>
        <v>0</v>
      </c>
      <c r="K108">
        <f>m1bj!S61</f>
        <v>0</v>
      </c>
      <c r="M108" t="s">
        <v>234</v>
      </c>
      <c r="N108">
        <f>m1bj!R85</f>
        <v>0</v>
      </c>
      <c r="O108">
        <f>m1bj!S85</f>
        <v>0</v>
      </c>
      <c r="Q108" t="s">
        <v>234</v>
      </c>
      <c r="R108">
        <f>m1bj!R108</f>
        <v>0</v>
      </c>
      <c r="S108">
        <f>m1bj!S108</f>
        <v>0</v>
      </c>
      <c r="U108" t="s">
        <v>234</v>
      </c>
      <c r="V108">
        <f>m1bj!R132</f>
        <v>0</v>
      </c>
      <c r="W108">
        <f>m1bj!S132</f>
        <v>0</v>
      </c>
    </row>
    <row r="109" spans="1:23" x14ac:dyDescent="0.25">
      <c r="A109" t="s">
        <v>235</v>
      </c>
      <c r="B109">
        <f>m1bj!R16</f>
        <v>0.4</v>
      </c>
      <c r="C109">
        <f>m1bj!S16</f>
        <v>0.4</v>
      </c>
      <c r="E109" t="s">
        <v>235</v>
      </c>
      <c r="F109">
        <f>m1bj!R39</f>
        <v>0</v>
      </c>
      <c r="G109">
        <f>m1bj!S39</f>
        <v>0</v>
      </c>
      <c r="I109" t="s">
        <v>235</v>
      </c>
      <c r="J109">
        <f>m1bj!R62</f>
        <v>0.4</v>
      </c>
      <c r="K109">
        <f>m1bj!S62</f>
        <v>0.4</v>
      </c>
      <c r="M109" t="s">
        <v>235</v>
      </c>
      <c r="N109">
        <f>m1bj!R86</f>
        <v>0.20000000000000007</v>
      </c>
      <c r="O109">
        <f>m1bj!S86</f>
        <v>0.19999999999999998</v>
      </c>
      <c r="Q109" t="s">
        <v>235</v>
      </c>
      <c r="R109">
        <f>m1bj!R109</f>
        <v>0.60000000000000009</v>
      </c>
      <c r="S109">
        <f>m1bj!S109</f>
        <v>0.6</v>
      </c>
      <c r="U109" t="s">
        <v>235</v>
      </c>
      <c r="V109">
        <f>m1bj!R133</f>
        <v>0.20000000000000007</v>
      </c>
      <c r="W109">
        <f>m1bj!S133</f>
        <v>0.19999999999999998</v>
      </c>
    </row>
    <row r="110" spans="1:23" x14ac:dyDescent="0.25">
      <c r="A110" t="s">
        <v>236</v>
      </c>
      <c r="B110">
        <f>m1bj!R17</f>
        <v>0.39999999999999997</v>
      </c>
      <c r="C110">
        <f>m1bj!S17</f>
        <v>0.39999999999999997</v>
      </c>
      <c r="E110" t="s">
        <v>236</v>
      </c>
      <c r="F110">
        <f>m1bj!R40</f>
        <v>0</v>
      </c>
      <c r="G110">
        <f>m1bj!S40</f>
        <v>0</v>
      </c>
      <c r="I110" t="s">
        <v>236</v>
      </c>
      <c r="J110">
        <f>m1bj!R63</f>
        <v>0</v>
      </c>
      <c r="K110">
        <f>m1bj!S63</f>
        <v>0</v>
      </c>
      <c r="M110" t="s">
        <v>236</v>
      </c>
      <c r="N110">
        <f>m1bj!R87</f>
        <v>0.39999999999999997</v>
      </c>
      <c r="O110">
        <f>m1bj!S87</f>
        <v>0.39999999999999997</v>
      </c>
      <c r="Q110" t="s">
        <v>236</v>
      </c>
      <c r="R110">
        <f>m1bj!R110</f>
        <v>0.39999999999999997</v>
      </c>
      <c r="S110">
        <f>m1bj!S110</f>
        <v>0.39999999999999997</v>
      </c>
      <c r="U110" t="s">
        <v>236</v>
      </c>
      <c r="V110">
        <f>m1bj!R134</f>
        <v>0</v>
      </c>
      <c r="W110">
        <f>m1bj!S134</f>
        <v>0</v>
      </c>
    </row>
    <row r="111" spans="1:23" x14ac:dyDescent="0.25">
      <c r="A111" t="s">
        <v>237</v>
      </c>
      <c r="B111">
        <f>m1bj!R18</f>
        <v>0</v>
      </c>
      <c r="C111">
        <f>m1bj!S18</f>
        <v>0</v>
      </c>
      <c r="E111" t="s">
        <v>237</v>
      </c>
      <c r="F111">
        <f>m1bj!R41</f>
        <v>0</v>
      </c>
      <c r="G111">
        <f>m1bj!S41</f>
        <v>0</v>
      </c>
      <c r="I111" t="s">
        <v>237</v>
      </c>
      <c r="J111">
        <f>m1bj!R64</f>
        <v>0.4</v>
      </c>
      <c r="K111">
        <f>m1bj!S64</f>
        <v>0.4</v>
      </c>
      <c r="M111" t="s">
        <v>237</v>
      </c>
      <c r="N111">
        <f>m1bj!R88</f>
        <v>0.4</v>
      </c>
      <c r="O111">
        <f>m1bj!S88</f>
        <v>0.4</v>
      </c>
      <c r="Q111" t="s">
        <v>237</v>
      </c>
      <c r="R111">
        <f>m1bj!R111</f>
        <v>0.60000000000000009</v>
      </c>
      <c r="S111">
        <f>m1bj!S111</f>
        <v>0.6</v>
      </c>
      <c r="U111" t="s">
        <v>237</v>
      </c>
      <c r="V111">
        <f>m1bj!R135</f>
        <v>0.4</v>
      </c>
      <c r="W111">
        <f>m1bj!S135</f>
        <v>0.4</v>
      </c>
    </row>
    <row r="112" spans="1:23" x14ac:dyDescent="0.25">
      <c r="A112" t="s">
        <v>238</v>
      </c>
      <c r="B112">
        <f>m1bj!R19</f>
        <v>0.39999999999999997</v>
      </c>
      <c r="C112">
        <f>m1bj!S19</f>
        <v>0.39999999999999997</v>
      </c>
      <c r="E112" t="s">
        <v>238</v>
      </c>
      <c r="F112">
        <f>m1bj!R42</f>
        <v>0.39999999999999997</v>
      </c>
      <c r="G112">
        <f>m1bj!S42</f>
        <v>0.39999999999999997</v>
      </c>
      <c r="I112" t="s">
        <v>238</v>
      </c>
      <c r="J112">
        <f>m1bj!R65</f>
        <v>0.39999999999999997</v>
      </c>
      <c r="K112">
        <f>m1bj!S65</f>
        <v>0.39999999999999997</v>
      </c>
      <c r="M112" t="s">
        <v>238</v>
      </c>
      <c r="N112">
        <f>m1bj!R89</f>
        <v>0.39999999999999997</v>
      </c>
      <c r="O112">
        <f>m1bj!S89</f>
        <v>0.39999999999999997</v>
      </c>
      <c r="Q112" t="s">
        <v>238</v>
      </c>
      <c r="R112">
        <f>m1bj!R112</f>
        <v>0.39999999999999997</v>
      </c>
      <c r="S112">
        <f>m1bj!S112</f>
        <v>0.39999999999999997</v>
      </c>
      <c r="U112" t="s">
        <v>238</v>
      </c>
      <c r="V112">
        <f>m1bj!R136</f>
        <v>0.39999999999999997</v>
      </c>
      <c r="W112">
        <f>m1bj!S136</f>
        <v>0.39999999999999997</v>
      </c>
    </row>
    <row r="113" spans="1:26" x14ac:dyDescent="0.25">
      <c r="A113" t="s">
        <v>239</v>
      </c>
      <c r="B113">
        <f>m1bj!R20</f>
        <v>0.20000000000000007</v>
      </c>
      <c r="C113">
        <f>m1bj!S20</f>
        <v>0.19999999999999998</v>
      </c>
      <c r="E113" t="s">
        <v>239</v>
      </c>
      <c r="F113">
        <f>m1bj!R43</f>
        <v>0</v>
      </c>
      <c r="G113">
        <f>m1bj!S43</f>
        <v>0</v>
      </c>
      <c r="I113" t="s">
        <v>239</v>
      </c>
      <c r="J113">
        <f>m1bj!R66</f>
        <v>0.60000000000000009</v>
      </c>
      <c r="K113">
        <f>m1bj!S66</f>
        <v>0.6</v>
      </c>
      <c r="M113" t="s">
        <v>239</v>
      </c>
      <c r="N113">
        <f>m1bj!R90</f>
        <v>0</v>
      </c>
      <c r="O113">
        <f>m1bj!S90</f>
        <v>0</v>
      </c>
      <c r="Q113" t="s">
        <v>239</v>
      </c>
      <c r="R113">
        <f>m1bj!R113</f>
        <v>0.60000000000000009</v>
      </c>
      <c r="S113">
        <f>m1bj!S113</f>
        <v>0.6</v>
      </c>
      <c r="U113" t="s">
        <v>239</v>
      </c>
      <c r="V113">
        <f>m1bj!R137</f>
        <v>0</v>
      </c>
      <c r="W113">
        <f>m1bj!S137</f>
        <v>0</v>
      </c>
    </row>
    <row r="114" spans="1:26" x14ac:dyDescent="0.25">
      <c r="B114">
        <f>SUM(B95:B113)</f>
        <v>2.4</v>
      </c>
      <c r="C114">
        <f t="shared" ref="C114" si="31">SUM(C95:C113)</f>
        <v>2.4</v>
      </c>
      <c r="F114">
        <f t="shared" ref="F114:G114" si="32">SUM(F95:F113)</f>
        <v>1.7999999999999998</v>
      </c>
      <c r="G114">
        <f t="shared" si="32"/>
        <v>1.7999999999999996</v>
      </c>
      <c r="J114">
        <f t="shared" ref="J114:K114" si="33">SUM(J95:J113)</f>
        <v>3.1999999999999997</v>
      </c>
      <c r="K114">
        <f t="shared" si="33"/>
        <v>3.1999999999999997</v>
      </c>
      <c r="N114">
        <f t="shared" ref="N114:O114" si="34">SUM(N95:N113)</f>
        <v>2.6</v>
      </c>
      <c r="O114">
        <f t="shared" si="34"/>
        <v>2.5999999999999996</v>
      </c>
      <c r="R114">
        <f t="shared" ref="R114:S114" si="35">SUM(R95:R113)</f>
        <v>3.8</v>
      </c>
      <c r="S114">
        <f t="shared" si="35"/>
        <v>3.8</v>
      </c>
      <c r="V114">
        <f t="shared" ref="V114:W114" si="36">SUM(V95:V113)</f>
        <v>2.1999999999999997</v>
      </c>
      <c r="W114">
        <f t="shared" si="36"/>
        <v>2.1999999999999997</v>
      </c>
    </row>
    <row r="115" spans="1:26" x14ac:dyDescent="0.25">
      <c r="A115" t="s">
        <v>271</v>
      </c>
      <c r="D115">
        <f>1/19*(B114+C114)</f>
        <v>0.25263157894736837</v>
      </c>
      <c r="H115">
        <f t="shared" ref="H115" si="37">1/19*(F114+G114)</f>
        <v>0.18947368421052629</v>
      </c>
      <c r="L115">
        <f t="shared" ref="L115" si="38">1/19*(J114+K114)</f>
        <v>0.33684210526315783</v>
      </c>
      <c r="P115">
        <f t="shared" ref="P115" si="39">1/19*(N114+O114)</f>
        <v>0.27368421052631575</v>
      </c>
      <c r="T115">
        <f t="shared" ref="T115" si="40">1/19*(R114+S114)</f>
        <v>0.39999999999999997</v>
      </c>
      <c r="X115">
        <f t="shared" ref="X115" si="41">1/19*(V114+W114)</f>
        <v>0.23157894736842102</v>
      </c>
      <c r="Y115" t="s">
        <v>272</v>
      </c>
      <c r="Z115" s="110">
        <f>MIN(B115:Y115)</f>
        <v>0.18947368421052629</v>
      </c>
    </row>
    <row r="116" spans="1:26" x14ac:dyDescent="0.25">
      <c r="Z116" s="110"/>
    </row>
    <row r="117" spans="1:26" x14ac:dyDescent="0.25">
      <c r="Z117" s="110"/>
    </row>
    <row r="118" spans="1:26" x14ac:dyDescent="0.25">
      <c r="A118" t="s">
        <v>220</v>
      </c>
      <c r="B118" t="s">
        <v>212</v>
      </c>
      <c r="C118" t="s">
        <v>214</v>
      </c>
      <c r="E118" t="s">
        <v>245</v>
      </c>
      <c r="F118" t="s">
        <v>212</v>
      </c>
      <c r="G118" t="s">
        <v>214</v>
      </c>
      <c r="I118" t="s">
        <v>251</v>
      </c>
      <c r="J118" t="s">
        <v>212</v>
      </c>
      <c r="K118" t="s">
        <v>214</v>
      </c>
      <c r="M118" t="s">
        <v>257</v>
      </c>
      <c r="N118" t="s">
        <v>212</v>
      </c>
      <c r="O118" t="s">
        <v>214</v>
      </c>
      <c r="Q118" t="s">
        <v>263</v>
      </c>
      <c r="R118" t="s">
        <v>212</v>
      </c>
      <c r="S118" t="s">
        <v>214</v>
      </c>
      <c r="U118" t="s">
        <v>269</v>
      </c>
      <c r="V118" t="s">
        <v>212</v>
      </c>
      <c r="W118" t="s">
        <v>214</v>
      </c>
    </row>
    <row r="119" spans="1:26" x14ac:dyDescent="0.25">
      <c r="A119" t="s">
        <v>221</v>
      </c>
      <c r="B119">
        <f>m1bj!V2</f>
        <v>0</v>
      </c>
      <c r="C119">
        <f>m1bj!W2</f>
        <v>0</v>
      </c>
      <c r="E119" t="s">
        <v>221</v>
      </c>
      <c r="F119">
        <f>m1bj!V25</f>
        <v>0</v>
      </c>
      <c r="G119">
        <f>m1bj!W25</f>
        <v>0</v>
      </c>
      <c r="I119" t="s">
        <v>221</v>
      </c>
      <c r="J119">
        <f>m1bj!V48</f>
        <v>0</v>
      </c>
      <c r="K119">
        <f>m1bj!W48</f>
        <v>0</v>
      </c>
      <c r="M119" t="s">
        <v>221</v>
      </c>
      <c r="N119">
        <f>m1bj!V72</f>
        <v>0.2</v>
      </c>
      <c r="O119">
        <f>m1bj!W72</f>
        <v>0.19999999999999996</v>
      </c>
      <c r="Q119" t="s">
        <v>221</v>
      </c>
      <c r="R119">
        <f>m1bj!V95</f>
        <v>0.2</v>
      </c>
      <c r="S119">
        <f>m1bj!W95</f>
        <v>0.19999999999999996</v>
      </c>
      <c r="U119" t="s">
        <v>221</v>
      </c>
      <c r="V119">
        <f>m1bj!V119</f>
        <v>0</v>
      </c>
      <c r="W119">
        <f>m1bj!W119</f>
        <v>0</v>
      </c>
    </row>
    <row r="120" spans="1:26" x14ac:dyDescent="0.25">
      <c r="A120" t="s">
        <v>222</v>
      </c>
      <c r="B120">
        <f>m1bj!V3</f>
        <v>0.60000000000000009</v>
      </c>
      <c r="C120">
        <f>m1bj!W3</f>
        <v>0.6</v>
      </c>
      <c r="E120" t="s">
        <v>222</v>
      </c>
      <c r="F120">
        <f>m1bj!V26</f>
        <v>0.60000000000000009</v>
      </c>
      <c r="G120">
        <f>m1bj!W26</f>
        <v>0.6</v>
      </c>
      <c r="I120" t="s">
        <v>222</v>
      </c>
      <c r="J120">
        <f>m1bj!V49</f>
        <v>0.60000000000000009</v>
      </c>
      <c r="K120">
        <f>m1bj!W49</f>
        <v>0.6</v>
      </c>
      <c r="M120" t="s">
        <v>222</v>
      </c>
      <c r="N120">
        <f>m1bj!V73</f>
        <v>0.60000000000000009</v>
      </c>
      <c r="O120">
        <f>m1bj!W73</f>
        <v>0.6</v>
      </c>
      <c r="Q120" t="s">
        <v>222</v>
      </c>
      <c r="R120">
        <f>m1bj!V96</f>
        <v>0.60000000000000009</v>
      </c>
      <c r="S120">
        <f>m1bj!W96</f>
        <v>0.6</v>
      </c>
      <c r="U120" t="s">
        <v>222</v>
      </c>
      <c r="V120">
        <f>m1bj!V120</f>
        <v>0.60000000000000009</v>
      </c>
      <c r="W120">
        <f>m1bj!W120</f>
        <v>0.6</v>
      </c>
    </row>
    <row r="121" spans="1:26" x14ac:dyDescent="0.25">
      <c r="A121" t="s">
        <v>223</v>
      </c>
      <c r="B121">
        <f>m1bj!V4</f>
        <v>0</v>
      </c>
      <c r="C121">
        <f>m1bj!W4</f>
        <v>0</v>
      </c>
      <c r="E121" t="s">
        <v>223</v>
      </c>
      <c r="F121">
        <f>m1bj!V27</f>
        <v>0</v>
      </c>
      <c r="G121">
        <f>m1bj!W27</f>
        <v>0</v>
      </c>
      <c r="I121" t="s">
        <v>223</v>
      </c>
      <c r="J121">
        <f>m1bj!V50</f>
        <v>0</v>
      </c>
      <c r="K121">
        <f>m1bj!W50</f>
        <v>0</v>
      </c>
      <c r="M121" t="s">
        <v>223</v>
      </c>
      <c r="N121">
        <f>m1bj!V74</f>
        <v>0</v>
      </c>
      <c r="O121">
        <f>m1bj!W74</f>
        <v>0</v>
      </c>
      <c r="Q121" t="s">
        <v>223</v>
      </c>
      <c r="R121">
        <f>m1bj!V97</f>
        <v>0</v>
      </c>
      <c r="S121">
        <f>m1bj!W97</f>
        <v>0</v>
      </c>
      <c r="U121" t="s">
        <v>223</v>
      </c>
      <c r="V121">
        <f>m1bj!V121</f>
        <v>0</v>
      </c>
      <c r="W121">
        <f>m1bj!W121</f>
        <v>0</v>
      </c>
    </row>
    <row r="122" spans="1:26" x14ac:dyDescent="0.25">
      <c r="A122" t="s">
        <v>224</v>
      </c>
      <c r="B122">
        <f>m1bj!V5</f>
        <v>0</v>
      </c>
      <c r="C122">
        <f>m1bj!W5</f>
        <v>0</v>
      </c>
      <c r="E122" t="s">
        <v>224</v>
      </c>
      <c r="F122">
        <f>m1bj!V28</f>
        <v>0</v>
      </c>
      <c r="G122">
        <f>m1bj!W28</f>
        <v>0</v>
      </c>
      <c r="I122" t="s">
        <v>224</v>
      </c>
      <c r="J122">
        <f>m1bj!V51</f>
        <v>0</v>
      </c>
      <c r="K122">
        <f>m1bj!W51</f>
        <v>0</v>
      </c>
      <c r="M122" t="s">
        <v>224</v>
      </c>
      <c r="N122">
        <f>m1bj!V75</f>
        <v>0</v>
      </c>
      <c r="O122">
        <f>m1bj!W75</f>
        <v>0</v>
      </c>
      <c r="Q122" t="s">
        <v>224</v>
      </c>
      <c r="R122">
        <f>m1bj!V98</f>
        <v>0</v>
      </c>
      <c r="S122">
        <f>m1bj!W98</f>
        <v>0</v>
      </c>
      <c r="U122" t="s">
        <v>224</v>
      </c>
      <c r="V122">
        <f>m1bj!V122</f>
        <v>0</v>
      </c>
      <c r="W122">
        <f>m1bj!W122</f>
        <v>0</v>
      </c>
    </row>
    <row r="123" spans="1:26" x14ac:dyDescent="0.25">
      <c r="A123" t="s">
        <v>225</v>
      </c>
      <c r="B123">
        <f>m1bj!V6</f>
        <v>0.2</v>
      </c>
      <c r="C123">
        <f>m1bj!W6</f>
        <v>0.19999999999999996</v>
      </c>
      <c r="E123" t="s">
        <v>225</v>
      </c>
      <c r="F123">
        <f>m1bj!V29</f>
        <v>0.2</v>
      </c>
      <c r="G123">
        <f>m1bj!W29</f>
        <v>0.19999999999999996</v>
      </c>
      <c r="I123" t="s">
        <v>225</v>
      </c>
      <c r="J123">
        <f>m1bj!V52</f>
        <v>0.2</v>
      </c>
      <c r="K123">
        <f>m1bj!W52</f>
        <v>0.19999999999999996</v>
      </c>
      <c r="M123" t="s">
        <v>225</v>
      </c>
      <c r="N123">
        <f>m1bj!V76</f>
        <v>0.2</v>
      </c>
      <c r="O123">
        <f>m1bj!W76</f>
        <v>0.19999999999999996</v>
      </c>
      <c r="Q123" t="s">
        <v>225</v>
      </c>
      <c r="R123">
        <f>m1bj!V99</f>
        <v>0.2</v>
      </c>
      <c r="S123">
        <f>m1bj!W99</f>
        <v>0.19999999999999996</v>
      </c>
      <c r="U123" t="s">
        <v>225</v>
      </c>
      <c r="V123">
        <f>m1bj!V123</f>
        <v>0.2</v>
      </c>
      <c r="W123">
        <f>m1bj!W123</f>
        <v>0.19999999999999996</v>
      </c>
    </row>
    <row r="124" spans="1:26" x14ac:dyDescent="0.25">
      <c r="A124" t="s">
        <v>226</v>
      </c>
      <c r="B124">
        <f>m1bj!V7</f>
        <v>0.2</v>
      </c>
      <c r="C124">
        <f>m1bj!W7</f>
        <v>0.19999999999999996</v>
      </c>
      <c r="E124" t="s">
        <v>226</v>
      </c>
      <c r="F124">
        <f>m1bj!V30</f>
        <v>0</v>
      </c>
      <c r="G124">
        <f>m1bj!W30</f>
        <v>0</v>
      </c>
      <c r="I124" t="s">
        <v>226</v>
      </c>
      <c r="J124">
        <f>m1bj!V53</f>
        <v>0</v>
      </c>
      <c r="K124">
        <f>m1bj!W53</f>
        <v>0</v>
      </c>
      <c r="M124" t="s">
        <v>226</v>
      </c>
      <c r="N124">
        <f>m1bj!V77</f>
        <v>0</v>
      </c>
      <c r="O124">
        <f>m1bj!W77</f>
        <v>0</v>
      </c>
      <c r="Q124" t="s">
        <v>226</v>
      </c>
      <c r="R124">
        <f>m1bj!V100</f>
        <v>0.39999999999999997</v>
      </c>
      <c r="S124">
        <f>m1bj!W100</f>
        <v>0.39999999999999997</v>
      </c>
      <c r="U124" t="s">
        <v>226</v>
      </c>
      <c r="V124">
        <f>m1bj!V124</f>
        <v>0</v>
      </c>
      <c r="W124">
        <f>m1bj!W124</f>
        <v>0</v>
      </c>
    </row>
    <row r="125" spans="1:26" x14ac:dyDescent="0.25">
      <c r="A125" t="s">
        <v>227</v>
      </c>
      <c r="B125">
        <f>m1bj!V8</f>
        <v>0.39999999999999997</v>
      </c>
      <c r="C125">
        <f>m1bj!W8</f>
        <v>0.39999999999999997</v>
      </c>
      <c r="E125" t="s">
        <v>227</v>
      </c>
      <c r="F125">
        <f>m1bj!V31</f>
        <v>0.39999999999999997</v>
      </c>
      <c r="G125">
        <f>m1bj!W31</f>
        <v>0.39999999999999997</v>
      </c>
      <c r="I125" t="s">
        <v>227</v>
      </c>
      <c r="J125">
        <f>m1bj!V54</f>
        <v>0.39999999999999997</v>
      </c>
      <c r="K125">
        <f>m1bj!W54</f>
        <v>0.39999999999999997</v>
      </c>
      <c r="M125" t="s">
        <v>227</v>
      </c>
      <c r="N125">
        <f>m1bj!V78</f>
        <v>0.39999999999999997</v>
      </c>
      <c r="O125">
        <f>m1bj!W78</f>
        <v>0.39999999999999997</v>
      </c>
      <c r="Q125" t="s">
        <v>227</v>
      </c>
      <c r="R125">
        <f>m1bj!V101</f>
        <v>0.39999999999999997</v>
      </c>
      <c r="S125">
        <f>m1bj!W101</f>
        <v>0.39999999999999997</v>
      </c>
      <c r="U125" t="s">
        <v>227</v>
      </c>
      <c r="V125">
        <f>m1bj!V125</f>
        <v>0.39999999999999997</v>
      </c>
      <c r="W125">
        <f>m1bj!W125</f>
        <v>0.39999999999999997</v>
      </c>
    </row>
    <row r="126" spans="1:26" x14ac:dyDescent="0.25">
      <c r="A126" t="s">
        <v>228</v>
      </c>
      <c r="B126">
        <f>m1bj!V9</f>
        <v>0</v>
      </c>
      <c r="C126">
        <f>m1bj!W9</f>
        <v>0</v>
      </c>
      <c r="E126" t="s">
        <v>228</v>
      </c>
      <c r="F126">
        <f>m1bj!V32</f>
        <v>0</v>
      </c>
      <c r="G126">
        <f>m1bj!W32</f>
        <v>0</v>
      </c>
      <c r="I126" t="s">
        <v>228</v>
      </c>
      <c r="J126">
        <f>m1bj!V55</f>
        <v>0</v>
      </c>
      <c r="K126">
        <f>m1bj!W55</f>
        <v>0</v>
      </c>
      <c r="M126" t="s">
        <v>228</v>
      </c>
      <c r="N126">
        <f>m1bj!V79</f>
        <v>0</v>
      </c>
      <c r="O126">
        <f>m1bj!W79</f>
        <v>0</v>
      </c>
      <c r="Q126" t="s">
        <v>228</v>
      </c>
      <c r="R126">
        <f>m1bj!V102</f>
        <v>0</v>
      </c>
      <c r="S126">
        <f>m1bj!W102</f>
        <v>0</v>
      </c>
      <c r="U126" t="s">
        <v>228</v>
      </c>
      <c r="V126">
        <f>m1bj!V126</f>
        <v>0</v>
      </c>
      <c r="W126">
        <f>m1bj!W126</f>
        <v>0</v>
      </c>
    </row>
    <row r="127" spans="1:26" x14ac:dyDescent="0.25">
      <c r="A127" t="s">
        <v>229</v>
      </c>
      <c r="B127">
        <f>m1bj!V10</f>
        <v>0</v>
      </c>
      <c r="C127">
        <f>m1bj!W10</f>
        <v>0</v>
      </c>
      <c r="E127" t="s">
        <v>229</v>
      </c>
      <c r="F127">
        <f>m1bj!V33</f>
        <v>0.2</v>
      </c>
      <c r="G127">
        <f>m1bj!W33</f>
        <v>0.19999999999999996</v>
      </c>
      <c r="I127" t="s">
        <v>229</v>
      </c>
      <c r="J127">
        <f>m1bj!V56</f>
        <v>0.2</v>
      </c>
      <c r="K127">
        <f>m1bj!W56</f>
        <v>0.19999999999999996</v>
      </c>
      <c r="M127" t="s">
        <v>229</v>
      </c>
      <c r="N127">
        <f>m1bj!V80</f>
        <v>0.2</v>
      </c>
      <c r="O127">
        <f>m1bj!W80</f>
        <v>0.19999999999999996</v>
      </c>
      <c r="Q127" t="s">
        <v>229</v>
      </c>
      <c r="R127">
        <f>m1bj!V103</f>
        <v>0.2</v>
      </c>
      <c r="S127">
        <f>m1bj!W103</f>
        <v>0.19999999999999996</v>
      </c>
      <c r="U127" t="s">
        <v>229</v>
      </c>
      <c r="V127">
        <f>m1bj!V127</f>
        <v>0.2</v>
      </c>
      <c r="W127">
        <f>m1bj!W127</f>
        <v>0.19999999999999996</v>
      </c>
    </row>
    <row r="128" spans="1:26" x14ac:dyDescent="0.25">
      <c r="A128" t="s">
        <v>230</v>
      </c>
      <c r="B128">
        <f>m1bj!V11</f>
        <v>0</v>
      </c>
      <c r="C128">
        <f>m1bj!W11</f>
        <v>0</v>
      </c>
      <c r="E128" t="s">
        <v>230</v>
      </c>
      <c r="F128">
        <f>m1bj!V34</f>
        <v>0</v>
      </c>
      <c r="G128">
        <f>m1bj!W34</f>
        <v>0</v>
      </c>
      <c r="I128" t="s">
        <v>230</v>
      </c>
      <c r="J128">
        <f>m1bj!V57</f>
        <v>0</v>
      </c>
      <c r="K128">
        <f>m1bj!W57</f>
        <v>0</v>
      </c>
      <c r="M128" t="s">
        <v>230</v>
      </c>
      <c r="N128">
        <f>m1bj!V81</f>
        <v>0</v>
      </c>
      <c r="O128">
        <f>m1bj!W81</f>
        <v>0</v>
      </c>
      <c r="Q128" t="s">
        <v>230</v>
      </c>
      <c r="R128">
        <f>m1bj!V104</f>
        <v>0</v>
      </c>
      <c r="S128">
        <f>m1bj!W104</f>
        <v>0</v>
      </c>
      <c r="U128" t="s">
        <v>230</v>
      </c>
      <c r="V128">
        <f>m1bj!V128</f>
        <v>0</v>
      </c>
      <c r="W128">
        <f>m1bj!W128</f>
        <v>0</v>
      </c>
    </row>
    <row r="129" spans="1:26" x14ac:dyDescent="0.25">
      <c r="A129" t="s">
        <v>231</v>
      </c>
      <c r="B129">
        <f>m1bj!V12</f>
        <v>0.19999999999999996</v>
      </c>
      <c r="C129">
        <f>m1bj!W12</f>
        <v>0.2</v>
      </c>
      <c r="E129" t="s">
        <v>231</v>
      </c>
      <c r="F129">
        <f>m1bj!V35</f>
        <v>0.19999999999999996</v>
      </c>
      <c r="G129">
        <f>m1bj!W35</f>
        <v>0.2</v>
      </c>
      <c r="I129" t="s">
        <v>231</v>
      </c>
      <c r="J129">
        <f>m1bj!V58</f>
        <v>0</v>
      </c>
      <c r="K129">
        <f>m1bj!W58</f>
        <v>0</v>
      </c>
      <c r="M129" t="s">
        <v>231</v>
      </c>
      <c r="N129">
        <f>m1bj!V82</f>
        <v>0.20000000000000007</v>
      </c>
      <c r="O129">
        <f>m1bj!W82</f>
        <v>0.19999999999999998</v>
      </c>
      <c r="Q129" t="s">
        <v>231</v>
      </c>
      <c r="R129">
        <f>m1bj!V105</f>
        <v>0.20000000000000007</v>
      </c>
      <c r="S129">
        <f>m1bj!W105</f>
        <v>0.19999999999999998</v>
      </c>
      <c r="U129" t="s">
        <v>231</v>
      </c>
      <c r="V129">
        <f>m1bj!V129</f>
        <v>0</v>
      </c>
      <c r="W129">
        <f>m1bj!W129</f>
        <v>0</v>
      </c>
    </row>
    <row r="130" spans="1:26" x14ac:dyDescent="0.25">
      <c r="A130" t="s">
        <v>232</v>
      </c>
      <c r="B130">
        <f>m1bj!V13</f>
        <v>0</v>
      </c>
      <c r="C130">
        <f>m1bj!W13</f>
        <v>0</v>
      </c>
      <c r="E130" t="s">
        <v>232</v>
      </c>
      <c r="F130">
        <f>m1bj!V36</f>
        <v>0</v>
      </c>
      <c r="G130">
        <f>m1bj!W36</f>
        <v>0</v>
      </c>
      <c r="I130" t="s">
        <v>232</v>
      </c>
      <c r="J130">
        <f>m1bj!V59</f>
        <v>0.2</v>
      </c>
      <c r="K130">
        <f>m1bj!W59</f>
        <v>0.19999999999999996</v>
      </c>
      <c r="M130" t="s">
        <v>232</v>
      </c>
      <c r="N130">
        <f>m1bj!V83</f>
        <v>0</v>
      </c>
      <c r="O130">
        <f>m1bj!W83</f>
        <v>0</v>
      </c>
      <c r="Q130" t="s">
        <v>232</v>
      </c>
      <c r="R130">
        <f>m1bj!V106</f>
        <v>0</v>
      </c>
      <c r="S130">
        <f>m1bj!W106</f>
        <v>0</v>
      </c>
      <c r="U130" t="s">
        <v>232</v>
      </c>
      <c r="V130">
        <f>m1bj!V130</f>
        <v>0</v>
      </c>
      <c r="W130">
        <f>m1bj!W130</f>
        <v>0</v>
      </c>
    </row>
    <row r="131" spans="1:26" x14ac:dyDescent="0.25">
      <c r="A131" t="s">
        <v>233</v>
      </c>
      <c r="B131">
        <f>m1bj!V14</f>
        <v>0</v>
      </c>
      <c r="C131">
        <f>m1bj!W14</f>
        <v>0</v>
      </c>
      <c r="E131" t="s">
        <v>233</v>
      </c>
      <c r="F131">
        <f>m1bj!V37</f>
        <v>0</v>
      </c>
      <c r="G131">
        <f>m1bj!W37</f>
        <v>0</v>
      </c>
      <c r="I131" t="s">
        <v>233</v>
      </c>
      <c r="J131">
        <f>m1bj!V60</f>
        <v>0</v>
      </c>
      <c r="K131">
        <f>m1bj!W60</f>
        <v>0</v>
      </c>
      <c r="M131" t="s">
        <v>233</v>
      </c>
      <c r="N131">
        <f>m1bj!V84</f>
        <v>0</v>
      </c>
      <c r="O131">
        <f>m1bj!W84</f>
        <v>0</v>
      </c>
      <c r="Q131" t="s">
        <v>233</v>
      </c>
      <c r="R131">
        <f>m1bj!V107</f>
        <v>0</v>
      </c>
      <c r="S131">
        <f>m1bj!W107</f>
        <v>0</v>
      </c>
      <c r="U131" t="s">
        <v>233</v>
      </c>
      <c r="V131">
        <f>m1bj!V131</f>
        <v>0</v>
      </c>
      <c r="W131">
        <f>m1bj!W131</f>
        <v>0</v>
      </c>
    </row>
    <row r="132" spans="1:26" x14ac:dyDescent="0.25">
      <c r="A132" t="s">
        <v>234</v>
      </c>
      <c r="B132">
        <f>m1bj!V15</f>
        <v>0</v>
      </c>
      <c r="C132">
        <f>m1bj!W15</f>
        <v>0</v>
      </c>
      <c r="E132" t="s">
        <v>234</v>
      </c>
      <c r="F132">
        <f>m1bj!V38</f>
        <v>0</v>
      </c>
      <c r="G132">
        <f>m1bj!W38</f>
        <v>0</v>
      </c>
      <c r="I132" t="s">
        <v>234</v>
      </c>
      <c r="J132">
        <f>m1bj!V61</f>
        <v>0</v>
      </c>
      <c r="K132">
        <f>m1bj!W61</f>
        <v>0</v>
      </c>
      <c r="M132" t="s">
        <v>234</v>
      </c>
      <c r="N132">
        <f>m1bj!V85</f>
        <v>0</v>
      </c>
      <c r="O132">
        <f>m1bj!W85</f>
        <v>0</v>
      </c>
      <c r="Q132" t="s">
        <v>234</v>
      </c>
      <c r="R132">
        <f>m1bj!V108</f>
        <v>0</v>
      </c>
      <c r="S132">
        <f>m1bj!W108</f>
        <v>0</v>
      </c>
      <c r="U132" t="s">
        <v>234</v>
      </c>
      <c r="V132">
        <f>m1bj!V132</f>
        <v>0</v>
      </c>
      <c r="W132">
        <f>m1bj!W132</f>
        <v>0</v>
      </c>
    </row>
    <row r="133" spans="1:26" x14ac:dyDescent="0.25">
      <c r="A133" t="s">
        <v>235</v>
      </c>
      <c r="B133">
        <f>m1bj!V16</f>
        <v>0</v>
      </c>
      <c r="C133">
        <f>m1bj!W16</f>
        <v>0</v>
      </c>
      <c r="E133" t="s">
        <v>235</v>
      </c>
      <c r="F133">
        <f>m1bj!V39</f>
        <v>0.4</v>
      </c>
      <c r="G133">
        <f>m1bj!W39</f>
        <v>0.4</v>
      </c>
      <c r="I133" t="s">
        <v>235</v>
      </c>
      <c r="J133">
        <f>m1bj!V62</f>
        <v>0</v>
      </c>
      <c r="K133">
        <f>m1bj!W62</f>
        <v>0</v>
      </c>
      <c r="M133" t="s">
        <v>235</v>
      </c>
      <c r="N133">
        <f>m1bj!V86</f>
        <v>0.19999999999999996</v>
      </c>
      <c r="O133">
        <f>m1bj!W86</f>
        <v>0.2</v>
      </c>
      <c r="Q133" t="s">
        <v>235</v>
      </c>
      <c r="R133">
        <f>m1bj!V109</f>
        <v>0.2</v>
      </c>
      <c r="S133">
        <f>m1bj!W109</f>
        <v>0.19999999999999996</v>
      </c>
      <c r="U133" t="s">
        <v>235</v>
      </c>
      <c r="V133">
        <f>m1bj!V133</f>
        <v>0.19999999999999996</v>
      </c>
      <c r="W133">
        <f>m1bj!W133</f>
        <v>0.2</v>
      </c>
    </row>
    <row r="134" spans="1:26" x14ac:dyDescent="0.25">
      <c r="A134" t="s">
        <v>236</v>
      </c>
      <c r="B134">
        <f>m1bj!V17</f>
        <v>0</v>
      </c>
      <c r="C134">
        <f>m1bj!W17</f>
        <v>0</v>
      </c>
      <c r="E134" t="s">
        <v>236</v>
      </c>
      <c r="F134">
        <f>m1bj!V40</f>
        <v>0.39999999999999997</v>
      </c>
      <c r="G134">
        <f>m1bj!W40</f>
        <v>0.39999999999999997</v>
      </c>
      <c r="I134" t="s">
        <v>236</v>
      </c>
      <c r="J134">
        <f>m1bj!V63</f>
        <v>0.39999999999999997</v>
      </c>
      <c r="K134">
        <f>m1bj!W63</f>
        <v>0.39999999999999997</v>
      </c>
      <c r="M134" t="s">
        <v>236</v>
      </c>
      <c r="N134">
        <f>m1bj!V87</f>
        <v>0</v>
      </c>
      <c r="O134">
        <f>m1bj!W87</f>
        <v>0</v>
      </c>
      <c r="Q134" t="s">
        <v>236</v>
      </c>
      <c r="R134">
        <f>m1bj!V110</f>
        <v>0</v>
      </c>
      <c r="S134">
        <f>m1bj!W110</f>
        <v>0</v>
      </c>
      <c r="U134" t="s">
        <v>236</v>
      </c>
      <c r="V134">
        <f>m1bj!V134</f>
        <v>0.39999999999999997</v>
      </c>
      <c r="W134">
        <f>m1bj!W134</f>
        <v>0.39999999999999997</v>
      </c>
    </row>
    <row r="135" spans="1:26" x14ac:dyDescent="0.25">
      <c r="A135" t="s">
        <v>237</v>
      </c>
      <c r="B135">
        <f>m1bj!V18</f>
        <v>0.4</v>
      </c>
      <c r="C135">
        <f>m1bj!W18</f>
        <v>0.4</v>
      </c>
      <c r="E135" t="s">
        <v>237</v>
      </c>
      <c r="F135">
        <f>m1bj!V41</f>
        <v>0.4</v>
      </c>
      <c r="G135">
        <f>m1bj!W41</f>
        <v>0.4</v>
      </c>
      <c r="I135" t="s">
        <v>237</v>
      </c>
      <c r="J135">
        <f>m1bj!V64</f>
        <v>0</v>
      </c>
      <c r="K135">
        <f>m1bj!W64</f>
        <v>0</v>
      </c>
      <c r="M135" t="s">
        <v>237</v>
      </c>
      <c r="N135">
        <f>m1bj!V88</f>
        <v>0</v>
      </c>
      <c r="O135">
        <f>m1bj!W88</f>
        <v>0</v>
      </c>
      <c r="Q135" t="s">
        <v>237</v>
      </c>
      <c r="R135">
        <f>m1bj!V111</f>
        <v>0.2</v>
      </c>
      <c r="S135">
        <f>m1bj!W111</f>
        <v>0.19999999999999996</v>
      </c>
      <c r="U135" t="s">
        <v>237</v>
      </c>
      <c r="V135">
        <f>m1bj!V135</f>
        <v>0</v>
      </c>
      <c r="W135">
        <f>m1bj!W135</f>
        <v>0</v>
      </c>
    </row>
    <row r="136" spans="1:26" x14ac:dyDescent="0.25">
      <c r="A136" t="s">
        <v>238</v>
      </c>
      <c r="B136">
        <f>m1bj!V19</f>
        <v>0.39999999999999997</v>
      </c>
      <c r="C136">
        <f>m1bj!W19</f>
        <v>0.39999999999999997</v>
      </c>
      <c r="E136" t="s">
        <v>238</v>
      </c>
      <c r="F136">
        <f>m1bj!V42</f>
        <v>0.39999999999999997</v>
      </c>
      <c r="G136">
        <f>m1bj!W42</f>
        <v>0.39999999999999997</v>
      </c>
      <c r="I136" t="s">
        <v>238</v>
      </c>
      <c r="J136">
        <f>m1bj!V65</f>
        <v>0.39999999999999997</v>
      </c>
      <c r="K136">
        <f>m1bj!W65</f>
        <v>0.39999999999999997</v>
      </c>
      <c r="M136" t="s">
        <v>238</v>
      </c>
      <c r="N136">
        <f>m1bj!V89</f>
        <v>0.39999999999999997</v>
      </c>
      <c r="O136">
        <f>m1bj!W89</f>
        <v>0.39999999999999997</v>
      </c>
      <c r="Q136" t="s">
        <v>238</v>
      </c>
      <c r="R136">
        <f>m1bj!V112</f>
        <v>0.39999999999999997</v>
      </c>
      <c r="S136">
        <f>m1bj!W112</f>
        <v>0.39999999999999997</v>
      </c>
      <c r="U136" t="s">
        <v>238</v>
      </c>
      <c r="V136">
        <f>m1bj!V136</f>
        <v>0.39999999999999997</v>
      </c>
      <c r="W136">
        <f>m1bj!W136</f>
        <v>0.39999999999999997</v>
      </c>
    </row>
    <row r="137" spans="1:26" x14ac:dyDescent="0.25">
      <c r="A137" t="s">
        <v>239</v>
      </c>
      <c r="B137">
        <f>m1bj!V20</f>
        <v>0.20000000000000007</v>
      </c>
      <c r="C137">
        <f>m1bj!W20</f>
        <v>0.19999999999999998</v>
      </c>
      <c r="E137" t="s">
        <v>239</v>
      </c>
      <c r="F137">
        <f>m1bj!V43</f>
        <v>0</v>
      </c>
      <c r="G137">
        <f>m1bj!W43</f>
        <v>0</v>
      </c>
      <c r="I137" t="s">
        <v>239</v>
      </c>
      <c r="J137">
        <f>m1bj!V66</f>
        <v>0.60000000000000009</v>
      </c>
      <c r="K137">
        <f>m1bj!W66</f>
        <v>0.6</v>
      </c>
      <c r="M137" t="s">
        <v>239</v>
      </c>
      <c r="N137">
        <f>m1bj!V90</f>
        <v>0</v>
      </c>
      <c r="O137">
        <f>m1bj!W90</f>
        <v>0</v>
      </c>
      <c r="Q137" t="s">
        <v>239</v>
      </c>
      <c r="R137">
        <f>m1bj!V113</f>
        <v>0.60000000000000009</v>
      </c>
      <c r="S137">
        <f>m1bj!W113</f>
        <v>0.6</v>
      </c>
      <c r="U137" t="s">
        <v>239</v>
      </c>
      <c r="V137">
        <f>m1bj!V137</f>
        <v>0</v>
      </c>
      <c r="W137">
        <f>m1bj!W137</f>
        <v>0</v>
      </c>
    </row>
    <row r="138" spans="1:26" x14ac:dyDescent="0.25">
      <c r="B138">
        <f>SUM(B119:B137)</f>
        <v>2.6</v>
      </c>
      <c r="C138">
        <f t="shared" ref="C138" si="42">SUM(C119:C137)</f>
        <v>2.6</v>
      </c>
      <c r="F138">
        <f t="shared" ref="F138:G138" si="43">SUM(F119:F137)</f>
        <v>3.1999999999999997</v>
      </c>
      <c r="G138">
        <f t="shared" si="43"/>
        <v>3.1999999999999997</v>
      </c>
      <c r="J138">
        <f t="shared" ref="J138:K138" si="44">SUM(J119:J137)</f>
        <v>3</v>
      </c>
      <c r="K138">
        <f t="shared" si="44"/>
        <v>3</v>
      </c>
      <c r="N138">
        <f t="shared" ref="N138:O138" si="45">SUM(N119:N137)</f>
        <v>2.4</v>
      </c>
      <c r="O138">
        <f t="shared" si="45"/>
        <v>2.4</v>
      </c>
      <c r="R138">
        <f t="shared" ref="R138:S138" si="46">SUM(R119:R137)</f>
        <v>3.6</v>
      </c>
      <c r="S138">
        <f t="shared" si="46"/>
        <v>3.5999999999999996</v>
      </c>
      <c r="V138">
        <f t="shared" ref="V138:W138" si="47">SUM(V119:V137)</f>
        <v>2.4</v>
      </c>
      <c r="W138">
        <f t="shared" si="47"/>
        <v>2.4</v>
      </c>
    </row>
    <row r="139" spans="1:26" x14ac:dyDescent="0.25">
      <c r="A139" t="s">
        <v>271</v>
      </c>
      <c r="D139">
        <f>1/19*(B138+C138)</f>
        <v>0.27368421052631581</v>
      </c>
      <c r="H139">
        <f t="shared" ref="H139" si="48">1/19*(F138+G138)</f>
        <v>0.33684210526315783</v>
      </c>
      <c r="L139">
        <f t="shared" ref="L139" si="49">1/19*(J138+K138)</f>
        <v>0.31578947368421051</v>
      </c>
      <c r="P139">
        <f t="shared" ref="P139" si="50">1/19*(N138+O138)</f>
        <v>0.25263157894736837</v>
      </c>
      <c r="T139">
        <f t="shared" ref="T139" si="51">1/19*(R138+S138)</f>
        <v>0.37894736842105259</v>
      </c>
      <c r="X139">
        <f t="shared" ref="X139" si="52">1/19*(V138+W138)</f>
        <v>0.25263157894736837</v>
      </c>
      <c r="Y139" t="s">
        <v>272</v>
      </c>
      <c r="Z139" s="110">
        <f>MIN(B139:Y139)</f>
        <v>0.25263157894736837</v>
      </c>
    </row>
    <row r="142" spans="1:26" x14ac:dyDescent="0.25">
      <c r="L142" t="s">
        <v>280</v>
      </c>
      <c r="N142">
        <f>Z22</f>
        <v>0.18947368421052629</v>
      </c>
    </row>
    <row r="143" spans="1:26" x14ac:dyDescent="0.25">
      <c r="L143" t="s">
        <v>281</v>
      </c>
      <c r="N143">
        <f>Z45</f>
        <v>0.23157894736842105</v>
      </c>
    </row>
    <row r="144" spans="1:26" x14ac:dyDescent="0.25">
      <c r="L144" t="s">
        <v>282</v>
      </c>
      <c r="N144">
        <f>Z68</f>
        <v>0.16842105263157892</v>
      </c>
    </row>
    <row r="145" spans="6:14" x14ac:dyDescent="0.25">
      <c r="L145" t="s">
        <v>283</v>
      </c>
      <c r="N145">
        <f>Z92</f>
        <v>0.10526315789473684</v>
      </c>
    </row>
    <row r="146" spans="6:14" x14ac:dyDescent="0.25">
      <c r="L146" t="s">
        <v>284</v>
      </c>
      <c r="N146">
        <f>Z115</f>
        <v>0.18947368421052629</v>
      </c>
    </row>
    <row r="147" spans="6:14" x14ac:dyDescent="0.25">
      <c r="L147" t="s">
        <v>285</v>
      </c>
      <c r="N147">
        <f>Z139</f>
        <v>0.25263157894736837</v>
      </c>
    </row>
    <row r="148" spans="6:14" x14ac:dyDescent="0.25">
      <c r="L148" t="s">
        <v>279</v>
      </c>
      <c r="N148" s="177">
        <f>SUM(N142:N147)</f>
        <v>1.1368421052631577</v>
      </c>
    </row>
    <row r="151" spans="6:14" ht="45" x14ac:dyDescent="0.25">
      <c r="F151" s="178" t="s">
        <v>286</v>
      </c>
      <c r="G151" s="178" t="s">
        <v>287</v>
      </c>
      <c r="H151" s="164" t="s">
        <v>322</v>
      </c>
    </row>
    <row r="152" spans="6:14" x14ac:dyDescent="0.25">
      <c r="F152" s="164">
        <f>m1bj!N148</f>
        <v>1.368421052631579</v>
      </c>
      <c r="G152" s="179">
        <f>N148</f>
        <v>1.1368421052631577</v>
      </c>
      <c r="H152" s="164">
        <f>1/24*(F152+G152)</f>
        <v>0.10438596491228069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B3288-8EF1-47FB-8079-7DF7D37EFE51}">
  <sheetPr>
    <tabColor rgb="FF0070C0"/>
  </sheetPr>
  <dimension ref="A1:Z148"/>
  <sheetViews>
    <sheetView workbookViewId="0">
      <selection activeCell="B2" sqref="B2"/>
    </sheetView>
  </sheetViews>
  <sheetFormatPr defaultRowHeight="15" x14ac:dyDescent="0.25"/>
  <cols>
    <col min="1" max="1" width="10.85546875" customWidth="1"/>
    <col min="2" max="2" width="14" customWidth="1"/>
    <col min="26" max="26" width="12.5703125" customWidth="1"/>
  </cols>
  <sheetData>
    <row r="1" spans="1:23" x14ac:dyDescent="0.25">
      <c r="A1" t="s">
        <v>215</v>
      </c>
      <c r="B1" t="s">
        <v>212</v>
      </c>
      <c r="C1" t="s">
        <v>214</v>
      </c>
      <c r="E1" t="s">
        <v>216</v>
      </c>
      <c r="F1" t="s">
        <v>212</v>
      </c>
      <c r="G1" t="s">
        <v>214</v>
      </c>
      <c r="I1" t="s">
        <v>217</v>
      </c>
      <c r="J1" t="s">
        <v>212</v>
      </c>
      <c r="K1" t="s">
        <v>214</v>
      </c>
      <c r="M1" t="s">
        <v>218</v>
      </c>
      <c r="N1" t="s">
        <v>212</v>
      </c>
      <c r="O1" t="s">
        <v>214</v>
      </c>
      <c r="Q1" t="s">
        <v>219</v>
      </c>
      <c r="R1" t="s">
        <v>212</v>
      </c>
      <c r="S1" t="s">
        <v>214</v>
      </c>
      <c r="U1" t="s">
        <v>220</v>
      </c>
      <c r="V1" t="s">
        <v>212</v>
      </c>
      <c r="W1" t="s">
        <v>214</v>
      </c>
    </row>
    <row r="2" spans="1:23" x14ac:dyDescent="0.25">
      <c r="A2" t="s">
        <v>221</v>
      </c>
      <c r="B2">
        <f>ABS('rekap M'!C3-'rekap B'!C3)</f>
        <v>0</v>
      </c>
      <c r="C2">
        <f>ABS('rekap M'!D3-'rekap B'!D3)</f>
        <v>0</v>
      </c>
      <c r="E2" t="s">
        <v>221</v>
      </c>
      <c r="F2">
        <f>ABS('rekap M'!C3-'rekap B'!E3)</f>
        <v>0</v>
      </c>
      <c r="G2">
        <f>ABS('rekap M'!D3-'rekap B'!F3)</f>
        <v>0</v>
      </c>
      <c r="I2" t="s">
        <v>221</v>
      </c>
      <c r="J2">
        <f>ABS('rekap M'!C3-'rekap B'!G3)</f>
        <v>0.2</v>
      </c>
      <c r="K2">
        <f>ABS('rekap M'!D3-'rekap B'!H3)</f>
        <v>0.19999999999999996</v>
      </c>
      <c r="M2" t="s">
        <v>221</v>
      </c>
      <c r="N2">
        <f>ABS('rekap M'!C3-'rekap B'!I3)</f>
        <v>0.2</v>
      </c>
      <c r="O2">
        <f>ABS('rekap M'!D3-'rekap B'!J3)</f>
        <v>0.19999999999999996</v>
      </c>
      <c r="Q2" t="s">
        <v>221</v>
      </c>
      <c r="R2">
        <f>ABS('rekap M'!C3-'rekap B'!K3)</f>
        <v>0.2</v>
      </c>
      <c r="S2">
        <f>ABS('rekap M'!D3-'rekap B'!L3)</f>
        <v>0.19999999999999996</v>
      </c>
      <c r="U2" t="s">
        <v>221</v>
      </c>
      <c r="V2">
        <f>ABS('rekap M'!C3-'rekap B'!M3)</f>
        <v>0</v>
      </c>
      <c r="W2">
        <f>ABS('rekap M'!D3-'rekap B'!N3)</f>
        <v>0</v>
      </c>
    </row>
    <row r="3" spans="1:23" x14ac:dyDescent="0.25">
      <c r="A3" t="s">
        <v>222</v>
      </c>
      <c r="B3">
        <f>ABS('rekap M'!C4-'rekap B'!C4)</f>
        <v>0.39999999999999997</v>
      </c>
      <c r="C3">
        <f>ABS('rekap M'!D4-'rekap B'!D4)</f>
        <v>0.39999999999999997</v>
      </c>
      <c r="E3" t="s">
        <v>222</v>
      </c>
      <c r="F3">
        <f>ABS('rekap M'!C4-'rekap B'!E4)</f>
        <v>0.60000000000000009</v>
      </c>
      <c r="G3">
        <f>ABS('rekap M'!D4-'rekap B'!F4)</f>
        <v>0.6</v>
      </c>
      <c r="I3" t="s">
        <v>222</v>
      </c>
      <c r="J3">
        <f>ABS('rekap M'!C4-'rekap B'!G4)</f>
        <v>0</v>
      </c>
      <c r="K3">
        <f>ABS('rekap M'!D4-'rekap B'!H4)</f>
        <v>0</v>
      </c>
      <c r="M3" t="s">
        <v>222</v>
      </c>
      <c r="N3">
        <f>ABS('rekap M'!C4-'rekap B'!I4)</f>
        <v>0</v>
      </c>
      <c r="O3">
        <f>ABS('rekap M'!D4-'rekap B'!J4)</f>
        <v>0</v>
      </c>
      <c r="Q3" t="s">
        <v>222</v>
      </c>
      <c r="R3">
        <f>ABS('rekap M'!C4-'rekap B'!K4)</f>
        <v>0.39999999999999997</v>
      </c>
      <c r="S3">
        <f>ABS('rekap M'!D4-'rekap B'!L4)</f>
        <v>0.39999999999999997</v>
      </c>
      <c r="U3" t="s">
        <v>222</v>
      </c>
      <c r="V3">
        <f>ABS('rekap M'!C4-'rekap B'!M4)</f>
        <v>0.60000000000000009</v>
      </c>
      <c r="W3">
        <f>ABS('rekap M'!D4-'rekap B'!N4)</f>
        <v>0.6</v>
      </c>
    </row>
    <row r="4" spans="1:23" x14ac:dyDescent="0.25">
      <c r="A4" t="s">
        <v>223</v>
      </c>
      <c r="B4">
        <f>ABS('rekap M'!C5-'rekap B'!C5)</f>
        <v>0</v>
      </c>
      <c r="C4">
        <f>ABS('rekap M'!D5-'rekap B'!D5)</f>
        <v>0</v>
      </c>
      <c r="E4" t="s">
        <v>223</v>
      </c>
      <c r="F4">
        <f>ABS('rekap M'!C5-'rekap B'!E5)</f>
        <v>0</v>
      </c>
      <c r="G4">
        <f>ABS('rekap M'!D5-'rekap B'!F5)</f>
        <v>0</v>
      </c>
      <c r="I4" t="s">
        <v>223</v>
      </c>
      <c r="J4">
        <f>ABS('rekap M'!C5-'rekap B'!G5)</f>
        <v>0</v>
      </c>
      <c r="K4">
        <f>ABS('rekap M'!D5-'rekap B'!H5)</f>
        <v>0</v>
      </c>
      <c r="M4" t="s">
        <v>223</v>
      </c>
      <c r="N4">
        <f>ABS('rekap M'!C5-'rekap B'!I5)</f>
        <v>0</v>
      </c>
      <c r="O4">
        <f>ABS('rekap M'!D5-'rekap B'!J5)</f>
        <v>0</v>
      </c>
      <c r="Q4" t="s">
        <v>223</v>
      </c>
      <c r="R4">
        <f>ABS('rekap M'!C5-'rekap B'!K5)</f>
        <v>0</v>
      </c>
      <c r="S4">
        <f>ABS('rekap M'!D5-'rekap B'!L5)</f>
        <v>0</v>
      </c>
      <c r="U4" t="s">
        <v>223</v>
      </c>
      <c r="V4">
        <f>ABS('rekap M'!C5-'rekap B'!M5)</f>
        <v>0</v>
      </c>
      <c r="W4">
        <f>ABS('rekap M'!D5-'rekap B'!N5)</f>
        <v>0</v>
      </c>
    </row>
    <row r="5" spans="1:23" x14ac:dyDescent="0.25">
      <c r="A5" t="s">
        <v>224</v>
      </c>
      <c r="B5">
        <f>ABS('rekap M'!C6-'rekap B'!C6)</f>
        <v>0</v>
      </c>
      <c r="C5">
        <f>ABS('rekap M'!D6-'rekap B'!D6)</f>
        <v>0</v>
      </c>
      <c r="E5" t="s">
        <v>224</v>
      </c>
      <c r="F5">
        <f>ABS('rekap M'!C6-'rekap B'!E6)</f>
        <v>0</v>
      </c>
      <c r="G5">
        <f>ABS('rekap M'!D6-'rekap B'!F6)</f>
        <v>0</v>
      </c>
      <c r="I5" t="s">
        <v>224</v>
      </c>
      <c r="J5">
        <f>ABS('rekap M'!C6-'rekap B'!G6)</f>
        <v>0</v>
      </c>
      <c r="K5">
        <f>ABS('rekap M'!D6-'rekap B'!H6)</f>
        <v>0</v>
      </c>
      <c r="M5" t="s">
        <v>224</v>
      </c>
      <c r="N5">
        <f>ABS('rekap M'!C6-'rekap B'!I6)</f>
        <v>0</v>
      </c>
      <c r="O5">
        <f>ABS('rekap M'!D6-'rekap B'!J6)</f>
        <v>0</v>
      </c>
      <c r="Q5" t="s">
        <v>224</v>
      </c>
      <c r="R5">
        <f>ABS('rekap M'!C6-'rekap B'!K6)</f>
        <v>0</v>
      </c>
      <c r="S5">
        <f>ABS('rekap M'!D6-'rekap B'!L6)</f>
        <v>0</v>
      </c>
      <c r="U5" t="s">
        <v>224</v>
      </c>
      <c r="V5">
        <f>ABS('rekap M'!C6-'rekap B'!M6)</f>
        <v>0</v>
      </c>
      <c r="W5">
        <f>ABS('rekap M'!D6-'rekap B'!N6)</f>
        <v>0</v>
      </c>
    </row>
    <row r="6" spans="1:23" x14ac:dyDescent="0.25">
      <c r="A6" t="s">
        <v>225</v>
      </c>
      <c r="B6">
        <f>ABS('rekap M'!C7-'rekap B'!C7)</f>
        <v>0.2</v>
      </c>
      <c r="C6">
        <f>ABS('rekap M'!D7-'rekap B'!D7)</f>
        <v>0.19999999999999996</v>
      </c>
      <c r="E6" t="s">
        <v>225</v>
      </c>
      <c r="F6">
        <f>ABS('rekap M'!C7-'rekap B'!E7)</f>
        <v>0</v>
      </c>
      <c r="G6">
        <f>ABS('rekap M'!D7-'rekap B'!F7)</f>
        <v>0</v>
      </c>
      <c r="I6" t="s">
        <v>225</v>
      </c>
      <c r="J6">
        <f>ABS('rekap M'!C7-'rekap B'!G7)</f>
        <v>0</v>
      </c>
      <c r="K6">
        <f>ABS('rekap M'!D7-'rekap B'!H7)</f>
        <v>0</v>
      </c>
      <c r="M6" t="s">
        <v>225</v>
      </c>
      <c r="N6">
        <f>ABS('rekap M'!C7-'rekap B'!I7)</f>
        <v>0</v>
      </c>
      <c r="O6">
        <f>ABS('rekap M'!D7-'rekap B'!J7)</f>
        <v>0</v>
      </c>
      <c r="Q6" t="s">
        <v>225</v>
      </c>
      <c r="R6">
        <f>ABS('rekap M'!C7-'rekap B'!K7)</f>
        <v>0</v>
      </c>
      <c r="S6">
        <f>ABS('rekap M'!D7-'rekap B'!L7)</f>
        <v>0</v>
      </c>
      <c r="U6" t="s">
        <v>225</v>
      </c>
      <c r="V6">
        <f>ABS('rekap M'!C7-'rekap B'!M7)</f>
        <v>0.2</v>
      </c>
      <c r="W6">
        <f>ABS('rekap M'!D7-'rekap B'!N7)</f>
        <v>0.19999999999999996</v>
      </c>
    </row>
    <row r="7" spans="1:23" x14ac:dyDescent="0.25">
      <c r="A7" t="s">
        <v>226</v>
      </c>
      <c r="B7">
        <f>ABS('rekap M'!C8-'rekap B'!C8)</f>
        <v>0.19999999999999996</v>
      </c>
      <c r="C7">
        <f>ABS('rekap M'!D8-'rekap B'!D8)</f>
        <v>0.2</v>
      </c>
      <c r="E7" t="s">
        <v>226</v>
      </c>
      <c r="F7">
        <f>ABS('rekap M'!C8-'rekap B'!E8)</f>
        <v>0.2</v>
      </c>
      <c r="G7">
        <f>ABS('rekap M'!D8-'rekap B'!F8)</f>
        <v>0.19999999999999996</v>
      </c>
      <c r="I7" t="s">
        <v>226</v>
      </c>
      <c r="J7">
        <f>ABS('rekap M'!C8-'rekap B'!G8)</f>
        <v>0.2</v>
      </c>
      <c r="K7">
        <f>ABS('rekap M'!D8-'rekap B'!H8)</f>
        <v>0.19999999999999996</v>
      </c>
      <c r="M7" t="s">
        <v>226</v>
      </c>
      <c r="N7">
        <f>ABS('rekap M'!C8-'rekap B'!I8)</f>
        <v>0.2</v>
      </c>
      <c r="O7">
        <f>ABS('rekap M'!D8-'rekap B'!J8)</f>
        <v>0.19999999999999996</v>
      </c>
      <c r="Q7" t="s">
        <v>226</v>
      </c>
      <c r="R7">
        <f>ABS('rekap M'!C8-'rekap B'!K8)</f>
        <v>0</v>
      </c>
      <c r="S7">
        <f>ABS('rekap M'!D8-'rekap B'!L8)</f>
        <v>0</v>
      </c>
      <c r="U7" t="s">
        <v>226</v>
      </c>
      <c r="V7">
        <f>ABS('rekap M'!C8-'rekap B'!M8)</f>
        <v>0.2</v>
      </c>
      <c r="W7">
        <f>ABS('rekap M'!D8-'rekap B'!N8)</f>
        <v>0.19999999999999996</v>
      </c>
    </row>
    <row r="8" spans="1:23" x14ac:dyDescent="0.25">
      <c r="A8" t="s">
        <v>227</v>
      </c>
      <c r="B8">
        <f>ABS('rekap M'!C9-'rekap B'!C9)</f>
        <v>0</v>
      </c>
      <c r="C8">
        <f>ABS('rekap M'!D9-'rekap B'!D9)</f>
        <v>0</v>
      </c>
      <c r="E8" t="s">
        <v>227</v>
      </c>
      <c r="F8">
        <f>ABS('rekap M'!C9-'rekap B'!E9)</f>
        <v>0</v>
      </c>
      <c r="G8">
        <f>ABS('rekap M'!D9-'rekap B'!F9)</f>
        <v>0</v>
      </c>
      <c r="I8" t="s">
        <v>227</v>
      </c>
      <c r="J8">
        <f>ABS('rekap M'!C9-'rekap B'!G9)</f>
        <v>0</v>
      </c>
      <c r="K8">
        <f>ABS('rekap M'!D9-'rekap B'!H9)</f>
        <v>0</v>
      </c>
      <c r="M8" t="s">
        <v>227</v>
      </c>
      <c r="N8">
        <f>ABS('rekap M'!C9-'rekap B'!I9)</f>
        <v>0</v>
      </c>
      <c r="O8">
        <f>ABS('rekap M'!D9-'rekap B'!J9)</f>
        <v>0</v>
      </c>
      <c r="Q8" t="s">
        <v>227</v>
      </c>
      <c r="R8">
        <f>ABS('rekap M'!C9-'rekap B'!K9)</f>
        <v>0</v>
      </c>
      <c r="S8">
        <f>ABS('rekap M'!D9-'rekap B'!L9)</f>
        <v>0</v>
      </c>
      <c r="U8" t="s">
        <v>227</v>
      </c>
      <c r="V8">
        <f>ABS('rekap M'!C9-'rekap B'!M9)</f>
        <v>0.39999999999999997</v>
      </c>
      <c r="W8">
        <f>ABS('rekap M'!D9-'rekap B'!N9)</f>
        <v>0.39999999999999997</v>
      </c>
    </row>
    <row r="9" spans="1:23" x14ac:dyDescent="0.25">
      <c r="A9" t="s">
        <v>228</v>
      </c>
      <c r="B9">
        <f>ABS('rekap M'!C10-'rekap B'!C10)</f>
        <v>0</v>
      </c>
      <c r="C9">
        <f>ABS('rekap M'!D10-'rekap B'!D10)</f>
        <v>0</v>
      </c>
      <c r="E9" t="s">
        <v>228</v>
      </c>
      <c r="F9">
        <f>ABS('rekap M'!C10-'rekap B'!E10)</f>
        <v>0.60000000000000009</v>
      </c>
      <c r="G9">
        <f>ABS('rekap M'!D10-'rekap B'!F10)</f>
        <v>0.6</v>
      </c>
      <c r="I9" t="s">
        <v>228</v>
      </c>
      <c r="J9">
        <f>ABS('rekap M'!C10-'rekap B'!G10)</f>
        <v>0</v>
      </c>
      <c r="K9">
        <f>ABS('rekap M'!D10-'rekap B'!H10)</f>
        <v>0</v>
      </c>
      <c r="M9" t="s">
        <v>228</v>
      </c>
      <c r="N9">
        <f>ABS('rekap M'!C10-'rekap B'!I10)</f>
        <v>0</v>
      </c>
      <c r="O9">
        <f>ABS('rekap M'!D10-'rekap B'!J10)</f>
        <v>0</v>
      </c>
      <c r="Q9" t="s">
        <v>228</v>
      </c>
      <c r="R9">
        <f>ABS('rekap M'!C10-'rekap B'!K10)</f>
        <v>0.2</v>
      </c>
      <c r="S9">
        <f>ABS('rekap M'!D10-'rekap B'!L10)</f>
        <v>0.19999999999999996</v>
      </c>
      <c r="U9" t="s">
        <v>228</v>
      </c>
      <c r="V9">
        <f>ABS('rekap M'!C10-'rekap B'!M10)</f>
        <v>0</v>
      </c>
      <c r="W9">
        <f>ABS('rekap M'!D10-'rekap B'!N10)</f>
        <v>0</v>
      </c>
    </row>
    <row r="10" spans="1:23" x14ac:dyDescent="0.25">
      <c r="A10" t="s">
        <v>229</v>
      </c>
      <c r="B10">
        <f>ABS('rekap M'!C11-'rekap B'!C11)</f>
        <v>0</v>
      </c>
      <c r="C10">
        <f>ABS('rekap M'!D11-'rekap B'!D11)</f>
        <v>0</v>
      </c>
      <c r="E10" t="s">
        <v>229</v>
      </c>
      <c r="F10">
        <f>ABS('rekap M'!C11-'rekap B'!E11)</f>
        <v>0.2</v>
      </c>
      <c r="G10">
        <f>ABS('rekap M'!D11-'rekap B'!F11)</f>
        <v>0.19999999999999996</v>
      </c>
      <c r="I10" t="s">
        <v>229</v>
      </c>
      <c r="J10">
        <f>ABS('rekap M'!C11-'rekap B'!G11)</f>
        <v>0.19999999999999996</v>
      </c>
      <c r="K10">
        <f>ABS('rekap M'!D11-'rekap B'!H11)</f>
        <v>0.2</v>
      </c>
      <c r="M10" t="s">
        <v>229</v>
      </c>
      <c r="N10">
        <f>ABS('rekap M'!C11-'rekap B'!I11)</f>
        <v>0.2</v>
      </c>
      <c r="O10">
        <f>ABS('rekap M'!D11-'rekap B'!J11)</f>
        <v>0.19999999999999996</v>
      </c>
      <c r="Q10" t="s">
        <v>229</v>
      </c>
      <c r="R10">
        <f>ABS('rekap M'!C11-'rekap B'!K11)</f>
        <v>0</v>
      </c>
      <c r="S10">
        <f>ABS('rekap M'!D11-'rekap B'!L11)</f>
        <v>0</v>
      </c>
      <c r="U10" t="s">
        <v>229</v>
      </c>
      <c r="V10">
        <f>ABS('rekap M'!C11-'rekap B'!M11)</f>
        <v>0</v>
      </c>
      <c r="W10">
        <f>ABS('rekap M'!D11-'rekap B'!N11)</f>
        <v>0</v>
      </c>
    </row>
    <row r="11" spans="1:23" x14ac:dyDescent="0.25">
      <c r="A11" t="s">
        <v>230</v>
      </c>
      <c r="B11">
        <f>ABS('rekap M'!C12-'rekap B'!C12)</f>
        <v>0</v>
      </c>
      <c r="C11">
        <f>ABS('rekap M'!D12-'rekap B'!D12)</f>
        <v>0</v>
      </c>
      <c r="E11" t="s">
        <v>230</v>
      </c>
      <c r="F11">
        <f>ABS('rekap M'!C12-'rekap B'!E12)</f>
        <v>0</v>
      </c>
      <c r="G11">
        <f>ABS('rekap M'!D12-'rekap B'!F12)</f>
        <v>0</v>
      </c>
      <c r="I11" t="s">
        <v>230</v>
      </c>
      <c r="J11">
        <f>ABS('rekap M'!C12-'rekap B'!G12)</f>
        <v>0</v>
      </c>
      <c r="K11">
        <f>ABS('rekap M'!D12-'rekap B'!H12)</f>
        <v>0</v>
      </c>
      <c r="M11" t="s">
        <v>230</v>
      </c>
      <c r="N11">
        <f>ABS('rekap M'!C12-'rekap B'!I12)</f>
        <v>0</v>
      </c>
      <c r="O11">
        <f>ABS('rekap M'!D12-'rekap B'!J12)</f>
        <v>0</v>
      </c>
      <c r="Q11" t="s">
        <v>230</v>
      </c>
      <c r="R11">
        <f>ABS('rekap M'!C12-'rekap B'!K12)</f>
        <v>0</v>
      </c>
      <c r="S11">
        <f>ABS('rekap M'!D12-'rekap B'!L12)</f>
        <v>0</v>
      </c>
      <c r="U11" t="s">
        <v>230</v>
      </c>
      <c r="V11">
        <f>ABS('rekap M'!C12-'rekap B'!M12)</f>
        <v>0</v>
      </c>
      <c r="W11">
        <f>ABS('rekap M'!D12-'rekap B'!N12)</f>
        <v>0</v>
      </c>
    </row>
    <row r="12" spans="1:23" x14ac:dyDescent="0.25">
      <c r="A12" t="s">
        <v>231</v>
      </c>
      <c r="B12">
        <f>ABS('rekap M'!C13-'rekap B'!C13)</f>
        <v>0.19999999999999996</v>
      </c>
      <c r="C12">
        <f>ABS('rekap M'!D13-'rekap B'!D13)</f>
        <v>0.2</v>
      </c>
      <c r="E12" t="s">
        <v>231</v>
      </c>
      <c r="F12">
        <f>ABS('rekap M'!C13-'rekap B'!E13)</f>
        <v>0.4</v>
      </c>
      <c r="G12">
        <f>ABS('rekap M'!D13-'rekap B'!F13)</f>
        <v>0.4</v>
      </c>
      <c r="I12" t="s">
        <v>231</v>
      </c>
      <c r="J12">
        <f>ABS('rekap M'!C13-'rekap B'!G13)</f>
        <v>0</v>
      </c>
      <c r="K12">
        <f>ABS('rekap M'!D13-'rekap B'!H13)</f>
        <v>0</v>
      </c>
      <c r="M12" t="s">
        <v>231</v>
      </c>
      <c r="N12">
        <f>ABS('rekap M'!C13-'rekap B'!I13)</f>
        <v>0</v>
      </c>
      <c r="O12">
        <f>ABS('rekap M'!D13-'rekap B'!J13)</f>
        <v>0</v>
      </c>
      <c r="Q12" t="s">
        <v>231</v>
      </c>
      <c r="R12">
        <f>ABS('rekap M'!C13-'rekap B'!K13)</f>
        <v>0.19999999999999996</v>
      </c>
      <c r="S12">
        <f>ABS('rekap M'!D13-'rekap B'!L13)</f>
        <v>0.2</v>
      </c>
      <c r="U12" t="s">
        <v>231</v>
      </c>
      <c r="V12">
        <f>ABS('rekap M'!C13-'rekap B'!M13)</f>
        <v>0.19999999999999996</v>
      </c>
      <c r="W12">
        <f>ABS('rekap M'!D13-'rekap B'!N13)</f>
        <v>0.2</v>
      </c>
    </row>
    <row r="13" spans="1:23" x14ac:dyDescent="0.25">
      <c r="A13" t="s">
        <v>232</v>
      </c>
      <c r="B13">
        <f>ABS('rekap M'!C14-'rekap B'!C14)</f>
        <v>0</v>
      </c>
      <c r="C13">
        <f>ABS('rekap M'!D14-'rekap B'!D14)</f>
        <v>0</v>
      </c>
      <c r="E13" t="s">
        <v>232</v>
      </c>
      <c r="F13">
        <f>ABS('rekap M'!C14-'rekap B'!E14)</f>
        <v>0</v>
      </c>
      <c r="G13">
        <f>ABS('rekap M'!D14-'rekap B'!F14)</f>
        <v>0</v>
      </c>
      <c r="I13" t="s">
        <v>232</v>
      </c>
      <c r="J13">
        <f>ABS('rekap M'!C14-'rekap B'!G14)</f>
        <v>0</v>
      </c>
      <c r="K13">
        <f>ABS('rekap M'!D14-'rekap B'!H14)</f>
        <v>0</v>
      </c>
      <c r="M13" t="s">
        <v>232</v>
      </c>
      <c r="N13">
        <f>ABS('rekap M'!C14-'rekap B'!I14)</f>
        <v>0</v>
      </c>
      <c r="O13">
        <f>ABS('rekap M'!D14-'rekap B'!J14)</f>
        <v>0</v>
      </c>
      <c r="Q13" t="s">
        <v>232</v>
      </c>
      <c r="R13">
        <f>ABS('rekap M'!C14-'rekap B'!K14)</f>
        <v>0</v>
      </c>
      <c r="S13">
        <f>ABS('rekap M'!D14-'rekap B'!L14)</f>
        <v>0</v>
      </c>
      <c r="U13" t="s">
        <v>232</v>
      </c>
      <c r="V13">
        <f>ABS('rekap M'!C14-'rekap B'!M14)</f>
        <v>0</v>
      </c>
      <c r="W13">
        <f>ABS('rekap M'!D14-'rekap B'!N14)</f>
        <v>0</v>
      </c>
    </row>
    <row r="14" spans="1:23" x14ac:dyDescent="0.25">
      <c r="A14" t="s">
        <v>233</v>
      </c>
      <c r="B14">
        <f>ABS('rekap M'!C15-'rekap B'!C15)</f>
        <v>0</v>
      </c>
      <c r="C14">
        <f>ABS('rekap M'!D15-'rekap B'!D15)</f>
        <v>0</v>
      </c>
      <c r="E14" t="s">
        <v>233</v>
      </c>
      <c r="F14">
        <f>ABS('rekap M'!C15-'rekap B'!E15)</f>
        <v>0</v>
      </c>
      <c r="G14">
        <f>ABS('rekap M'!D15-'rekap B'!F15)</f>
        <v>0</v>
      </c>
      <c r="I14" t="s">
        <v>233</v>
      </c>
      <c r="J14">
        <f>ABS('rekap M'!C15-'rekap B'!G15)</f>
        <v>0</v>
      </c>
      <c r="K14">
        <f>ABS('rekap M'!D15-'rekap B'!H15)</f>
        <v>0</v>
      </c>
      <c r="M14" t="s">
        <v>233</v>
      </c>
      <c r="N14">
        <f>ABS('rekap M'!C15-'rekap B'!I15)</f>
        <v>0</v>
      </c>
      <c r="O14">
        <f>ABS('rekap M'!D15-'rekap B'!J15)</f>
        <v>0</v>
      </c>
      <c r="Q14" t="s">
        <v>233</v>
      </c>
      <c r="R14">
        <f>ABS('rekap M'!C15-'rekap B'!K15)</f>
        <v>0</v>
      </c>
      <c r="S14">
        <f>ABS('rekap M'!D15-'rekap B'!L15)</f>
        <v>0</v>
      </c>
      <c r="U14" t="s">
        <v>233</v>
      </c>
      <c r="V14">
        <f>ABS('rekap M'!C15-'rekap B'!M15)</f>
        <v>0</v>
      </c>
      <c r="W14">
        <f>ABS('rekap M'!D15-'rekap B'!N15)</f>
        <v>0</v>
      </c>
    </row>
    <row r="15" spans="1:23" x14ac:dyDescent="0.25">
      <c r="A15" t="s">
        <v>234</v>
      </c>
      <c r="B15">
        <f>ABS('rekap M'!C16-'rekap B'!C16)</f>
        <v>0</v>
      </c>
      <c r="C15">
        <f>ABS('rekap M'!D16-'rekap B'!D16)</f>
        <v>0</v>
      </c>
      <c r="E15" t="s">
        <v>234</v>
      </c>
      <c r="F15">
        <f>ABS('rekap M'!C16-'rekap B'!E16)</f>
        <v>0</v>
      </c>
      <c r="G15">
        <f>ABS('rekap M'!D16-'rekap B'!F16)</f>
        <v>0</v>
      </c>
      <c r="I15" t="s">
        <v>234</v>
      </c>
      <c r="J15">
        <f>ABS('rekap M'!C16-'rekap B'!G16)</f>
        <v>0</v>
      </c>
      <c r="K15">
        <f>ABS('rekap M'!D16-'rekap B'!H16)</f>
        <v>0</v>
      </c>
      <c r="M15" t="s">
        <v>234</v>
      </c>
      <c r="N15">
        <f>ABS('rekap M'!C16-'rekap B'!I16)</f>
        <v>0</v>
      </c>
      <c r="O15">
        <f>ABS('rekap M'!D16-'rekap B'!J16)</f>
        <v>0</v>
      </c>
      <c r="Q15" t="s">
        <v>234</v>
      </c>
      <c r="R15">
        <f>ABS('rekap M'!C16-'rekap B'!K16)</f>
        <v>0</v>
      </c>
      <c r="S15">
        <f>ABS('rekap M'!D16-'rekap B'!L16)</f>
        <v>0</v>
      </c>
      <c r="U15" t="s">
        <v>234</v>
      </c>
      <c r="V15">
        <f>ABS('rekap M'!C16-'rekap B'!M16)</f>
        <v>0</v>
      </c>
      <c r="W15">
        <f>ABS('rekap M'!D16-'rekap B'!N16)</f>
        <v>0</v>
      </c>
    </row>
    <row r="16" spans="1:23" x14ac:dyDescent="0.25">
      <c r="A16" t="s">
        <v>235</v>
      </c>
      <c r="B16">
        <f>ABS('rekap M'!C17-'rekap B'!C17)</f>
        <v>0.4</v>
      </c>
      <c r="C16">
        <f>ABS('rekap M'!D17-'rekap B'!D17)</f>
        <v>0.4</v>
      </c>
      <c r="E16" t="s">
        <v>235</v>
      </c>
      <c r="F16">
        <f>ABS('rekap M'!C17-'rekap B'!E17)</f>
        <v>0.4</v>
      </c>
      <c r="G16">
        <f>ABS('rekap M'!D17-'rekap B'!F17)</f>
        <v>0.4</v>
      </c>
      <c r="I16" t="s">
        <v>235</v>
      </c>
      <c r="J16">
        <f>ABS('rekap M'!C17-'rekap B'!G17)</f>
        <v>0.4</v>
      </c>
      <c r="K16">
        <f>ABS('rekap M'!D17-'rekap B'!H17)</f>
        <v>0.4</v>
      </c>
      <c r="M16" t="s">
        <v>235</v>
      </c>
      <c r="N16">
        <f>ABS('rekap M'!C17-'rekap B'!I17)</f>
        <v>0.4</v>
      </c>
      <c r="O16">
        <f>ABS('rekap M'!D17-'rekap B'!J17)</f>
        <v>0.4</v>
      </c>
      <c r="Q16" t="s">
        <v>235</v>
      </c>
      <c r="R16">
        <f>ABS('rekap M'!C17-'rekap B'!K17)</f>
        <v>0.4</v>
      </c>
      <c r="S16">
        <f>ABS('rekap M'!D17-'rekap B'!L17)</f>
        <v>0.4</v>
      </c>
      <c r="U16" t="s">
        <v>235</v>
      </c>
      <c r="V16">
        <f>ABS('rekap M'!C17-'rekap B'!M17)</f>
        <v>0</v>
      </c>
      <c r="W16">
        <f>ABS('rekap M'!D17-'rekap B'!N17)</f>
        <v>0</v>
      </c>
    </row>
    <row r="17" spans="1:26" x14ac:dyDescent="0.25">
      <c r="A17" t="s">
        <v>236</v>
      </c>
      <c r="B17">
        <f>ABS('rekap M'!C18-'rekap B'!C18)</f>
        <v>0.60000000000000009</v>
      </c>
      <c r="C17">
        <f>ABS('rekap M'!D18-'rekap B'!D18)</f>
        <v>0.6</v>
      </c>
      <c r="E17" t="s">
        <v>236</v>
      </c>
      <c r="F17">
        <f>ABS('rekap M'!C18-'rekap B'!E18)</f>
        <v>0.2</v>
      </c>
      <c r="G17">
        <f>ABS('rekap M'!D18-'rekap B'!F18)</f>
        <v>0.19999999999999996</v>
      </c>
      <c r="I17" t="s">
        <v>236</v>
      </c>
      <c r="J17">
        <f>ABS('rekap M'!C18-'rekap B'!G18)</f>
        <v>0</v>
      </c>
      <c r="K17">
        <f>ABS('rekap M'!D18-'rekap B'!H18)</f>
        <v>0</v>
      </c>
      <c r="M17" t="s">
        <v>236</v>
      </c>
      <c r="N17">
        <f>ABS('rekap M'!C18-'rekap B'!I18)</f>
        <v>0.60000000000000009</v>
      </c>
      <c r="O17">
        <f>ABS('rekap M'!D18-'rekap B'!J18)</f>
        <v>0.6</v>
      </c>
      <c r="Q17" t="s">
        <v>236</v>
      </c>
      <c r="R17">
        <f>ABS('rekap M'!C18-'rekap B'!K18)</f>
        <v>0.39999999999999997</v>
      </c>
      <c r="S17">
        <f>ABS('rekap M'!D18-'rekap B'!L18)</f>
        <v>0.39999999999999997</v>
      </c>
      <c r="U17" t="s">
        <v>236</v>
      </c>
      <c r="V17">
        <f>ABS('rekap M'!C18-'rekap B'!M18)</f>
        <v>0</v>
      </c>
      <c r="W17">
        <f>ABS('rekap M'!D18-'rekap B'!N18)</f>
        <v>0</v>
      </c>
    </row>
    <row r="18" spans="1:26" x14ac:dyDescent="0.25">
      <c r="A18" t="s">
        <v>237</v>
      </c>
      <c r="B18">
        <f>ABS('rekap M'!C19-'rekap B'!C19)</f>
        <v>0</v>
      </c>
      <c r="C18">
        <f>ABS('rekap M'!D19-'rekap B'!D19)</f>
        <v>0</v>
      </c>
      <c r="E18" t="s">
        <v>237</v>
      </c>
      <c r="F18">
        <f>ABS('rekap M'!C19-'rekap B'!E19)</f>
        <v>0</v>
      </c>
      <c r="G18">
        <f>ABS('rekap M'!D19-'rekap B'!F19)</f>
        <v>0</v>
      </c>
      <c r="I18" t="s">
        <v>237</v>
      </c>
      <c r="J18">
        <f>ABS('rekap M'!C19-'rekap B'!G19)</f>
        <v>0</v>
      </c>
      <c r="K18">
        <f>ABS('rekap M'!D19-'rekap B'!H19)</f>
        <v>0</v>
      </c>
      <c r="M18" t="s">
        <v>237</v>
      </c>
      <c r="N18">
        <f>ABS('rekap M'!C19-'rekap B'!I19)</f>
        <v>0</v>
      </c>
      <c r="O18">
        <f>ABS('rekap M'!D19-'rekap B'!J19)</f>
        <v>0</v>
      </c>
      <c r="Q18" t="s">
        <v>237</v>
      </c>
      <c r="R18">
        <f>ABS('rekap M'!C19-'rekap B'!K19)</f>
        <v>0</v>
      </c>
      <c r="S18">
        <f>ABS('rekap M'!D19-'rekap B'!L19)</f>
        <v>0</v>
      </c>
      <c r="U18" t="s">
        <v>237</v>
      </c>
      <c r="V18">
        <f>ABS('rekap M'!C19-'rekap B'!M19)</f>
        <v>0.4</v>
      </c>
      <c r="W18">
        <f>ABS('rekap M'!D19-'rekap B'!N19)</f>
        <v>0.4</v>
      </c>
    </row>
    <row r="19" spans="1:26" x14ac:dyDescent="0.25">
      <c r="A19" t="s">
        <v>238</v>
      </c>
      <c r="B19">
        <f>ABS('rekap M'!C20-'rekap B'!C20)</f>
        <v>0.2</v>
      </c>
      <c r="C19">
        <f>ABS('rekap M'!D20-'rekap B'!D20)</f>
        <v>0.19999999999999996</v>
      </c>
      <c r="E19" t="s">
        <v>238</v>
      </c>
      <c r="F19">
        <f>ABS('rekap M'!C20-'rekap B'!E20)</f>
        <v>0.39999999999999997</v>
      </c>
      <c r="G19">
        <f>ABS('rekap M'!D20-'rekap B'!F20)</f>
        <v>0.39999999999999997</v>
      </c>
      <c r="I19" t="s">
        <v>238</v>
      </c>
      <c r="J19">
        <f>ABS('rekap M'!C20-'rekap B'!G20)</f>
        <v>0.60000000000000009</v>
      </c>
      <c r="K19">
        <f>ABS('rekap M'!D20-'rekap B'!H20)</f>
        <v>0.6</v>
      </c>
      <c r="M19" t="s">
        <v>238</v>
      </c>
      <c r="N19">
        <f>ABS('rekap M'!C20-'rekap B'!I20)</f>
        <v>0.60000000000000009</v>
      </c>
      <c r="O19">
        <f>ABS('rekap M'!D20-'rekap B'!J20)</f>
        <v>0.6</v>
      </c>
      <c r="Q19" t="s">
        <v>238</v>
      </c>
      <c r="R19">
        <f>ABS('rekap M'!C20-'rekap B'!K20)</f>
        <v>0.39999999999999997</v>
      </c>
      <c r="S19">
        <f>ABS('rekap M'!D20-'rekap B'!L20)</f>
        <v>0.39999999999999997</v>
      </c>
      <c r="U19" t="s">
        <v>238</v>
      </c>
      <c r="V19">
        <f>ABS('rekap M'!C20-'rekap B'!M20)</f>
        <v>0.39999999999999997</v>
      </c>
      <c r="W19">
        <f>ABS('rekap M'!D20-'rekap B'!N20)</f>
        <v>0.39999999999999997</v>
      </c>
    </row>
    <row r="20" spans="1:26" x14ac:dyDescent="0.25">
      <c r="A20" t="s">
        <v>239</v>
      </c>
      <c r="B20">
        <f>ABS('rekap M'!C21-'rekap B'!C21)</f>
        <v>0.20000000000000007</v>
      </c>
      <c r="C20">
        <f>ABS('rekap M'!D21-'rekap B'!D21)</f>
        <v>0.19999999999999998</v>
      </c>
      <c r="E20" t="s">
        <v>239</v>
      </c>
      <c r="F20">
        <f>ABS('rekap M'!C21-'rekap B'!E21)</f>
        <v>0.20000000000000007</v>
      </c>
      <c r="G20">
        <f>ABS('rekap M'!D21-'rekap B'!F21)</f>
        <v>0.19999999999999998</v>
      </c>
      <c r="I20" t="s">
        <v>239</v>
      </c>
      <c r="J20">
        <f>ABS('rekap M'!C21-'rekap B'!G21)</f>
        <v>0.20000000000000007</v>
      </c>
      <c r="K20">
        <f>ABS('rekap M'!D21-'rekap B'!H21)</f>
        <v>0.19999999999999998</v>
      </c>
      <c r="M20" t="s">
        <v>239</v>
      </c>
      <c r="N20">
        <f>ABS('rekap M'!C21-'rekap B'!I21)</f>
        <v>0.20000000000000007</v>
      </c>
      <c r="O20">
        <f>ABS('rekap M'!D21-'rekap B'!J21)</f>
        <v>0.19999999999999998</v>
      </c>
      <c r="Q20" t="s">
        <v>239</v>
      </c>
      <c r="R20">
        <f>ABS('rekap M'!C21-'rekap B'!K21)</f>
        <v>0.20000000000000007</v>
      </c>
      <c r="S20">
        <f>ABS('rekap M'!D21-'rekap B'!L21)</f>
        <v>0.19999999999999998</v>
      </c>
      <c r="U20" t="s">
        <v>239</v>
      </c>
      <c r="V20">
        <f>ABS('rekap M'!C21-'rekap B'!M21)</f>
        <v>0.20000000000000007</v>
      </c>
      <c r="W20">
        <f>ABS('rekap M'!D21-'rekap B'!N21)</f>
        <v>0.19999999999999998</v>
      </c>
    </row>
    <row r="21" spans="1:26" x14ac:dyDescent="0.25">
      <c r="A21" t="s">
        <v>270</v>
      </c>
      <c r="B21">
        <f>SUM(B2:B20)</f>
        <v>2.4000000000000004</v>
      </c>
      <c r="C21">
        <f t="shared" ref="C21" si="0">SUM(C2:C20)</f>
        <v>2.4000000000000004</v>
      </c>
      <c r="F21">
        <f>SUM(F2:F20)</f>
        <v>3.2</v>
      </c>
      <c r="G21">
        <f t="shared" ref="G21:W21" si="1">SUM(G2:G20)</f>
        <v>3.1999999999999997</v>
      </c>
      <c r="J21">
        <f t="shared" si="1"/>
        <v>1.8000000000000003</v>
      </c>
      <c r="K21">
        <f t="shared" si="1"/>
        <v>1.7999999999999998</v>
      </c>
      <c r="N21">
        <f t="shared" si="1"/>
        <v>2.4000000000000004</v>
      </c>
      <c r="O21">
        <f t="shared" si="1"/>
        <v>2.4</v>
      </c>
      <c r="R21">
        <f t="shared" si="1"/>
        <v>2.4</v>
      </c>
      <c r="S21">
        <f t="shared" si="1"/>
        <v>2.4</v>
      </c>
      <c r="V21">
        <f t="shared" si="1"/>
        <v>2.6</v>
      </c>
      <c r="W21">
        <f t="shared" si="1"/>
        <v>2.6</v>
      </c>
    </row>
    <row r="22" spans="1:26" x14ac:dyDescent="0.25">
      <c r="A22" t="s">
        <v>271</v>
      </c>
      <c r="D22">
        <f>1/19*(B21+C21)</f>
        <v>0.25263157894736843</v>
      </c>
      <c r="H22">
        <f t="shared" ref="H22:X22" si="2">1/19*(F21+G21)</f>
        <v>0.33684210526315789</v>
      </c>
      <c r="L22">
        <f t="shared" si="2"/>
        <v>0.18947368421052632</v>
      </c>
      <c r="P22">
        <f t="shared" si="2"/>
        <v>0.25263157894736843</v>
      </c>
      <c r="T22">
        <f t="shared" si="2"/>
        <v>0.25263157894736837</v>
      </c>
      <c r="X22">
        <f t="shared" si="2"/>
        <v>0.27368421052631581</v>
      </c>
      <c r="Y22" t="s">
        <v>272</v>
      </c>
      <c r="Z22" s="110">
        <f>MIN(B22:Y22)</f>
        <v>0.18947368421052632</v>
      </c>
    </row>
    <row r="24" spans="1:26" x14ac:dyDescent="0.25">
      <c r="A24" t="s">
        <v>240</v>
      </c>
      <c r="B24" t="s">
        <v>212</v>
      </c>
      <c r="C24" t="s">
        <v>214</v>
      </c>
      <c r="E24" t="s">
        <v>241</v>
      </c>
      <c r="F24" t="s">
        <v>212</v>
      </c>
      <c r="G24" t="s">
        <v>214</v>
      </c>
      <c r="I24" t="s">
        <v>242</v>
      </c>
      <c r="J24" t="s">
        <v>212</v>
      </c>
      <c r="K24" t="s">
        <v>214</v>
      </c>
      <c r="M24" t="s">
        <v>243</v>
      </c>
      <c r="N24" t="s">
        <v>212</v>
      </c>
      <c r="O24" t="s">
        <v>214</v>
      </c>
      <c r="Q24" t="s">
        <v>244</v>
      </c>
      <c r="R24" t="s">
        <v>212</v>
      </c>
      <c r="S24" t="s">
        <v>214</v>
      </c>
      <c r="U24" t="s">
        <v>245</v>
      </c>
      <c r="V24" t="s">
        <v>212</v>
      </c>
      <c r="W24" t="s">
        <v>214</v>
      </c>
    </row>
    <row r="25" spans="1:26" x14ac:dyDescent="0.25">
      <c r="A25" t="s">
        <v>221</v>
      </c>
      <c r="B25">
        <f>ABS('rekap M'!E3-'rekap B'!C3)</f>
        <v>0</v>
      </c>
      <c r="C25">
        <f>ABS('rekap M'!F3-'rekap B'!D3)</f>
        <v>0</v>
      </c>
      <c r="E25" t="s">
        <v>221</v>
      </c>
      <c r="F25">
        <f>ABS('rekap M'!E3-'rekap B'!E3)</f>
        <v>0</v>
      </c>
      <c r="G25">
        <f>ABS('rekap M'!F3-'rekap B'!F3)</f>
        <v>0</v>
      </c>
      <c r="I25" t="s">
        <v>221</v>
      </c>
      <c r="J25">
        <f>ABS('rekap M'!E3-'rekap B'!G3)</f>
        <v>0.2</v>
      </c>
      <c r="K25">
        <f>ABS('rekap M'!F3-'rekap B'!H3)</f>
        <v>0.19999999999999996</v>
      </c>
      <c r="M25" t="s">
        <v>221</v>
      </c>
      <c r="N25">
        <f>ABS('rekap M'!E3-'rekap B'!I3)</f>
        <v>0.2</v>
      </c>
      <c r="O25">
        <f>ABS('rekap M'!F3-'rekap B'!J3)</f>
        <v>0.19999999999999996</v>
      </c>
      <c r="Q25" t="s">
        <v>221</v>
      </c>
      <c r="R25">
        <f>ABS('rekap M'!E3-'rekap B'!K3)</f>
        <v>0.2</v>
      </c>
      <c r="S25">
        <f>ABS('rekap M'!F3-'rekap B'!L3)</f>
        <v>0.19999999999999996</v>
      </c>
      <c r="U25" t="s">
        <v>221</v>
      </c>
      <c r="V25">
        <f>ABS('rekap M'!E3-'rekap B'!M3)</f>
        <v>0</v>
      </c>
      <c r="W25">
        <f>ABS('rekap M'!F3-'rekap B'!N3)</f>
        <v>0</v>
      </c>
    </row>
    <row r="26" spans="1:26" x14ac:dyDescent="0.25">
      <c r="A26" t="s">
        <v>222</v>
      </c>
      <c r="B26">
        <f>ABS('rekap M'!E4-'rekap B'!C4)</f>
        <v>0.39999999999999997</v>
      </c>
      <c r="C26">
        <f>ABS('rekap M'!F4-'rekap B'!D4)</f>
        <v>0.39999999999999997</v>
      </c>
      <c r="E26" t="s">
        <v>222</v>
      </c>
      <c r="F26">
        <f>ABS('rekap M'!E4-'rekap B'!E4)</f>
        <v>0.60000000000000009</v>
      </c>
      <c r="G26">
        <f>ABS('rekap M'!F4-'rekap B'!F4)</f>
        <v>0.6</v>
      </c>
      <c r="I26" t="s">
        <v>222</v>
      </c>
      <c r="J26">
        <f>ABS('rekap M'!E4-'rekap B'!G4)</f>
        <v>0</v>
      </c>
      <c r="K26">
        <f>ABS('rekap M'!F4-'rekap B'!H4)</f>
        <v>0</v>
      </c>
      <c r="M26" t="s">
        <v>222</v>
      </c>
      <c r="N26">
        <f>ABS('rekap M'!E4-'rekap B'!I4)</f>
        <v>0</v>
      </c>
      <c r="O26">
        <f>ABS('rekap M'!F4-'rekap B'!J4)</f>
        <v>0</v>
      </c>
      <c r="Q26" t="s">
        <v>222</v>
      </c>
      <c r="R26">
        <f>ABS('rekap M'!E4-'rekap B'!K4)</f>
        <v>0.39999999999999997</v>
      </c>
      <c r="S26">
        <f>ABS('rekap M'!F4-'rekap B'!L4)</f>
        <v>0.39999999999999997</v>
      </c>
      <c r="U26" t="s">
        <v>222</v>
      </c>
      <c r="V26">
        <f>ABS('rekap M'!E4-'rekap B'!M4)</f>
        <v>0.60000000000000009</v>
      </c>
      <c r="W26">
        <f>ABS('rekap M'!F4-'rekap B'!N4)</f>
        <v>0.6</v>
      </c>
    </row>
    <row r="27" spans="1:26" x14ac:dyDescent="0.25">
      <c r="A27" t="s">
        <v>223</v>
      </c>
      <c r="B27">
        <f>ABS('rekap M'!E5-'rekap B'!C5)</f>
        <v>0</v>
      </c>
      <c r="C27">
        <f>ABS('rekap M'!F5-'rekap B'!D5)</f>
        <v>0</v>
      </c>
      <c r="E27" t="s">
        <v>223</v>
      </c>
      <c r="F27">
        <f>ABS('rekap M'!E5-'rekap B'!E5)</f>
        <v>0</v>
      </c>
      <c r="G27">
        <f>ABS('rekap M'!F5-'rekap B'!F5)</f>
        <v>0</v>
      </c>
      <c r="I27" t="s">
        <v>223</v>
      </c>
      <c r="J27">
        <f>ABS('rekap M'!E5-'rekap B'!G5)</f>
        <v>0</v>
      </c>
      <c r="K27">
        <f>ABS('rekap M'!F5-'rekap B'!H5)</f>
        <v>0</v>
      </c>
      <c r="M27" t="s">
        <v>223</v>
      </c>
      <c r="N27">
        <f>ABS('rekap M'!E5-'rekap B'!I5)</f>
        <v>0</v>
      </c>
      <c r="O27">
        <f>ABS('rekap M'!F5-'rekap B'!J5)</f>
        <v>0</v>
      </c>
      <c r="Q27" t="s">
        <v>223</v>
      </c>
      <c r="R27">
        <f>ABS('rekap M'!E5-'rekap B'!K5)</f>
        <v>0</v>
      </c>
      <c r="S27">
        <f>ABS('rekap M'!F5-'rekap B'!L5)</f>
        <v>0</v>
      </c>
      <c r="U27" t="s">
        <v>223</v>
      </c>
      <c r="V27">
        <f>ABS('rekap M'!E5-'rekap B'!M5)</f>
        <v>0</v>
      </c>
      <c r="W27">
        <f>ABS('rekap M'!F5-'rekap B'!N5)</f>
        <v>0</v>
      </c>
    </row>
    <row r="28" spans="1:26" x14ac:dyDescent="0.25">
      <c r="A28" t="s">
        <v>224</v>
      </c>
      <c r="B28">
        <f>ABS('rekap M'!E6-'rekap B'!C6)</f>
        <v>0</v>
      </c>
      <c r="C28">
        <f>ABS('rekap M'!F6-'rekap B'!D6)</f>
        <v>0</v>
      </c>
      <c r="E28" t="s">
        <v>224</v>
      </c>
      <c r="F28">
        <f>ABS('rekap M'!E6-'rekap B'!E6)</f>
        <v>0</v>
      </c>
      <c r="G28">
        <f>ABS('rekap M'!F6-'rekap B'!F6)</f>
        <v>0</v>
      </c>
      <c r="I28" t="s">
        <v>224</v>
      </c>
      <c r="J28">
        <f>ABS('rekap M'!E6-'rekap B'!G6)</f>
        <v>0</v>
      </c>
      <c r="K28">
        <f>ABS('rekap M'!F6-'rekap B'!H6)</f>
        <v>0</v>
      </c>
      <c r="M28" t="s">
        <v>224</v>
      </c>
      <c r="N28">
        <f>ABS('rekap M'!E6-'rekap B'!I6)</f>
        <v>0</v>
      </c>
      <c r="O28">
        <f>ABS('rekap M'!F6-'rekap B'!J6)</f>
        <v>0</v>
      </c>
      <c r="Q28" t="s">
        <v>224</v>
      </c>
      <c r="R28">
        <f>ABS('rekap M'!E6-'rekap B'!K6)</f>
        <v>0</v>
      </c>
      <c r="S28">
        <f>ABS('rekap M'!F6-'rekap B'!L6)</f>
        <v>0</v>
      </c>
      <c r="U28" t="s">
        <v>224</v>
      </c>
      <c r="V28">
        <f>ABS('rekap M'!E6-'rekap B'!M6)</f>
        <v>0</v>
      </c>
      <c r="W28">
        <f>ABS('rekap M'!F6-'rekap B'!N6)</f>
        <v>0</v>
      </c>
    </row>
    <row r="29" spans="1:26" x14ac:dyDescent="0.25">
      <c r="A29" t="s">
        <v>225</v>
      </c>
      <c r="B29">
        <f>ABS('rekap M'!E7-'rekap B'!C7)</f>
        <v>0.2</v>
      </c>
      <c r="C29">
        <f>ABS('rekap M'!F7-'rekap B'!D7)</f>
        <v>0.19999999999999996</v>
      </c>
      <c r="E29" t="s">
        <v>225</v>
      </c>
      <c r="F29">
        <f>ABS('rekap M'!E7-'rekap B'!E7)</f>
        <v>0</v>
      </c>
      <c r="G29">
        <f>ABS('rekap M'!F7-'rekap B'!F7)</f>
        <v>0</v>
      </c>
      <c r="I29" t="s">
        <v>225</v>
      </c>
      <c r="J29">
        <f>ABS('rekap M'!E7-'rekap B'!G7)</f>
        <v>0</v>
      </c>
      <c r="K29">
        <f>ABS('rekap M'!F7-'rekap B'!H7)</f>
        <v>0</v>
      </c>
      <c r="M29" t="s">
        <v>225</v>
      </c>
      <c r="N29">
        <f>ABS('rekap M'!E7-'rekap B'!I7)</f>
        <v>0</v>
      </c>
      <c r="O29">
        <f>ABS('rekap M'!F7-'rekap B'!J7)</f>
        <v>0</v>
      </c>
      <c r="Q29" t="s">
        <v>225</v>
      </c>
      <c r="R29">
        <f>ABS('rekap M'!E7-'rekap B'!K7)</f>
        <v>0</v>
      </c>
      <c r="S29">
        <f>ABS('rekap M'!F7-'rekap B'!L7)</f>
        <v>0</v>
      </c>
      <c r="U29" t="s">
        <v>225</v>
      </c>
      <c r="V29">
        <f>ABS('rekap M'!E7-'rekap B'!M7)</f>
        <v>0.2</v>
      </c>
      <c r="W29">
        <f>ABS('rekap M'!F7-'rekap B'!N7)</f>
        <v>0.19999999999999996</v>
      </c>
    </row>
    <row r="30" spans="1:26" x14ac:dyDescent="0.25">
      <c r="A30" t="s">
        <v>226</v>
      </c>
      <c r="B30">
        <f>ABS('rekap M'!E8-'rekap B'!C8)</f>
        <v>0.39999999999999997</v>
      </c>
      <c r="C30">
        <f>ABS('rekap M'!F8-'rekap B'!D8)</f>
        <v>0.39999999999999997</v>
      </c>
      <c r="E30" t="s">
        <v>226</v>
      </c>
      <c r="F30">
        <f>ABS('rekap M'!E8-'rekap B'!E8)</f>
        <v>0</v>
      </c>
      <c r="G30">
        <f>ABS('rekap M'!F8-'rekap B'!F8)</f>
        <v>0</v>
      </c>
      <c r="I30" t="s">
        <v>226</v>
      </c>
      <c r="J30">
        <f>ABS('rekap M'!E8-'rekap B'!G8)</f>
        <v>0</v>
      </c>
      <c r="K30">
        <f>ABS('rekap M'!F8-'rekap B'!H8)</f>
        <v>0</v>
      </c>
      <c r="M30" t="s">
        <v>226</v>
      </c>
      <c r="N30">
        <f>ABS('rekap M'!E8-'rekap B'!I8)</f>
        <v>0</v>
      </c>
      <c r="O30">
        <f>ABS('rekap M'!F8-'rekap B'!J8)</f>
        <v>0</v>
      </c>
      <c r="Q30" t="s">
        <v>226</v>
      </c>
      <c r="R30">
        <f>ABS('rekap M'!E8-'rekap B'!K8)</f>
        <v>0.2</v>
      </c>
      <c r="S30">
        <f>ABS('rekap M'!F8-'rekap B'!L8)</f>
        <v>0.19999999999999996</v>
      </c>
      <c r="U30" t="s">
        <v>226</v>
      </c>
      <c r="V30">
        <f>ABS('rekap M'!E8-'rekap B'!M8)</f>
        <v>0</v>
      </c>
      <c r="W30">
        <f>ABS('rekap M'!F8-'rekap B'!N8)</f>
        <v>0</v>
      </c>
    </row>
    <row r="31" spans="1:26" x14ac:dyDescent="0.25">
      <c r="A31" t="s">
        <v>227</v>
      </c>
      <c r="B31">
        <f>ABS('rekap M'!E9-'rekap B'!C9)</f>
        <v>0</v>
      </c>
      <c r="C31">
        <f>ABS('rekap M'!F9-'rekap B'!D9)</f>
        <v>0</v>
      </c>
      <c r="E31" t="s">
        <v>227</v>
      </c>
      <c r="F31">
        <f>ABS('rekap M'!E9-'rekap B'!E9)</f>
        <v>0</v>
      </c>
      <c r="G31">
        <f>ABS('rekap M'!F9-'rekap B'!F9)</f>
        <v>0</v>
      </c>
      <c r="I31" t="s">
        <v>227</v>
      </c>
      <c r="J31">
        <f>ABS('rekap M'!E9-'rekap B'!G9)</f>
        <v>0</v>
      </c>
      <c r="K31">
        <f>ABS('rekap M'!F9-'rekap B'!H9)</f>
        <v>0</v>
      </c>
      <c r="M31" t="s">
        <v>227</v>
      </c>
      <c r="N31">
        <f>ABS('rekap M'!E9-'rekap B'!I9)</f>
        <v>0</v>
      </c>
      <c r="O31">
        <f>ABS('rekap M'!F9-'rekap B'!J9)</f>
        <v>0</v>
      </c>
      <c r="Q31" t="s">
        <v>227</v>
      </c>
      <c r="R31">
        <f>ABS('rekap M'!E9-'rekap B'!K9)</f>
        <v>0</v>
      </c>
      <c r="S31">
        <f>ABS('rekap M'!F9-'rekap B'!L9)</f>
        <v>0</v>
      </c>
      <c r="U31" t="s">
        <v>227</v>
      </c>
      <c r="V31">
        <f>ABS('rekap M'!E9-'rekap B'!M9)</f>
        <v>0.39999999999999997</v>
      </c>
      <c r="W31">
        <f>ABS('rekap M'!F9-'rekap B'!N9)</f>
        <v>0.39999999999999997</v>
      </c>
    </row>
    <row r="32" spans="1:26" x14ac:dyDescent="0.25">
      <c r="A32" t="s">
        <v>228</v>
      </c>
      <c r="B32">
        <f>ABS('rekap M'!E10-'rekap B'!C10)</f>
        <v>0</v>
      </c>
      <c r="C32">
        <f>ABS('rekap M'!F10-'rekap B'!D10)</f>
        <v>0</v>
      </c>
      <c r="E32" t="s">
        <v>228</v>
      </c>
      <c r="F32">
        <f>ABS('rekap M'!E10-'rekap B'!E10)</f>
        <v>0.60000000000000009</v>
      </c>
      <c r="G32">
        <f>ABS('rekap M'!F10-'rekap B'!F10)</f>
        <v>0.6</v>
      </c>
      <c r="I32" t="s">
        <v>228</v>
      </c>
      <c r="J32">
        <f>ABS('rekap M'!E10-'rekap B'!G10)</f>
        <v>0</v>
      </c>
      <c r="K32">
        <f>ABS('rekap M'!F10-'rekap B'!H10)</f>
        <v>0</v>
      </c>
      <c r="M32" t="s">
        <v>228</v>
      </c>
      <c r="N32">
        <f>ABS('rekap M'!E10-'rekap B'!I10)</f>
        <v>0</v>
      </c>
      <c r="O32">
        <f>ABS('rekap M'!F10-'rekap B'!J10)</f>
        <v>0</v>
      </c>
      <c r="Q32" t="s">
        <v>228</v>
      </c>
      <c r="R32">
        <f>ABS('rekap M'!E10-'rekap B'!K10)</f>
        <v>0.2</v>
      </c>
      <c r="S32">
        <f>ABS('rekap M'!F10-'rekap B'!L10)</f>
        <v>0.19999999999999996</v>
      </c>
      <c r="U32" t="s">
        <v>228</v>
      </c>
      <c r="V32">
        <f>ABS('rekap M'!E10-'rekap B'!M10)</f>
        <v>0</v>
      </c>
      <c r="W32">
        <f>ABS('rekap M'!F10-'rekap B'!N10)</f>
        <v>0</v>
      </c>
    </row>
    <row r="33" spans="1:26" x14ac:dyDescent="0.25">
      <c r="A33" t="s">
        <v>229</v>
      </c>
      <c r="B33">
        <f>ABS('rekap M'!E11-'rekap B'!C11)</f>
        <v>0.2</v>
      </c>
      <c r="C33">
        <f>ABS('rekap M'!F11-'rekap B'!D11)</f>
        <v>0.19999999999999996</v>
      </c>
      <c r="E33" t="s">
        <v>229</v>
      </c>
      <c r="F33">
        <f>ABS('rekap M'!E11-'rekap B'!E11)</f>
        <v>0</v>
      </c>
      <c r="G33">
        <f>ABS('rekap M'!F11-'rekap B'!F11)</f>
        <v>0</v>
      </c>
      <c r="I33" t="s">
        <v>229</v>
      </c>
      <c r="J33">
        <f>ABS('rekap M'!E11-'rekap B'!G11)</f>
        <v>0.39999999999999997</v>
      </c>
      <c r="K33">
        <f>ABS('rekap M'!F11-'rekap B'!H11)</f>
        <v>0.39999999999999997</v>
      </c>
      <c r="M33" t="s">
        <v>229</v>
      </c>
      <c r="N33">
        <f>ABS('rekap M'!E11-'rekap B'!I11)</f>
        <v>0</v>
      </c>
      <c r="O33">
        <f>ABS('rekap M'!F11-'rekap B'!J11)</f>
        <v>0</v>
      </c>
      <c r="Q33" t="s">
        <v>229</v>
      </c>
      <c r="R33">
        <f>ABS('rekap M'!E11-'rekap B'!K11)</f>
        <v>0.2</v>
      </c>
      <c r="S33">
        <f>ABS('rekap M'!F11-'rekap B'!L11)</f>
        <v>0.19999999999999996</v>
      </c>
      <c r="U33" t="s">
        <v>229</v>
      </c>
      <c r="V33">
        <f>ABS('rekap M'!E11-'rekap B'!M11)</f>
        <v>0.2</v>
      </c>
      <c r="W33">
        <f>ABS('rekap M'!F11-'rekap B'!N11)</f>
        <v>0.19999999999999996</v>
      </c>
    </row>
    <row r="34" spans="1:26" x14ac:dyDescent="0.25">
      <c r="A34" t="s">
        <v>230</v>
      </c>
      <c r="B34">
        <f>ABS('rekap M'!E12-'rekap B'!C12)</f>
        <v>0</v>
      </c>
      <c r="C34">
        <f>ABS('rekap M'!F12-'rekap B'!D12)</f>
        <v>0</v>
      </c>
      <c r="E34" t="s">
        <v>230</v>
      </c>
      <c r="F34">
        <f>ABS('rekap M'!E12-'rekap B'!E12)</f>
        <v>0</v>
      </c>
      <c r="G34">
        <f>ABS('rekap M'!F12-'rekap B'!F12)</f>
        <v>0</v>
      </c>
      <c r="I34" t="s">
        <v>230</v>
      </c>
      <c r="J34">
        <f>ABS('rekap M'!E12-'rekap B'!G12)</f>
        <v>0</v>
      </c>
      <c r="K34">
        <f>ABS('rekap M'!F12-'rekap B'!H12)</f>
        <v>0</v>
      </c>
      <c r="M34" t="s">
        <v>230</v>
      </c>
      <c r="N34">
        <f>ABS('rekap M'!E12-'rekap B'!I12)</f>
        <v>0</v>
      </c>
      <c r="O34">
        <f>ABS('rekap M'!F12-'rekap B'!J12)</f>
        <v>0</v>
      </c>
      <c r="Q34" t="s">
        <v>230</v>
      </c>
      <c r="R34">
        <f>ABS('rekap M'!E12-'rekap B'!K12)</f>
        <v>0</v>
      </c>
      <c r="S34">
        <f>ABS('rekap M'!F12-'rekap B'!L12)</f>
        <v>0</v>
      </c>
      <c r="U34" t="s">
        <v>230</v>
      </c>
      <c r="V34">
        <f>ABS('rekap M'!E12-'rekap B'!M12)</f>
        <v>0</v>
      </c>
      <c r="W34">
        <f>ABS('rekap M'!F12-'rekap B'!N12)</f>
        <v>0</v>
      </c>
    </row>
    <row r="35" spans="1:26" x14ac:dyDescent="0.25">
      <c r="A35" t="s">
        <v>231</v>
      </c>
      <c r="B35">
        <f>ABS('rekap M'!E13-'rekap B'!C13)</f>
        <v>0.19999999999999996</v>
      </c>
      <c r="C35">
        <f>ABS('rekap M'!F13-'rekap B'!D13)</f>
        <v>0.2</v>
      </c>
      <c r="E35" t="s">
        <v>231</v>
      </c>
      <c r="F35">
        <f>ABS('rekap M'!E13-'rekap B'!E13)</f>
        <v>0.4</v>
      </c>
      <c r="G35">
        <f>ABS('rekap M'!F13-'rekap B'!F13)</f>
        <v>0.4</v>
      </c>
      <c r="I35" t="s">
        <v>231</v>
      </c>
      <c r="J35">
        <f>ABS('rekap M'!E13-'rekap B'!G13)</f>
        <v>0</v>
      </c>
      <c r="K35">
        <f>ABS('rekap M'!F13-'rekap B'!H13)</f>
        <v>0</v>
      </c>
      <c r="M35" t="s">
        <v>231</v>
      </c>
      <c r="N35">
        <f>ABS('rekap M'!E13-'rekap B'!I13)</f>
        <v>0</v>
      </c>
      <c r="O35">
        <f>ABS('rekap M'!F13-'rekap B'!J13)</f>
        <v>0</v>
      </c>
      <c r="Q35" t="s">
        <v>231</v>
      </c>
      <c r="R35">
        <f>ABS('rekap M'!E13-'rekap B'!K13)</f>
        <v>0.19999999999999996</v>
      </c>
      <c r="S35">
        <f>ABS('rekap M'!F13-'rekap B'!L13)</f>
        <v>0.2</v>
      </c>
      <c r="U35" t="s">
        <v>231</v>
      </c>
      <c r="V35">
        <f>ABS('rekap M'!E13-'rekap B'!M13)</f>
        <v>0.19999999999999996</v>
      </c>
      <c r="W35">
        <f>ABS('rekap M'!F13-'rekap B'!N13)</f>
        <v>0.2</v>
      </c>
    </row>
    <row r="36" spans="1:26" x14ac:dyDescent="0.25">
      <c r="A36" t="s">
        <v>232</v>
      </c>
      <c r="B36">
        <f>ABS('rekap M'!E14-'rekap B'!C14)</f>
        <v>0</v>
      </c>
      <c r="C36">
        <f>ABS('rekap M'!F14-'rekap B'!D14)</f>
        <v>0</v>
      </c>
      <c r="E36" t="s">
        <v>232</v>
      </c>
      <c r="F36">
        <f>ABS('rekap M'!E14-'rekap B'!E14)</f>
        <v>0</v>
      </c>
      <c r="G36">
        <f>ABS('rekap M'!F14-'rekap B'!F14)</f>
        <v>0</v>
      </c>
      <c r="I36" t="s">
        <v>232</v>
      </c>
      <c r="J36">
        <f>ABS('rekap M'!E14-'rekap B'!G14)</f>
        <v>0</v>
      </c>
      <c r="K36">
        <f>ABS('rekap M'!F14-'rekap B'!H14)</f>
        <v>0</v>
      </c>
      <c r="M36" t="s">
        <v>232</v>
      </c>
      <c r="N36">
        <f>ABS('rekap M'!E14-'rekap B'!I14)</f>
        <v>0</v>
      </c>
      <c r="O36">
        <f>ABS('rekap M'!F14-'rekap B'!J14)</f>
        <v>0</v>
      </c>
      <c r="Q36" t="s">
        <v>232</v>
      </c>
      <c r="R36">
        <f>ABS('rekap M'!E14-'rekap B'!K14)</f>
        <v>0</v>
      </c>
      <c r="S36">
        <f>ABS('rekap M'!F14-'rekap B'!L14)</f>
        <v>0</v>
      </c>
      <c r="U36" t="s">
        <v>232</v>
      </c>
      <c r="V36">
        <f>ABS('rekap M'!E14-'rekap B'!M14)</f>
        <v>0</v>
      </c>
      <c r="W36">
        <f>ABS('rekap M'!F14-'rekap B'!N14)</f>
        <v>0</v>
      </c>
    </row>
    <row r="37" spans="1:26" x14ac:dyDescent="0.25">
      <c r="A37" t="s">
        <v>233</v>
      </c>
      <c r="B37">
        <f>ABS('rekap M'!E15-'rekap B'!C15)</f>
        <v>0</v>
      </c>
      <c r="C37">
        <f>ABS('rekap M'!F15-'rekap B'!D15)</f>
        <v>0</v>
      </c>
      <c r="E37" t="s">
        <v>233</v>
      </c>
      <c r="F37">
        <f>ABS('rekap M'!E15-'rekap B'!E15)</f>
        <v>0</v>
      </c>
      <c r="G37">
        <f>ABS('rekap M'!F15-'rekap B'!F15)</f>
        <v>0</v>
      </c>
      <c r="I37" t="s">
        <v>233</v>
      </c>
      <c r="J37">
        <f>ABS('rekap M'!E15-'rekap B'!G15)</f>
        <v>0</v>
      </c>
      <c r="K37">
        <f>ABS('rekap M'!F15-'rekap B'!H15)</f>
        <v>0</v>
      </c>
      <c r="M37" t="s">
        <v>233</v>
      </c>
      <c r="N37">
        <f>ABS('rekap M'!E15-'rekap B'!I15)</f>
        <v>0</v>
      </c>
      <c r="O37">
        <f>ABS('rekap M'!F15-'rekap B'!J15)</f>
        <v>0</v>
      </c>
      <c r="Q37" t="s">
        <v>233</v>
      </c>
      <c r="R37">
        <f>ABS('rekap M'!E15-'rekap B'!K15)</f>
        <v>0</v>
      </c>
      <c r="S37">
        <f>ABS('rekap M'!F15-'rekap B'!L15)</f>
        <v>0</v>
      </c>
      <c r="U37" t="s">
        <v>233</v>
      </c>
      <c r="V37">
        <f>ABS('rekap M'!E15-'rekap B'!M15)</f>
        <v>0</v>
      </c>
      <c r="W37">
        <f>ABS('rekap M'!F15-'rekap B'!N15)</f>
        <v>0</v>
      </c>
    </row>
    <row r="38" spans="1:26" x14ac:dyDescent="0.25">
      <c r="A38" t="s">
        <v>234</v>
      </c>
      <c r="B38">
        <f>ABS('rekap M'!E16-'rekap B'!C16)</f>
        <v>0</v>
      </c>
      <c r="C38">
        <f>ABS('rekap M'!F16-'rekap B'!D16)</f>
        <v>0</v>
      </c>
      <c r="E38" t="s">
        <v>234</v>
      </c>
      <c r="F38">
        <f>ABS('rekap M'!E16-'rekap B'!E16)</f>
        <v>0</v>
      </c>
      <c r="G38">
        <f>ABS('rekap M'!F16-'rekap B'!F16)</f>
        <v>0</v>
      </c>
      <c r="I38" t="s">
        <v>234</v>
      </c>
      <c r="J38">
        <f>ABS('rekap M'!E16-'rekap B'!G16)</f>
        <v>0</v>
      </c>
      <c r="K38">
        <f>ABS('rekap M'!F16-'rekap B'!H16)</f>
        <v>0</v>
      </c>
      <c r="M38" t="s">
        <v>234</v>
      </c>
      <c r="N38">
        <f>ABS('rekap M'!E16-'rekap B'!I16)</f>
        <v>0</v>
      </c>
      <c r="O38">
        <f>ABS('rekap M'!F16-'rekap B'!J16)</f>
        <v>0</v>
      </c>
      <c r="Q38" t="s">
        <v>234</v>
      </c>
      <c r="R38">
        <f>ABS('rekap M'!E16-'rekap B'!K16)</f>
        <v>0</v>
      </c>
      <c r="S38">
        <f>ABS('rekap M'!F16-'rekap B'!L16)</f>
        <v>0</v>
      </c>
      <c r="U38" t="s">
        <v>234</v>
      </c>
      <c r="V38">
        <f>ABS('rekap M'!E16-'rekap B'!M16)</f>
        <v>0</v>
      </c>
      <c r="W38">
        <f>ABS('rekap M'!F16-'rekap B'!N16)</f>
        <v>0</v>
      </c>
    </row>
    <row r="39" spans="1:26" x14ac:dyDescent="0.25">
      <c r="A39" t="s">
        <v>235</v>
      </c>
      <c r="B39">
        <f>ABS('rekap M'!E17-'rekap B'!C17)</f>
        <v>0</v>
      </c>
      <c r="C39">
        <f>ABS('rekap M'!F17-'rekap B'!D17)</f>
        <v>0</v>
      </c>
      <c r="E39" t="s">
        <v>235</v>
      </c>
      <c r="F39">
        <f>ABS('rekap M'!E17-'rekap B'!E17)</f>
        <v>0</v>
      </c>
      <c r="G39">
        <f>ABS('rekap M'!F17-'rekap B'!F17)</f>
        <v>0</v>
      </c>
      <c r="I39" t="s">
        <v>235</v>
      </c>
      <c r="J39">
        <f>ABS('rekap M'!E17-'rekap B'!G17)</f>
        <v>0</v>
      </c>
      <c r="K39">
        <f>ABS('rekap M'!F17-'rekap B'!H17)</f>
        <v>0</v>
      </c>
      <c r="M39" t="s">
        <v>235</v>
      </c>
      <c r="N39">
        <f>ABS('rekap M'!E17-'rekap B'!I17)</f>
        <v>0</v>
      </c>
      <c r="O39">
        <f>ABS('rekap M'!F17-'rekap B'!J17)</f>
        <v>0</v>
      </c>
      <c r="Q39" t="s">
        <v>235</v>
      </c>
      <c r="R39">
        <f>ABS('rekap M'!E17-'rekap B'!K17)</f>
        <v>0</v>
      </c>
      <c r="S39">
        <f>ABS('rekap M'!F17-'rekap B'!L17)</f>
        <v>0</v>
      </c>
      <c r="U39" t="s">
        <v>235</v>
      </c>
      <c r="V39">
        <f>ABS('rekap M'!E17-'rekap B'!M17)</f>
        <v>0.4</v>
      </c>
      <c r="W39">
        <f>ABS('rekap M'!F17-'rekap B'!N17)</f>
        <v>0.4</v>
      </c>
    </row>
    <row r="40" spans="1:26" x14ac:dyDescent="0.25">
      <c r="A40" t="s">
        <v>236</v>
      </c>
      <c r="B40">
        <f>ABS('rekap M'!E18-'rekap B'!C18)</f>
        <v>0.20000000000000007</v>
      </c>
      <c r="C40">
        <f>ABS('rekap M'!F18-'rekap B'!D18)</f>
        <v>0.19999999999999998</v>
      </c>
      <c r="E40" t="s">
        <v>236</v>
      </c>
      <c r="F40">
        <f>ABS('rekap M'!E18-'rekap B'!E18)</f>
        <v>0.19999999999999996</v>
      </c>
      <c r="G40">
        <f>ABS('rekap M'!F18-'rekap B'!F18)</f>
        <v>0.2</v>
      </c>
      <c r="I40" t="s">
        <v>236</v>
      </c>
      <c r="J40">
        <f>ABS('rekap M'!E18-'rekap B'!G18)</f>
        <v>0.39999999999999997</v>
      </c>
      <c r="K40">
        <f>ABS('rekap M'!F18-'rekap B'!H18)</f>
        <v>0.39999999999999997</v>
      </c>
      <c r="M40" t="s">
        <v>236</v>
      </c>
      <c r="N40">
        <f>ABS('rekap M'!E18-'rekap B'!I18)</f>
        <v>0.20000000000000007</v>
      </c>
      <c r="O40">
        <f>ABS('rekap M'!F18-'rekap B'!J18)</f>
        <v>0.19999999999999998</v>
      </c>
      <c r="Q40" t="s">
        <v>236</v>
      </c>
      <c r="R40">
        <f>ABS('rekap M'!E18-'rekap B'!K18)</f>
        <v>0</v>
      </c>
      <c r="S40">
        <f>ABS('rekap M'!F18-'rekap B'!L18)</f>
        <v>0</v>
      </c>
      <c r="U40" t="s">
        <v>236</v>
      </c>
      <c r="V40">
        <f>ABS('rekap M'!E18-'rekap B'!M18)</f>
        <v>0.39999999999999997</v>
      </c>
      <c r="W40">
        <f>ABS('rekap M'!F18-'rekap B'!N18)</f>
        <v>0.39999999999999997</v>
      </c>
    </row>
    <row r="41" spans="1:26" x14ac:dyDescent="0.25">
      <c r="A41" t="s">
        <v>237</v>
      </c>
      <c r="B41">
        <f>ABS('rekap M'!E19-'rekap B'!C19)</f>
        <v>0</v>
      </c>
      <c r="C41">
        <f>ABS('rekap M'!F19-'rekap B'!D19)</f>
        <v>0</v>
      </c>
      <c r="E41" t="s">
        <v>237</v>
      </c>
      <c r="F41">
        <f>ABS('rekap M'!E19-'rekap B'!E19)</f>
        <v>0</v>
      </c>
      <c r="G41">
        <f>ABS('rekap M'!F19-'rekap B'!F19)</f>
        <v>0</v>
      </c>
      <c r="I41" t="s">
        <v>237</v>
      </c>
      <c r="J41">
        <f>ABS('rekap M'!E19-'rekap B'!G19)</f>
        <v>0</v>
      </c>
      <c r="K41">
        <f>ABS('rekap M'!F19-'rekap B'!H19)</f>
        <v>0</v>
      </c>
      <c r="M41" t="s">
        <v>237</v>
      </c>
      <c r="N41">
        <f>ABS('rekap M'!E19-'rekap B'!I19)</f>
        <v>0</v>
      </c>
      <c r="O41">
        <f>ABS('rekap M'!F19-'rekap B'!J19)</f>
        <v>0</v>
      </c>
      <c r="Q41" t="s">
        <v>237</v>
      </c>
      <c r="R41">
        <f>ABS('rekap M'!E19-'rekap B'!K19)</f>
        <v>0</v>
      </c>
      <c r="S41">
        <f>ABS('rekap M'!F19-'rekap B'!L19)</f>
        <v>0</v>
      </c>
      <c r="U41" t="s">
        <v>237</v>
      </c>
      <c r="V41">
        <f>ABS('rekap M'!E19-'rekap B'!M19)</f>
        <v>0.4</v>
      </c>
      <c r="W41">
        <f>ABS('rekap M'!F19-'rekap B'!N19)</f>
        <v>0.4</v>
      </c>
    </row>
    <row r="42" spans="1:26" x14ac:dyDescent="0.25">
      <c r="A42" t="s">
        <v>238</v>
      </c>
      <c r="B42">
        <f>ABS('rekap M'!E20-'rekap B'!C20)</f>
        <v>0.2</v>
      </c>
      <c r="C42">
        <f>ABS('rekap M'!F20-'rekap B'!D20)</f>
        <v>0.19999999999999996</v>
      </c>
      <c r="E42" t="s">
        <v>238</v>
      </c>
      <c r="F42">
        <f>ABS('rekap M'!E20-'rekap B'!E20)</f>
        <v>0.39999999999999997</v>
      </c>
      <c r="G42">
        <f>ABS('rekap M'!F20-'rekap B'!F20)</f>
        <v>0.39999999999999997</v>
      </c>
      <c r="I42" t="s">
        <v>238</v>
      </c>
      <c r="J42">
        <f>ABS('rekap M'!E20-'rekap B'!G20)</f>
        <v>0.60000000000000009</v>
      </c>
      <c r="K42">
        <f>ABS('rekap M'!F20-'rekap B'!H20)</f>
        <v>0.6</v>
      </c>
      <c r="M42" t="s">
        <v>238</v>
      </c>
      <c r="N42">
        <f>ABS('rekap M'!E20-'rekap B'!I20)</f>
        <v>0.60000000000000009</v>
      </c>
      <c r="O42">
        <f>ABS('rekap M'!F20-'rekap B'!J20)</f>
        <v>0.6</v>
      </c>
      <c r="Q42" t="s">
        <v>238</v>
      </c>
      <c r="R42">
        <f>ABS('rekap M'!E20-'rekap B'!K20)</f>
        <v>0.39999999999999997</v>
      </c>
      <c r="S42">
        <f>ABS('rekap M'!F20-'rekap B'!L20)</f>
        <v>0.39999999999999997</v>
      </c>
      <c r="U42" t="s">
        <v>238</v>
      </c>
      <c r="V42">
        <f>ABS('rekap M'!E20-'rekap B'!M20)</f>
        <v>0.39999999999999997</v>
      </c>
      <c r="W42">
        <f>ABS('rekap M'!F20-'rekap B'!N20)</f>
        <v>0.39999999999999997</v>
      </c>
    </row>
    <row r="43" spans="1:26" x14ac:dyDescent="0.25">
      <c r="A43" t="s">
        <v>239</v>
      </c>
      <c r="B43">
        <f>ABS('rekap M'!E21-'rekap B'!C21)</f>
        <v>0</v>
      </c>
      <c r="C43">
        <f>ABS('rekap M'!F21-'rekap B'!D21)</f>
        <v>0</v>
      </c>
      <c r="E43" t="s">
        <v>239</v>
      </c>
      <c r="F43">
        <f>ABS('rekap M'!E21-'rekap B'!E21)</f>
        <v>0</v>
      </c>
      <c r="G43">
        <f>ABS('rekap M'!F21-'rekap B'!F21)</f>
        <v>0</v>
      </c>
      <c r="I43" t="s">
        <v>239</v>
      </c>
      <c r="J43">
        <f>ABS('rekap M'!E21-'rekap B'!G21)</f>
        <v>0</v>
      </c>
      <c r="K43">
        <f>ABS('rekap M'!F21-'rekap B'!H21)</f>
        <v>0</v>
      </c>
      <c r="M43" t="s">
        <v>239</v>
      </c>
      <c r="N43">
        <f>ABS('rekap M'!E21-'rekap B'!I21)</f>
        <v>0</v>
      </c>
      <c r="O43">
        <f>ABS('rekap M'!F21-'rekap B'!J21)</f>
        <v>0</v>
      </c>
      <c r="Q43" t="s">
        <v>239</v>
      </c>
      <c r="R43">
        <f>ABS('rekap M'!E21-'rekap B'!K21)</f>
        <v>0</v>
      </c>
      <c r="S43">
        <f>ABS('rekap M'!F21-'rekap B'!L21)</f>
        <v>0</v>
      </c>
      <c r="U43" t="s">
        <v>239</v>
      </c>
      <c r="V43">
        <f>ABS('rekap M'!E21-'rekap B'!M21)</f>
        <v>0</v>
      </c>
      <c r="W43">
        <f>ABS('rekap M'!F21-'rekap B'!N21)</f>
        <v>0</v>
      </c>
    </row>
    <row r="44" spans="1:26" x14ac:dyDescent="0.25">
      <c r="B44">
        <f>SUM(B25:B43)</f>
        <v>1.8</v>
      </c>
      <c r="C44">
        <f t="shared" ref="C44:W44" si="3">SUM(C25:C43)</f>
        <v>1.7999999999999996</v>
      </c>
      <c r="F44">
        <f t="shared" si="3"/>
        <v>2.2000000000000002</v>
      </c>
      <c r="G44">
        <f t="shared" si="3"/>
        <v>2.2000000000000002</v>
      </c>
      <c r="J44">
        <f t="shared" si="3"/>
        <v>1.6</v>
      </c>
      <c r="K44">
        <f t="shared" si="3"/>
        <v>1.5999999999999996</v>
      </c>
      <c r="N44">
        <f t="shared" si="3"/>
        <v>1.0000000000000002</v>
      </c>
      <c r="O44">
        <f t="shared" si="3"/>
        <v>0.99999999999999989</v>
      </c>
      <c r="R44">
        <f t="shared" si="3"/>
        <v>1.7999999999999998</v>
      </c>
      <c r="S44">
        <f t="shared" si="3"/>
        <v>1.7999999999999996</v>
      </c>
      <c r="V44">
        <f t="shared" si="3"/>
        <v>3.1999999999999997</v>
      </c>
      <c r="W44">
        <f t="shared" si="3"/>
        <v>3.1999999999999997</v>
      </c>
    </row>
    <row r="45" spans="1:26" x14ac:dyDescent="0.25">
      <c r="A45" t="s">
        <v>271</v>
      </c>
      <c r="D45">
        <f>1/19*(B44+C44)</f>
        <v>0.18947368421052629</v>
      </c>
      <c r="H45">
        <f t="shared" ref="H45" si="4">1/19*(F44+G44)</f>
        <v>0.23157894736842105</v>
      </c>
      <c r="L45">
        <f t="shared" ref="L45" si="5">1/19*(J44+K44)</f>
        <v>0.16842105263157892</v>
      </c>
      <c r="P45">
        <f t="shared" ref="P45" si="6">1/19*(N44+O44)</f>
        <v>0.10526315789473684</v>
      </c>
      <c r="T45">
        <f t="shared" ref="T45" si="7">1/19*(R44+S44)</f>
        <v>0.18947368421052629</v>
      </c>
      <c r="X45">
        <f t="shared" ref="X45" si="8">1/19*(V44+W44)</f>
        <v>0.33684210526315783</v>
      </c>
      <c r="Y45" t="s">
        <v>272</v>
      </c>
      <c r="Z45" s="110">
        <f>MIN(B45:Y45)</f>
        <v>0.10526315789473684</v>
      </c>
    </row>
    <row r="47" spans="1:26" x14ac:dyDescent="0.25">
      <c r="A47" t="s">
        <v>246</v>
      </c>
      <c r="B47" t="s">
        <v>212</v>
      </c>
      <c r="C47" t="s">
        <v>214</v>
      </c>
      <c r="E47" t="s">
        <v>247</v>
      </c>
      <c r="F47" t="s">
        <v>212</v>
      </c>
      <c r="G47" t="s">
        <v>214</v>
      </c>
      <c r="I47" t="s">
        <v>248</v>
      </c>
      <c r="J47" t="s">
        <v>212</v>
      </c>
      <c r="K47" t="s">
        <v>214</v>
      </c>
      <c r="M47" t="s">
        <v>249</v>
      </c>
      <c r="N47" t="s">
        <v>212</v>
      </c>
      <c r="O47" t="s">
        <v>214</v>
      </c>
      <c r="Q47" t="s">
        <v>250</v>
      </c>
      <c r="R47" t="s">
        <v>212</v>
      </c>
      <c r="S47" t="s">
        <v>214</v>
      </c>
      <c r="U47" t="s">
        <v>251</v>
      </c>
      <c r="V47" t="s">
        <v>212</v>
      </c>
      <c r="W47" t="s">
        <v>214</v>
      </c>
    </row>
    <row r="48" spans="1:26" x14ac:dyDescent="0.25">
      <c r="A48" t="s">
        <v>221</v>
      </c>
      <c r="B48">
        <f>ABS('rekap M'!G3-'rekap B'!C3)</f>
        <v>0</v>
      </c>
      <c r="C48">
        <f>ABS('rekap M'!H3-'rekap B'!D3)</f>
        <v>0</v>
      </c>
      <c r="E48" t="s">
        <v>221</v>
      </c>
      <c r="F48">
        <f>ABS('rekap M'!G3-'rekap B'!E3)</f>
        <v>0</v>
      </c>
      <c r="G48">
        <f>ABS('rekap M'!H3-'rekap B'!F3)</f>
        <v>0</v>
      </c>
      <c r="I48" t="s">
        <v>221</v>
      </c>
      <c r="J48">
        <f>ABS('rekap M'!G3-'rekap B'!G3)</f>
        <v>0.2</v>
      </c>
      <c r="K48">
        <f>ABS('rekap M'!H3-'rekap B'!H3)</f>
        <v>0.19999999999999996</v>
      </c>
      <c r="M48" t="s">
        <v>221</v>
      </c>
      <c r="N48">
        <f>ABS('rekap M'!G3-'rekap B'!I3)</f>
        <v>0.2</v>
      </c>
      <c r="O48">
        <f>ABS('rekap M'!H3-'rekap B'!J3)</f>
        <v>0.19999999999999996</v>
      </c>
      <c r="Q48" t="s">
        <v>221</v>
      </c>
      <c r="R48">
        <f>ABS('rekap M'!G3-'rekap B'!K3)</f>
        <v>0.2</v>
      </c>
      <c r="S48">
        <f>ABS('rekap M'!H3-'rekap B'!L3)</f>
        <v>0.19999999999999996</v>
      </c>
      <c r="U48" t="s">
        <v>221</v>
      </c>
      <c r="V48">
        <f>ABS('rekap M'!G3-'rekap B'!M3)</f>
        <v>0</v>
      </c>
      <c r="W48">
        <f>ABS('rekap M'!H3-'rekap B'!N3)</f>
        <v>0</v>
      </c>
    </row>
    <row r="49" spans="1:23" x14ac:dyDescent="0.25">
      <c r="A49" t="s">
        <v>222</v>
      </c>
      <c r="B49">
        <f>ABS('rekap M'!G4-'rekap B'!C4)</f>
        <v>0.39999999999999997</v>
      </c>
      <c r="C49">
        <f>ABS('rekap M'!H4-'rekap B'!D4)</f>
        <v>0.39999999999999997</v>
      </c>
      <c r="E49" t="s">
        <v>222</v>
      </c>
      <c r="F49">
        <f>ABS('rekap M'!G4-'rekap B'!E4)</f>
        <v>0.60000000000000009</v>
      </c>
      <c r="G49">
        <f>ABS('rekap M'!H4-'rekap B'!F4)</f>
        <v>0.6</v>
      </c>
      <c r="I49" t="s">
        <v>222</v>
      </c>
      <c r="J49">
        <f>ABS('rekap M'!G4-'rekap B'!G4)</f>
        <v>0</v>
      </c>
      <c r="K49">
        <f>ABS('rekap M'!H4-'rekap B'!H4)</f>
        <v>0</v>
      </c>
      <c r="M49" t="s">
        <v>222</v>
      </c>
      <c r="N49">
        <f>ABS('rekap M'!G4-'rekap B'!I4)</f>
        <v>0</v>
      </c>
      <c r="O49">
        <f>ABS('rekap M'!H4-'rekap B'!J4)</f>
        <v>0</v>
      </c>
      <c r="Q49" t="s">
        <v>222</v>
      </c>
      <c r="R49">
        <f>ABS('rekap M'!G4-'rekap B'!K4)</f>
        <v>0.39999999999999997</v>
      </c>
      <c r="S49">
        <f>ABS('rekap M'!H4-'rekap B'!L4)</f>
        <v>0.39999999999999997</v>
      </c>
      <c r="U49" t="s">
        <v>222</v>
      </c>
      <c r="V49">
        <f>ABS('rekap M'!G4-'rekap B'!M4)</f>
        <v>0.60000000000000009</v>
      </c>
      <c r="W49">
        <f>ABS('rekap M'!H4-'rekap B'!N4)</f>
        <v>0.6</v>
      </c>
    </row>
    <row r="50" spans="1:23" x14ac:dyDescent="0.25">
      <c r="A50" t="s">
        <v>223</v>
      </c>
      <c r="B50">
        <f>ABS('rekap M'!G5-'rekap B'!C5)</f>
        <v>0</v>
      </c>
      <c r="C50">
        <f>ABS('rekap M'!H5-'rekap B'!D5)</f>
        <v>0</v>
      </c>
      <c r="E50" t="s">
        <v>223</v>
      </c>
      <c r="F50">
        <f>ABS('rekap M'!G5-'rekap B'!E5)</f>
        <v>0</v>
      </c>
      <c r="G50">
        <f>ABS('rekap M'!H5-'rekap B'!F5)</f>
        <v>0</v>
      </c>
      <c r="I50" t="s">
        <v>223</v>
      </c>
      <c r="J50">
        <f>ABS('rekap M'!G5-'rekap B'!G5)</f>
        <v>0</v>
      </c>
      <c r="K50">
        <f>ABS('rekap M'!H5-'rekap B'!H5)</f>
        <v>0</v>
      </c>
      <c r="M50" t="s">
        <v>223</v>
      </c>
      <c r="N50">
        <f>ABS('rekap M'!G5-'rekap B'!I5)</f>
        <v>0</v>
      </c>
      <c r="O50">
        <f>ABS('rekap M'!H5-'rekap B'!J5)</f>
        <v>0</v>
      </c>
      <c r="Q50" t="s">
        <v>223</v>
      </c>
      <c r="R50">
        <f>ABS('rekap M'!G5-'rekap B'!K5)</f>
        <v>0</v>
      </c>
      <c r="S50">
        <f>ABS('rekap M'!H5-'rekap B'!L5)</f>
        <v>0</v>
      </c>
      <c r="U50" t="s">
        <v>223</v>
      </c>
      <c r="V50">
        <f>ABS('rekap M'!G5-'rekap B'!M5)</f>
        <v>0</v>
      </c>
      <c r="W50">
        <f>ABS('rekap M'!H5-'rekap B'!N5)</f>
        <v>0</v>
      </c>
    </row>
    <row r="51" spans="1:23" x14ac:dyDescent="0.25">
      <c r="A51" t="s">
        <v>224</v>
      </c>
      <c r="B51">
        <f>ABS('rekap M'!G6-'rekap B'!C6)</f>
        <v>0</v>
      </c>
      <c r="C51">
        <f>ABS('rekap M'!H6-'rekap B'!D6)</f>
        <v>0</v>
      </c>
      <c r="E51" t="s">
        <v>224</v>
      </c>
      <c r="F51">
        <f>ABS('rekap M'!G6-'rekap B'!E6)</f>
        <v>0</v>
      </c>
      <c r="G51">
        <f>ABS('rekap M'!H6-'rekap B'!F6)</f>
        <v>0</v>
      </c>
      <c r="I51" t="s">
        <v>224</v>
      </c>
      <c r="J51">
        <f>ABS('rekap M'!G6-'rekap B'!G6)</f>
        <v>0</v>
      </c>
      <c r="K51">
        <f>ABS('rekap M'!H6-'rekap B'!H6)</f>
        <v>0</v>
      </c>
      <c r="M51" t="s">
        <v>224</v>
      </c>
      <c r="N51">
        <f>ABS('rekap M'!G6-'rekap B'!I6)</f>
        <v>0</v>
      </c>
      <c r="O51">
        <f>ABS('rekap M'!H6-'rekap B'!J6)</f>
        <v>0</v>
      </c>
      <c r="Q51" t="s">
        <v>224</v>
      </c>
      <c r="R51">
        <f>ABS('rekap M'!G6-'rekap B'!K6)</f>
        <v>0</v>
      </c>
      <c r="S51">
        <f>ABS('rekap M'!H6-'rekap B'!L6)</f>
        <v>0</v>
      </c>
      <c r="U51" t="s">
        <v>224</v>
      </c>
      <c r="V51">
        <f>ABS('rekap M'!G6-'rekap B'!M6)</f>
        <v>0</v>
      </c>
      <c r="W51">
        <f>ABS('rekap M'!H6-'rekap B'!N6)</f>
        <v>0</v>
      </c>
    </row>
    <row r="52" spans="1:23" x14ac:dyDescent="0.25">
      <c r="A52" t="s">
        <v>225</v>
      </c>
      <c r="B52">
        <f>ABS('rekap M'!G7-'rekap B'!C7)</f>
        <v>0.2</v>
      </c>
      <c r="C52">
        <f>ABS('rekap M'!H7-'rekap B'!D7)</f>
        <v>0.19999999999999996</v>
      </c>
      <c r="E52" t="s">
        <v>225</v>
      </c>
      <c r="F52">
        <f>ABS('rekap M'!G7-'rekap B'!E7)</f>
        <v>0</v>
      </c>
      <c r="G52">
        <f>ABS('rekap M'!H7-'rekap B'!F7)</f>
        <v>0</v>
      </c>
      <c r="I52" t="s">
        <v>225</v>
      </c>
      <c r="J52">
        <f>ABS('rekap M'!G7-'rekap B'!G7)</f>
        <v>0</v>
      </c>
      <c r="K52">
        <f>ABS('rekap M'!H7-'rekap B'!H7)</f>
        <v>0</v>
      </c>
      <c r="M52" t="s">
        <v>225</v>
      </c>
      <c r="N52">
        <f>ABS('rekap M'!G7-'rekap B'!I7)</f>
        <v>0</v>
      </c>
      <c r="O52">
        <f>ABS('rekap M'!H7-'rekap B'!J7)</f>
        <v>0</v>
      </c>
      <c r="Q52" t="s">
        <v>225</v>
      </c>
      <c r="R52">
        <f>ABS('rekap M'!G7-'rekap B'!K7)</f>
        <v>0</v>
      </c>
      <c r="S52">
        <f>ABS('rekap M'!H7-'rekap B'!L7)</f>
        <v>0</v>
      </c>
      <c r="U52" t="s">
        <v>225</v>
      </c>
      <c r="V52">
        <f>ABS('rekap M'!G7-'rekap B'!M7)</f>
        <v>0.2</v>
      </c>
      <c r="W52">
        <f>ABS('rekap M'!H7-'rekap B'!N7)</f>
        <v>0.19999999999999996</v>
      </c>
    </row>
    <row r="53" spans="1:23" x14ac:dyDescent="0.25">
      <c r="A53" t="s">
        <v>226</v>
      </c>
      <c r="B53">
        <f>ABS('rekap M'!G8-'rekap B'!C8)</f>
        <v>0.39999999999999997</v>
      </c>
      <c r="C53">
        <f>ABS('rekap M'!H8-'rekap B'!D8)</f>
        <v>0.39999999999999997</v>
      </c>
      <c r="E53" t="s">
        <v>226</v>
      </c>
      <c r="F53">
        <f>ABS('rekap M'!G8-'rekap B'!E8)</f>
        <v>0</v>
      </c>
      <c r="G53">
        <f>ABS('rekap M'!H8-'rekap B'!F8)</f>
        <v>0</v>
      </c>
      <c r="I53" t="s">
        <v>226</v>
      </c>
      <c r="J53">
        <f>ABS('rekap M'!G8-'rekap B'!G8)</f>
        <v>0</v>
      </c>
      <c r="K53">
        <f>ABS('rekap M'!H8-'rekap B'!H8)</f>
        <v>0</v>
      </c>
      <c r="M53" t="s">
        <v>226</v>
      </c>
      <c r="N53">
        <f>ABS('rekap M'!G8-'rekap B'!I8)</f>
        <v>0</v>
      </c>
      <c r="O53">
        <f>ABS('rekap M'!H8-'rekap B'!J8)</f>
        <v>0</v>
      </c>
      <c r="Q53" t="s">
        <v>226</v>
      </c>
      <c r="R53">
        <f>ABS('rekap M'!G8-'rekap B'!K8)</f>
        <v>0.2</v>
      </c>
      <c r="S53">
        <f>ABS('rekap M'!H8-'rekap B'!L8)</f>
        <v>0.19999999999999996</v>
      </c>
      <c r="U53" t="s">
        <v>226</v>
      </c>
      <c r="V53">
        <f>ABS('rekap M'!G8-'rekap B'!M8)</f>
        <v>0</v>
      </c>
      <c r="W53">
        <f>ABS('rekap M'!H8-'rekap B'!N8)</f>
        <v>0</v>
      </c>
    </row>
    <row r="54" spans="1:23" x14ac:dyDescent="0.25">
      <c r="A54" t="s">
        <v>227</v>
      </c>
      <c r="B54">
        <f>ABS('rekap M'!G9-'rekap B'!C9)</f>
        <v>0</v>
      </c>
      <c r="C54">
        <f>ABS('rekap M'!H9-'rekap B'!D9)</f>
        <v>0</v>
      </c>
      <c r="E54" t="s">
        <v>227</v>
      </c>
      <c r="F54">
        <f>ABS('rekap M'!G9-'rekap B'!E9)</f>
        <v>0</v>
      </c>
      <c r="G54">
        <f>ABS('rekap M'!H9-'rekap B'!F9)</f>
        <v>0</v>
      </c>
      <c r="I54" t="s">
        <v>227</v>
      </c>
      <c r="J54">
        <f>ABS('rekap M'!G9-'rekap B'!G9)</f>
        <v>0</v>
      </c>
      <c r="K54">
        <f>ABS('rekap M'!H9-'rekap B'!H9)</f>
        <v>0</v>
      </c>
      <c r="M54" t="s">
        <v>227</v>
      </c>
      <c r="N54">
        <f>ABS('rekap M'!G9-'rekap B'!I9)</f>
        <v>0</v>
      </c>
      <c r="O54">
        <f>ABS('rekap M'!H9-'rekap B'!J9)</f>
        <v>0</v>
      </c>
      <c r="Q54" t="s">
        <v>227</v>
      </c>
      <c r="R54">
        <f>ABS('rekap M'!G9-'rekap B'!K9)</f>
        <v>0</v>
      </c>
      <c r="S54">
        <f>ABS('rekap M'!H9-'rekap B'!L9)</f>
        <v>0</v>
      </c>
      <c r="U54" t="s">
        <v>227</v>
      </c>
      <c r="V54">
        <f>ABS('rekap M'!G9-'rekap B'!M9)</f>
        <v>0.39999999999999997</v>
      </c>
      <c r="W54">
        <f>ABS('rekap M'!H9-'rekap B'!N9)</f>
        <v>0.39999999999999997</v>
      </c>
    </row>
    <row r="55" spans="1:23" x14ac:dyDescent="0.25">
      <c r="A55" t="s">
        <v>228</v>
      </c>
      <c r="B55">
        <f>ABS('rekap M'!G10-'rekap B'!C10)</f>
        <v>0</v>
      </c>
      <c r="C55">
        <f>ABS('rekap M'!H10-'rekap B'!D10)</f>
        <v>0</v>
      </c>
      <c r="E55" t="s">
        <v>228</v>
      </c>
      <c r="F55">
        <f>ABS('rekap M'!G10-'rekap B'!E10)</f>
        <v>0.60000000000000009</v>
      </c>
      <c r="G55">
        <f>ABS('rekap M'!H10-'rekap B'!F10)</f>
        <v>0.6</v>
      </c>
      <c r="I55" t="s">
        <v>228</v>
      </c>
      <c r="J55">
        <f>ABS('rekap M'!G10-'rekap B'!G10)</f>
        <v>0</v>
      </c>
      <c r="K55">
        <f>ABS('rekap M'!H10-'rekap B'!H10)</f>
        <v>0</v>
      </c>
      <c r="M55" t="s">
        <v>228</v>
      </c>
      <c r="N55">
        <f>ABS('rekap M'!G10-'rekap B'!I10)</f>
        <v>0</v>
      </c>
      <c r="O55">
        <f>ABS('rekap M'!H10-'rekap B'!J10)</f>
        <v>0</v>
      </c>
      <c r="Q55" t="s">
        <v>228</v>
      </c>
      <c r="R55">
        <f>ABS('rekap M'!G10-'rekap B'!K10)</f>
        <v>0.2</v>
      </c>
      <c r="S55">
        <f>ABS('rekap M'!H10-'rekap B'!L10)</f>
        <v>0.19999999999999996</v>
      </c>
      <c r="U55" t="s">
        <v>228</v>
      </c>
      <c r="V55">
        <f>ABS('rekap M'!G10-'rekap B'!M10)</f>
        <v>0</v>
      </c>
      <c r="W55">
        <f>ABS('rekap M'!H10-'rekap B'!N10)</f>
        <v>0</v>
      </c>
    </row>
    <row r="56" spans="1:23" x14ac:dyDescent="0.25">
      <c r="A56" t="s">
        <v>229</v>
      </c>
      <c r="B56">
        <f>ABS('rekap M'!G11-'rekap B'!C11)</f>
        <v>0.2</v>
      </c>
      <c r="C56">
        <f>ABS('rekap M'!H11-'rekap B'!D11)</f>
        <v>0.19999999999999996</v>
      </c>
      <c r="E56" t="s">
        <v>229</v>
      </c>
      <c r="F56">
        <f>ABS('rekap M'!G11-'rekap B'!E11)</f>
        <v>0</v>
      </c>
      <c r="G56">
        <f>ABS('rekap M'!H11-'rekap B'!F11)</f>
        <v>0</v>
      </c>
      <c r="I56" t="s">
        <v>229</v>
      </c>
      <c r="J56">
        <f>ABS('rekap M'!G11-'rekap B'!G11)</f>
        <v>0.39999999999999997</v>
      </c>
      <c r="K56">
        <f>ABS('rekap M'!H11-'rekap B'!H11)</f>
        <v>0.39999999999999997</v>
      </c>
      <c r="M56" t="s">
        <v>229</v>
      </c>
      <c r="N56">
        <f>ABS('rekap M'!G11-'rekap B'!I11)</f>
        <v>0</v>
      </c>
      <c r="O56">
        <f>ABS('rekap M'!H11-'rekap B'!J11)</f>
        <v>0</v>
      </c>
      <c r="Q56" t="s">
        <v>229</v>
      </c>
      <c r="R56">
        <f>ABS('rekap M'!G11-'rekap B'!K11)</f>
        <v>0.2</v>
      </c>
      <c r="S56">
        <f>ABS('rekap M'!H11-'rekap B'!L11)</f>
        <v>0.19999999999999996</v>
      </c>
      <c r="U56" t="s">
        <v>229</v>
      </c>
      <c r="V56">
        <f>ABS('rekap M'!G11-'rekap B'!M11)</f>
        <v>0.2</v>
      </c>
      <c r="W56">
        <f>ABS('rekap M'!H11-'rekap B'!N11)</f>
        <v>0.19999999999999996</v>
      </c>
    </row>
    <row r="57" spans="1:23" x14ac:dyDescent="0.25">
      <c r="A57" t="s">
        <v>230</v>
      </c>
      <c r="B57">
        <f>ABS('rekap M'!G12-'rekap B'!C12)</f>
        <v>0</v>
      </c>
      <c r="C57">
        <f>ABS('rekap M'!H12-'rekap B'!D12)</f>
        <v>0</v>
      </c>
      <c r="E57" t="s">
        <v>230</v>
      </c>
      <c r="F57">
        <f>ABS('rekap M'!G12-'rekap B'!E12)</f>
        <v>0</v>
      </c>
      <c r="G57">
        <f>ABS('rekap M'!H12-'rekap B'!F12)</f>
        <v>0</v>
      </c>
      <c r="I57" t="s">
        <v>230</v>
      </c>
      <c r="J57">
        <f>ABS('rekap M'!G12-'rekap B'!G12)</f>
        <v>0</v>
      </c>
      <c r="K57">
        <f>ABS('rekap M'!H12-'rekap B'!H12)</f>
        <v>0</v>
      </c>
      <c r="M57" t="s">
        <v>230</v>
      </c>
      <c r="N57">
        <f>ABS('rekap M'!G12-'rekap B'!I12)</f>
        <v>0</v>
      </c>
      <c r="O57">
        <f>ABS('rekap M'!H12-'rekap B'!J12)</f>
        <v>0</v>
      </c>
      <c r="Q57" t="s">
        <v>230</v>
      </c>
      <c r="R57">
        <f>ABS('rekap M'!G12-'rekap B'!K12)</f>
        <v>0</v>
      </c>
      <c r="S57">
        <f>ABS('rekap M'!H12-'rekap B'!L12)</f>
        <v>0</v>
      </c>
      <c r="U57" t="s">
        <v>230</v>
      </c>
      <c r="V57">
        <f>ABS('rekap M'!G12-'rekap B'!M12)</f>
        <v>0</v>
      </c>
      <c r="W57">
        <f>ABS('rekap M'!H12-'rekap B'!N12)</f>
        <v>0</v>
      </c>
    </row>
    <row r="58" spans="1:23" x14ac:dyDescent="0.25">
      <c r="A58" t="s">
        <v>231</v>
      </c>
      <c r="B58">
        <f>ABS('rekap M'!G13-'rekap B'!C13)</f>
        <v>0</v>
      </c>
      <c r="C58">
        <f>ABS('rekap M'!H13-'rekap B'!D13)</f>
        <v>0</v>
      </c>
      <c r="E58" t="s">
        <v>231</v>
      </c>
      <c r="F58">
        <f>ABS('rekap M'!G13-'rekap B'!E13)</f>
        <v>0.20000000000000007</v>
      </c>
      <c r="G58">
        <f>ABS('rekap M'!H13-'rekap B'!F13)</f>
        <v>0.19999999999999998</v>
      </c>
      <c r="I58" t="s">
        <v>231</v>
      </c>
      <c r="J58">
        <f>ABS('rekap M'!G13-'rekap B'!G13)</f>
        <v>0.19999999999999996</v>
      </c>
      <c r="K58">
        <f>ABS('rekap M'!H13-'rekap B'!H13)</f>
        <v>0.2</v>
      </c>
      <c r="M58" t="s">
        <v>231</v>
      </c>
      <c r="N58">
        <f>ABS('rekap M'!G13-'rekap B'!I13)</f>
        <v>0.19999999999999996</v>
      </c>
      <c r="O58">
        <f>ABS('rekap M'!H13-'rekap B'!J13)</f>
        <v>0.2</v>
      </c>
      <c r="Q58" t="s">
        <v>231</v>
      </c>
      <c r="R58">
        <f>ABS('rekap M'!G13-'rekap B'!K13)</f>
        <v>0</v>
      </c>
      <c r="S58">
        <f>ABS('rekap M'!H13-'rekap B'!L13)</f>
        <v>0</v>
      </c>
      <c r="U58" t="s">
        <v>231</v>
      </c>
      <c r="V58">
        <f>ABS('rekap M'!G13-'rekap B'!M13)</f>
        <v>0</v>
      </c>
      <c r="W58">
        <f>ABS('rekap M'!H13-'rekap B'!N13)</f>
        <v>0</v>
      </c>
    </row>
    <row r="59" spans="1:23" x14ac:dyDescent="0.25">
      <c r="A59" t="s">
        <v>232</v>
      </c>
      <c r="B59">
        <f>ABS('rekap M'!G14-'rekap B'!C14)</f>
        <v>0.2</v>
      </c>
      <c r="C59">
        <f>ABS('rekap M'!H14-'rekap B'!D14)</f>
        <v>0.19999999999999996</v>
      </c>
      <c r="E59" t="s">
        <v>232</v>
      </c>
      <c r="F59">
        <f>ABS('rekap M'!G14-'rekap B'!E14)</f>
        <v>0.2</v>
      </c>
      <c r="G59">
        <f>ABS('rekap M'!H14-'rekap B'!F14)</f>
        <v>0.19999999999999996</v>
      </c>
      <c r="I59" t="s">
        <v>232</v>
      </c>
      <c r="J59">
        <f>ABS('rekap M'!G14-'rekap B'!G14)</f>
        <v>0.2</v>
      </c>
      <c r="K59">
        <f>ABS('rekap M'!H14-'rekap B'!H14)</f>
        <v>0.19999999999999996</v>
      </c>
      <c r="M59" t="s">
        <v>232</v>
      </c>
      <c r="N59">
        <f>ABS('rekap M'!G14-'rekap B'!I14)</f>
        <v>0.2</v>
      </c>
      <c r="O59">
        <f>ABS('rekap M'!H14-'rekap B'!J14)</f>
        <v>0.19999999999999996</v>
      </c>
      <c r="Q59" t="s">
        <v>232</v>
      </c>
      <c r="R59">
        <f>ABS('rekap M'!G14-'rekap B'!K14)</f>
        <v>0.2</v>
      </c>
      <c r="S59">
        <f>ABS('rekap M'!H14-'rekap B'!L14)</f>
        <v>0.19999999999999996</v>
      </c>
      <c r="U59" t="s">
        <v>232</v>
      </c>
      <c r="V59">
        <f>ABS('rekap M'!G14-'rekap B'!M14)</f>
        <v>0.2</v>
      </c>
      <c r="W59">
        <f>ABS('rekap M'!H14-'rekap B'!N14)</f>
        <v>0.19999999999999996</v>
      </c>
    </row>
    <row r="60" spans="1:23" x14ac:dyDescent="0.25">
      <c r="A60" t="s">
        <v>233</v>
      </c>
      <c r="B60">
        <f>ABS('rekap M'!G15-'rekap B'!C15)</f>
        <v>0</v>
      </c>
      <c r="C60">
        <f>ABS('rekap M'!H15-'rekap B'!D15)</f>
        <v>0</v>
      </c>
      <c r="E60" t="s">
        <v>233</v>
      </c>
      <c r="F60">
        <f>ABS('rekap M'!G15-'rekap B'!E15)</f>
        <v>0</v>
      </c>
      <c r="G60">
        <f>ABS('rekap M'!H15-'rekap B'!F15)</f>
        <v>0</v>
      </c>
      <c r="I60" t="s">
        <v>233</v>
      </c>
      <c r="J60">
        <f>ABS('rekap M'!G15-'rekap B'!G15)</f>
        <v>0</v>
      </c>
      <c r="K60">
        <f>ABS('rekap M'!H15-'rekap B'!H15)</f>
        <v>0</v>
      </c>
      <c r="M60" t="s">
        <v>233</v>
      </c>
      <c r="N60">
        <f>ABS('rekap M'!G15-'rekap B'!I15)</f>
        <v>0</v>
      </c>
      <c r="O60">
        <f>ABS('rekap M'!H15-'rekap B'!J15)</f>
        <v>0</v>
      </c>
      <c r="Q60" t="s">
        <v>233</v>
      </c>
      <c r="R60">
        <f>ABS('rekap M'!G15-'rekap B'!K15)</f>
        <v>0</v>
      </c>
      <c r="S60">
        <f>ABS('rekap M'!H15-'rekap B'!L15)</f>
        <v>0</v>
      </c>
      <c r="U60" t="s">
        <v>233</v>
      </c>
      <c r="V60">
        <f>ABS('rekap M'!G15-'rekap B'!M15)</f>
        <v>0</v>
      </c>
      <c r="W60">
        <f>ABS('rekap M'!H15-'rekap B'!N15)</f>
        <v>0</v>
      </c>
    </row>
    <row r="61" spans="1:23" x14ac:dyDescent="0.25">
      <c r="A61" t="s">
        <v>234</v>
      </c>
      <c r="B61">
        <f>ABS('rekap M'!G16-'rekap B'!C16)</f>
        <v>0</v>
      </c>
      <c r="C61">
        <f>ABS('rekap M'!H16-'rekap B'!D16)</f>
        <v>0</v>
      </c>
      <c r="E61" t="s">
        <v>234</v>
      </c>
      <c r="F61">
        <f>ABS('rekap M'!G16-'rekap B'!E16)</f>
        <v>0</v>
      </c>
      <c r="G61">
        <f>ABS('rekap M'!H16-'rekap B'!F16)</f>
        <v>0</v>
      </c>
      <c r="I61" t="s">
        <v>234</v>
      </c>
      <c r="J61">
        <f>ABS('rekap M'!G16-'rekap B'!G16)</f>
        <v>0</v>
      </c>
      <c r="K61">
        <f>ABS('rekap M'!H16-'rekap B'!H16)</f>
        <v>0</v>
      </c>
      <c r="M61" t="s">
        <v>234</v>
      </c>
      <c r="N61">
        <f>ABS('rekap M'!G16-'rekap B'!I16)</f>
        <v>0</v>
      </c>
      <c r="O61">
        <f>ABS('rekap M'!H16-'rekap B'!J16)</f>
        <v>0</v>
      </c>
      <c r="Q61" t="s">
        <v>234</v>
      </c>
      <c r="R61">
        <f>ABS('rekap M'!G16-'rekap B'!K16)</f>
        <v>0</v>
      </c>
      <c r="S61">
        <f>ABS('rekap M'!H16-'rekap B'!L16)</f>
        <v>0</v>
      </c>
      <c r="U61" t="s">
        <v>234</v>
      </c>
      <c r="V61">
        <f>ABS('rekap M'!G16-'rekap B'!M16)</f>
        <v>0</v>
      </c>
      <c r="W61">
        <f>ABS('rekap M'!H16-'rekap B'!N16)</f>
        <v>0</v>
      </c>
    </row>
    <row r="62" spans="1:23" x14ac:dyDescent="0.25">
      <c r="A62" t="s">
        <v>235</v>
      </c>
      <c r="B62">
        <f>ABS('rekap M'!G17-'rekap B'!C17)</f>
        <v>0.4</v>
      </c>
      <c r="C62">
        <f>ABS('rekap M'!H17-'rekap B'!D17)</f>
        <v>0.4</v>
      </c>
      <c r="E62" t="s">
        <v>235</v>
      </c>
      <c r="F62">
        <f>ABS('rekap M'!G17-'rekap B'!E17)</f>
        <v>0.4</v>
      </c>
      <c r="G62">
        <f>ABS('rekap M'!H17-'rekap B'!F17)</f>
        <v>0.4</v>
      </c>
      <c r="I62" t="s">
        <v>235</v>
      </c>
      <c r="J62">
        <f>ABS('rekap M'!G17-'rekap B'!G17)</f>
        <v>0.4</v>
      </c>
      <c r="K62">
        <f>ABS('rekap M'!H17-'rekap B'!H17)</f>
        <v>0.4</v>
      </c>
      <c r="M62" t="s">
        <v>235</v>
      </c>
      <c r="N62">
        <f>ABS('rekap M'!G17-'rekap B'!I17)</f>
        <v>0.4</v>
      </c>
      <c r="O62">
        <f>ABS('rekap M'!H17-'rekap B'!J17)</f>
        <v>0.4</v>
      </c>
      <c r="Q62" t="s">
        <v>235</v>
      </c>
      <c r="R62">
        <f>ABS('rekap M'!G17-'rekap B'!K17)</f>
        <v>0.4</v>
      </c>
      <c r="S62">
        <f>ABS('rekap M'!H17-'rekap B'!L17)</f>
        <v>0.4</v>
      </c>
      <c r="U62" t="s">
        <v>235</v>
      </c>
      <c r="V62">
        <f>ABS('rekap M'!G17-'rekap B'!M17)</f>
        <v>0</v>
      </c>
      <c r="W62">
        <f>ABS('rekap M'!H17-'rekap B'!N17)</f>
        <v>0</v>
      </c>
    </row>
    <row r="63" spans="1:23" x14ac:dyDescent="0.25">
      <c r="A63" t="s">
        <v>236</v>
      </c>
      <c r="B63">
        <f>ABS('rekap M'!G18-'rekap B'!C18)</f>
        <v>0.20000000000000007</v>
      </c>
      <c r="C63">
        <f>ABS('rekap M'!H18-'rekap B'!D18)</f>
        <v>0.19999999999999998</v>
      </c>
      <c r="E63" t="s">
        <v>236</v>
      </c>
      <c r="F63">
        <f>ABS('rekap M'!G18-'rekap B'!E18)</f>
        <v>0.19999999999999996</v>
      </c>
      <c r="G63">
        <f>ABS('rekap M'!H18-'rekap B'!F18)</f>
        <v>0.2</v>
      </c>
      <c r="I63" t="s">
        <v>236</v>
      </c>
      <c r="J63">
        <f>ABS('rekap M'!G18-'rekap B'!G18)</f>
        <v>0.39999999999999997</v>
      </c>
      <c r="K63">
        <f>ABS('rekap M'!H18-'rekap B'!H18)</f>
        <v>0.39999999999999997</v>
      </c>
      <c r="M63" t="s">
        <v>236</v>
      </c>
      <c r="N63">
        <f>ABS('rekap M'!G18-'rekap B'!I18)</f>
        <v>0.20000000000000007</v>
      </c>
      <c r="O63">
        <f>ABS('rekap M'!H18-'rekap B'!J18)</f>
        <v>0.19999999999999998</v>
      </c>
      <c r="Q63" t="s">
        <v>236</v>
      </c>
      <c r="R63">
        <f>ABS('rekap M'!G18-'rekap B'!K18)</f>
        <v>0</v>
      </c>
      <c r="S63">
        <f>ABS('rekap M'!H18-'rekap B'!L18)</f>
        <v>0</v>
      </c>
      <c r="U63" t="s">
        <v>236</v>
      </c>
      <c r="V63">
        <f>ABS('rekap M'!G18-'rekap B'!M18)</f>
        <v>0.39999999999999997</v>
      </c>
      <c r="W63">
        <f>ABS('rekap M'!H18-'rekap B'!N18)</f>
        <v>0.39999999999999997</v>
      </c>
    </row>
    <row r="64" spans="1:23" x14ac:dyDescent="0.25">
      <c r="A64" t="s">
        <v>237</v>
      </c>
      <c r="B64">
        <f>ABS('rekap M'!G19-'rekap B'!C19)</f>
        <v>0.4</v>
      </c>
      <c r="C64">
        <f>ABS('rekap M'!H19-'rekap B'!D19)</f>
        <v>0.4</v>
      </c>
      <c r="E64" t="s">
        <v>237</v>
      </c>
      <c r="F64">
        <f>ABS('rekap M'!G19-'rekap B'!E19)</f>
        <v>0.4</v>
      </c>
      <c r="G64">
        <f>ABS('rekap M'!H19-'rekap B'!F19)</f>
        <v>0.4</v>
      </c>
      <c r="I64" t="s">
        <v>237</v>
      </c>
      <c r="J64">
        <f>ABS('rekap M'!G19-'rekap B'!G19)</f>
        <v>0.4</v>
      </c>
      <c r="K64">
        <f>ABS('rekap M'!H19-'rekap B'!H19)</f>
        <v>0.4</v>
      </c>
      <c r="M64" t="s">
        <v>237</v>
      </c>
      <c r="N64">
        <f>ABS('rekap M'!G19-'rekap B'!I19)</f>
        <v>0.4</v>
      </c>
      <c r="O64">
        <f>ABS('rekap M'!H19-'rekap B'!J19)</f>
        <v>0.4</v>
      </c>
      <c r="Q64" t="s">
        <v>237</v>
      </c>
      <c r="R64">
        <f>ABS('rekap M'!G19-'rekap B'!K19)</f>
        <v>0.4</v>
      </c>
      <c r="S64">
        <f>ABS('rekap M'!H19-'rekap B'!L19)</f>
        <v>0.4</v>
      </c>
      <c r="U64" t="s">
        <v>237</v>
      </c>
      <c r="V64">
        <f>ABS('rekap M'!G19-'rekap B'!M19)</f>
        <v>0</v>
      </c>
      <c r="W64">
        <f>ABS('rekap M'!H19-'rekap B'!N19)</f>
        <v>0</v>
      </c>
    </row>
    <row r="65" spans="1:26" x14ac:dyDescent="0.25">
      <c r="A65" t="s">
        <v>238</v>
      </c>
      <c r="B65">
        <f>ABS('rekap M'!G20-'rekap B'!C20)</f>
        <v>0.2</v>
      </c>
      <c r="C65">
        <f>ABS('rekap M'!H20-'rekap B'!D20)</f>
        <v>0.19999999999999996</v>
      </c>
      <c r="E65" t="s">
        <v>238</v>
      </c>
      <c r="F65">
        <f>ABS('rekap M'!G20-'rekap B'!E20)</f>
        <v>0.39999999999999997</v>
      </c>
      <c r="G65">
        <f>ABS('rekap M'!H20-'rekap B'!F20)</f>
        <v>0.39999999999999997</v>
      </c>
      <c r="I65" t="s">
        <v>238</v>
      </c>
      <c r="J65">
        <f>ABS('rekap M'!G20-'rekap B'!G20)</f>
        <v>0.60000000000000009</v>
      </c>
      <c r="K65">
        <f>ABS('rekap M'!H20-'rekap B'!H20)</f>
        <v>0.6</v>
      </c>
      <c r="M65" t="s">
        <v>238</v>
      </c>
      <c r="N65">
        <f>ABS('rekap M'!G20-'rekap B'!I20)</f>
        <v>0.60000000000000009</v>
      </c>
      <c r="O65">
        <f>ABS('rekap M'!H20-'rekap B'!J20)</f>
        <v>0.6</v>
      </c>
      <c r="Q65" t="s">
        <v>238</v>
      </c>
      <c r="R65">
        <f>ABS('rekap M'!G20-'rekap B'!K20)</f>
        <v>0.39999999999999997</v>
      </c>
      <c r="S65">
        <f>ABS('rekap M'!H20-'rekap B'!L20)</f>
        <v>0.39999999999999997</v>
      </c>
      <c r="U65" t="s">
        <v>238</v>
      </c>
      <c r="V65">
        <f>ABS('rekap M'!G20-'rekap B'!M20)</f>
        <v>0.39999999999999997</v>
      </c>
      <c r="W65">
        <f>ABS('rekap M'!H20-'rekap B'!N20)</f>
        <v>0.39999999999999997</v>
      </c>
    </row>
    <row r="66" spans="1:26" x14ac:dyDescent="0.25">
      <c r="A66" t="s">
        <v>239</v>
      </c>
      <c r="B66">
        <f>ABS('rekap M'!G21-'rekap B'!C21)</f>
        <v>0.60000000000000009</v>
      </c>
      <c r="C66">
        <f>ABS('rekap M'!H21-'rekap B'!D21)</f>
        <v>0.6</v>
      </c>
      <c r="E66" t="s">
        <v>239</v>
      </c>
      <c r="F66">
        <f>ABS('rekap M'!G21-'rekap B'!E21)</f>
        <v>0.60000000000000009</v>
      </c>
      <c r="G66">
        <f>ABS('rekap M'!H21-'rekap B'!F21)</f>
        <v>0.6</v>
      </c>
      <c r="I66" t="s">
        <v>239</v>
      </c>
      <c r="J66">
        <f>ABS('rekap M'!G21-'rekap B'!G21)</f>
        <v>0.60000000000000009</v>
      </c>
      <c r="K66">
        <f>ABS('rekap M'!H21-'rekap B'!H21)</f>
        <v>0.6</v>
      </c>
      <c r="M66" t="s">
        <v>239</v>
      </c>
      <c r="N66">
        <f>ABS('rekap M'!G21-'rekap B'!I21)</f>
        <v>0.60000000000000009</v>
      </c>
      <c r="O66">
        <f>ABS('rekap M'!H21-'rekap B'!J21)</f>
        <v>0.6</v>
      </c>
      <c r="Q66" t="s">
        <v>239</v>
      </c>
      <c r="R66">
        <f>ABS('rekap M'!G21-'rekap B'!K21)</f>
        <v>0.60000000000000009</v>
      </c>
      <c r="S66">
        <f>ABS('rekap M'!H21-'rekap B'!L21)</f>
        <v>0.6</v>
      </c>
      <c r="U66" t="s">
        <v>239</v>
      </c>
      <c r="V66">
        <f>ABS('rekap M'!G21-'rekap B'!M21)</f>
        <v>0.60000000000000009</v>
      </c>
      <c r="W66">
        <f>ABS('rekap M'!H21-'rekap B'!N21)</f>
        <v>0.6</v>
      </c>
    </row>
    <row r="67" spans="1:26" x14ac:dyDescent="0.25">
      <c r="B67">
        <f>SUM(B48:B66)</f>
        <v>3.2</v>
      </c>
      <c r="C67">
        <f t="shared" ref="C67" si="9">SUM(C48:C66)</f>
        <v>3.1999999999999997</v>
      </c>
      <c r="F67">
        <f t="shared" ref="F67" si="10">SUM(F48:F66)</f>
        <v>3.6</v>
      </c>
      <c r="G67">
        <f t="shared" ref="G67" si="11">SUM(G48:G66)</f>
        <v>3.6</v>
      </c>
      <c r="J67">
        <f t="shared" ref="J67" si="12">SUM(J48:J66)</f>
        <v>3.4</v>
      </c>
      <c r="K67">
        <f t="shared" ref="K67" si="13">SUM(K48:K66)</f>
        <v>3.4</v>
      </c>
      <c r="N67">
        <f t="shared" ref="N67" si="14">SUM(N48:N66)</f>
        <v>2.8000000000000003</v>
      </c>
      <c r="O67">
        <f t="shared" ref="O67" si="15">SUM(O48:O66)</f>
        <v>2.8000000000000003</v>
      </c>
      <c r="R67">
        <f t="shared" ref="R67" si="16">SUM(R48:R66)</f>
        <v>3.1999999999999997</v>
      </c>
      <c r="S67">
        <f t="shared" ref="S67" si="17">SUM(S48:S66)</f>
        <v>3.1999999999999997</v>
      </c>
      <c r="V67">
        <f t="shared" ref="V67" si="18">SUM(V48:V66)</f>
        <v>3</v>
      </c>
      <c r="W67">
        <f t="shared" ref="W67" si="19">SUM(W48:W66)</f>
        <v>3</v>
      </c>
    </row>
    <row r="68" spans="1:26" x14ac:dyDescent="0.25">
      <c r="A68" t="s">
        <v>271</v>
      </c>
      <c r="D68">
        <f>1/19*(B67+C67)</f>
        <v>0.33684210526315789</v>
      </c>
      <c r="H68">
        <f t="shared" ref="H68" si="20">1/19*(F67+G67)</f>
        <v>0.37894736842105264</v>
      </c>
      <c r="L68">
        <f t="shared" ref="L68" si="21">1/19*(J67+K67)</f>
        <v>0.35789473684210521</v>
      </c>
      <c r="P68">
        <f t="shared" ref="P68" si="22">1/19*(N67+O67)</f>
        <v>0.29473684210526319</v>
      </c>
      <c r="T68">
        <f t="shared" ref="T68" si="23">1/19*(R67+S67)</f>
        <v>0.33684210526315783</v>
      </c>
      <c r="X68">
        <f t="shared" ref="X68" si="24">1/19*(V67+W67)</f>
        <v>0.31578947368421051</v>
      </c>
      <c r="Y68" t="s">
        <v>272</v>
      </c>
      <c r="Z68" s="110">
        <f>MIN(B68:Y68)</f>
        <v>0.29473684210526319</v>
      </c>
    </row>
    <row r="69" spans="1:26" x14ac:dyDescent="0.25">
      <c r="Z69" s="110"/>
    </row>
    <row r="71" spans="1:26" x14ac:dyDescent="0.25">
      <c r="A71" t="s">
        <v>252</v>
      </c>
      <c r="B71" t="s">
        <v>212</v>
      </c>
      <c r="C71" t="s">
        <v>214</v>
      </c>
      <c r="E71" t="s">
        <v>253</v>
      </c>
      <c r="F71" t="s">
        <v>212</v>
      </c>
      <c r="G71" t="s">
        <v>214</v>
      </c>
      <c r="I71" t="s">
        <v>254</v>
      </c>
      <c r="J71" t="s">
        <v>212</v>
      </c>
      <c r="K71" t="s">
        <v>214</v>
      </c>
      <c r="M71" t="s">
        <v>255</v>
      </c>
      <c r="N71" t="s">
        <v>212</v>
      </c>
      <c r="O71" t="s">
        <v>214</v>
      </c>
      <c r="Q71" t="s">
        <v>256</v>
      </c>
      <c r="R71" t="s">
        <v>212</v>
      </c>
      <c r="S71" t="s">
        <v>214</v>
      </c>
      <c r="U71" t="s">
        <v>257</v>
      </c>
      <c r="V71" t="s">
        <v>212</v>
      </c>
      <c r="W71" t="s">
        <v>214</v>
      </c>
    </row>
    <row r="72" spans="1:26" x14ac:dyDescent="0.25">
      <c r="A72" t="s">
        <v>221</v>
      </c>
      <c r="B72">
        <f>ABS('rekap M'!I3-'rekap B'!C3)</f>
        <v>0.2</v>
      </c>
      <c r="C72">
        <f>ABS('rekap M'!J3-'rekap B'!D3)</f>
        <v>0.19999999999999996</v>
      </c>
      <c r="E72" t="s">
        <v>221</v>
      </c>
      <c r="F72">
        <f>ABS('rekap M'!I3-'rekap B'!E3)</f>
        <v>0.2</v>
      </c>
      <c r="G72">
        <f>ABS('rekap M'!J3-'rekap B'!F3)</f>
        <v>0.19999999999999996</v>
      </c>
      <c r="I72" t="s">
        <v>221</v>
      </c>
      <c r="J72">
        <f>ABS('rekap M'!I3-'rekap B'!G3)</f>
        <v>0</v>
      </c>
      <c r="K72">
        <f>ABS('rekap M'!J3-'rekap B'!H3)</f>
        <v>0</v>
      </c>
      <c r="M72" t="s">
        <v>221</v>
      </c>
      <c r="N72">
        <f>ABS('rekap M'!I3-'rekap B'!I3)</f>
        <v>0</v>
      </c>
      <c r="O72">
        <f>ABS('rekap M'!J3-'rekap B'!J3)</f>
        <v>0</v>
      </c>
      <c r="Q72" t="s">
        <v>221</v>
      </c>
      <c r="R72">
        <f>ABS('rekap M'!I3-'rekap B'!K3)</f>
        <v>0</v>
      </c>
      <c r="S72">
        <f>ABS('rekap M'!J3-'rekap B'!L3)</f>
        <v>0</v>
      </c>
      <c r="U72" t="s">
        <v>221</v>
      </c>
      <c r="V72">
        <f>ABS('rekap M'!I3-'rekap B'!M3)</f>
        <v>0.2</v>
      </c>
      <c r="W72">
        <f>ABS('rekap M'!J3-'rekap B'!N3)</f>
        <v>0.19999999999999996</v>
      </c>
    </row>
    <row r="73" spans="1:26" x14ac:dyDescent="0.25">
      <c r="A73" t="s">
        <v>222</v>
      </c>
      <c r="B73">
        <f>ABS('rekap M'!I4-'rekap B'!C4)</f>
        <v>0.39999999999999997</v>
      </c>
      <c r="C73">
        <f>ABS('rekap M'!J4-'rekap B'!D4)</f>
        <v>0.39999999999999997</v>
      </c>
      <c r="E73" t="s">
        <v>222</v>
      </c>
      <c r="F73">
        <f>ABS('rekap M'!I4-'rekap B'!E4)</f>
        <v>0.60000000000000009</v>
      </c>
      <c r="G73">
        <f>ABS('rekap M'!J4-'rekap B'!F4)</f>
        <v>0.6</v>
      </c>
      <c r="I73" t="s">
        <v>222</v>
      </c>
      <c r="J73">
        <f>ABS('rekap M'!I4-'rekap B'!G4)</f>
        <v>0</v>
      </c>
      <c r="K73">
        <f>ABS('rekap M'!J4-'rekap B'!H4)</f>
        <v>0</v>
      </c>
      <c r="M73" t="s">
        <v>222</v>
      </c>
      <c r="N73">
        <f>ABS('rekap M'!I4-'rekap B'!I4)</f>
        <v>0</v>
      </c>
      <c r="O73">
        <f>ABS('rekap M'!J4-'rekap B'!J4)</f>
        <v>0</v>
      </c>
      <c r="Q73" t="s">
        <v>222</v>
      </c>
      <c r="R73">
        <f>ABS('rekap M'!I4-'rekap B'!K4)</f>
        <v>0.39999999999999997</v>
      </c>
      <c r="S73">
        <f>ABS('rekap M'!J4-'rekap B'!L4)</f>
        <v>0.39999999999999997</v>
      </c>
      <c r="U73" t="s">
        <v>222</v>
      </c>
      <c r="V73">
        <f>ABS('rekap M'!I4-'rekap B'!M4)</f>
        <v>0.60000000000000009</v>
      </c>
      <c r="W73">
        <f>ABS('rekap M'!J4-'rekap B'!N4)</f>
        <v>0.6</v>
      </c>
    </row>
    <row r="74" spans="1:26" x14ac:dyDescent="0.25">
      <c r="A74" t="s">
        <v>223</v>
      </c>
      <c r="B74">
        <f>ABS('rekap M'!I5-'rekap B'!C5)</f>
        <v>0</v>
      </c>
      <c r="C74">
        <f>ABS('rekap M'!J5-'rekap B'!D5)</f>
        <v>0</v>
      </c>
      <c r="E74" t="s">
        <v>223</v>
      </c>
      <c r="F74">
        <f>ABS('rekap M'!I5-'rekap B'!E5)</f>
        <v>0</v>
      </c>
      <c r="G74">
        <f>ABS('rekap M'!J5-'rekap B'!F5)</f>
        <v>0</v>
      </c>
      <c r="I74" t="s">
        <v>223</v>
      </c>
      <c r="J74">
        <f>ABS('rekap M'!I5-'rekap B'!G5)</f>
        <v>0</v>
      </c>
      <c r="K74">
        <f>ABS('rekap M'!J5-'rekap B'!H5)</f>
        <v>0</v>
      </c>
      <c r="M74" t="s">
        <v>223</v>
      </c>
      <c r="N74">
        <f>ABS('rekap M'!I5-'rekap B'!I5)</f>
        <v>0</v>
      </c>
      <c r="O74">
        <f>ABS('rekap M'!J5-'rekap B'!J5)</f>
        <v>0</v>
      </c>
      <c r="Q74" t="s">
        <v>223</v>
      </c>
      <c r="R74">
        <f>ABS('rekap M'!I5-'rekap B'!K5)</f>
        <v>0</v>
      </c>
      <c r="S74">
        <f>ABS('rekap M'!J5-'rekap B'!L5)</f>
        <v>0</v>
      </c>
      <c r="U74" t="s">
        <v>223</v>
      </c>
      <c r="V74">
        <f>ABS('rekap M'!I5-'rekap B'!M5)</f>
        <v>0</v>
      </c>
      <c r="W74">
        <f>ABS('rekap M'!J5-'rekap B'!N5)</f>
        <v>0</v>
      </c>
    </row>
    <row r="75" spans="1:26" x14ac:dyDescent="0.25">
      <c r="A75" t="s">
        <v>224</v>
      </c>
      <c r="B75">
        <f>ABS('rekap M'!I6-'rekap B'!C6)</f>
        <v>0</v>
      </c>
      <c r="C75">
        <f>ABS('rekap M'!J6-'rekap B'!D6)</f>
        <v>0</v>
      </c>
      <c r="E75" t="s">
        <v>224</v>
      </c>
      <c r="F75">
        <f>ABS('rekap M'!I6-'rekap B'!E6)</f>
        <v>0</v>
      </c>
      <c r="G75">
        <f>ABS('rekap M'!J6-'rekap B'!F6)</f>
        <v>0</v>
      </c>
      <c r="I75" t="s">
        <v>224</v>
      </c>
      <c r="J75">
        <f>ABS('rekap M'!I6-'rekap B'!G6)</f>
        <v>0</v>
      </c>
      <c r="K75">
        <f>ABS('rekap M'!J6-'rekap B'!H6)</f>
        <v>0</v>
      </c>
      <c r="M75" t="s">
        <v>224</v>
      </c>
      <c r="N75">
        <f>ABS('rekap M'!I6-'rekap B'!I6)</f>
        <v>0</v>
      </c>
      <c r="O75">
        <f>ABS('rekap M'!J6-'rekap B'!J6)</f>
        <v>0</v>
      </c>
      <c r="Q75" t="s">
        <v>224</v>
      </c>
      <c r="R75">
        <f>ABS('rekap M'!I6-'rekap B'!K6)</f>
        <v>0</v>
      </c>
      <c r="S75">
        <f>ABS('rekap M'!J6-'rekap B'!L6)</f>
        <v>0</v>
      </c>
      <c r="U75" t="s">
        <v>224</v>
      </c>
      <c r="V75">
        <f>ABS('rekap M'!I6-'rekap B'!M6)</f>
        <v>0</v>
      </c>
      <c r="W75">
        <f>ABS('rekap M'!J6-'rekap B'!N6)</f>
        <v>0</v>
      </c>
    </row>
    <row r="76" spans="1:26" x14ac:dyDescent="0.25">
      <c r="A76" t="s">
        <v>225</v>
      </c>
      <c r="B76">
        <f>ABS('rekap M'!I7-'rekap B'!C7)</f>
        <v>0.2</v>
      </c>
      <c r="C76">
        <f>ABS('rekap M'!J7-'rekap B'!D7)</f>
        <v>0.19999999999999996</v>
      </c>
      <c r="E76" t="s">
        <v>225</v>
      </c>
      <c r="F76">
        <f>ABS('rekap M'!I7-'rekap B'!E7)</f>
        <v>0</v>
      </c>
      <c r="G76">
        <f>ABS('rekap M'!J7-'rekap B'!F7)</f>
        <v>0</v>
      </c>
      <c r="I76" t="s">
        <v>225</v>
      </c>
      <c r="J76">
        <f>ABS('rekap M'!I7-'rekap B'!G7)</f>
        <v>0</v>
      </c>
      <c r="K76">
        <f>ABS('rekap M'!J7-'rekap B'!H7)</f>
        <v>0</v>
      </c>
      <c r="M76" t="s">
        <v>225</v>
      </c>
      <c r="N76">
        <f>ABS('rekap M'!I7-'rekap B'!I7)</f>
        <v>0</v>
      </c>
      <c r="O76">
        <f>ABS('rekap M'!J7-'rekap B'!J7)</f>
        <v>0</v>
      </c>
      <c r="Q76" t="s">
        <v>225</v>
      </c>
      <c r="R76">
        <f>ABS('rekap M'!I7-'rekap B'!K7)</f>
        <v>0</v>
      </c>
      <c r="S76">
        <f>ABS('rekap M'!J7-'rekap B'!L7)</f>
        <v>0</v>
      </c>
      <c r="U76" t="s">
        <v>225</v>
      </c>
      <c r="V76">
        <f>ABS('rekap M'!I7-'rekap B'!M7)</f>
        <v>0.2</v>
      </c>
      <c r="W76">
        <f>ABS('rekap M'!J7-'rekap B'!N7)</f>
        <v>0.19999999999999996</v>
      </c>
    </row>
    <row r="77" spans="1:26" x14ac:dyDescent="0.25">
      <c r="A77" t="s">
        <v>226</v>
      </c>
      <c r="B77">
        <f>ABS('rekap M'!I8-'rekap B'!C8)</f>
        <v>0.39999999999999997</v>
      </c>
      <c r="C77">
        <f>ABS('rekap M'!J8-'rekap B'!D8)</f>
        <v>0.39999999999999997</v>
      </c>
      <c r="E77" t="s">
        <v>226</v>
      </c>
      <c r="F77">
        <f>ABS('rekap M'!I8-'rekap B'!E8)</f>
        <v>0</v>
      </c>
      <c r="G77">
        <f>ABS('rekap M'!J8-'rekap B'!F8)</f>
        <v>0</v>
      </c>
      <c r="I77" t="s">
        <v>226</v>
      </c>
      <c r="J77">
        <f>ABS('rekap M'!I8-'rekap B'!G8)</f>
        <v>0</v>
      </c>
      <c r="K77">
        <f>ABS('rekap M'!J8-'rekap B'!H8)</f>
        <v>0</v>
      </c>
      <c r="M77" t="s">
        <v>226</v>
      </c>
      <c r="N77">
        <f>ABS('rekap M'!I8-'rekap B'!I8)</f>
        <v>0</v>
      </c>
      <c r="O77">
        <f>ABS('rekap M'!J8-'rekap B'!J8)</f>
        <v>0</v>
      </c>
      <c r="Q77" t="s">
        <v>226</v>
      </c>
      <c r="R77">
        <f>ABS('rekap M'!I8-'rekap B'!K8)</f>
        <v>0.2</v>
      </c>
      <c r="S77">
        <f>ABS('rekap M'!J8-'rekap B'!L8)</f>
        <v>0.19999999999999996</v>
      </c>
      <c r="U77" t="s">
        <v>226</v>
      </c>
      <c r="V77">
        <f>ABS('rekap M'!I8-'rekap B'!M8)</f>
        <v>0</v>
      </c>
      <c r="W77">
        <f>ABS('rekap M'!J8-'rekap B'!N8)</f>
        <v>0</v>
      </c>
    </row>
    <row r="78" spans="1:26" x14ac:dyDescent="0.25">
      <c r="A78" t="s">
        <v>227</v>
      </c>
      <c r="B78">
        <f>ABS('rekap M'!I9-'rekap B'!C9)</f>
        <v>0</v>
      </c>
      <c r="C78">
        <f>ABS('rekap M'!J9-'rekap B'!D9)</f>
        <v>0</v>
      </c>
      <c r="E78" t="s">
        <v>227</v>
      </c>
      <c r="F78">
        <f>ABS('rekap M'!I9-'rekap B'!E9)</f>
        <v>0</v>
      </c>
      <c r="G78">
        <f>ABS('rekap M'!J9-'rekap B'!F9)</f>
        <v>0</v>
      </c>
      <c r="I78" t="s">
        <v>227</v>
      </c>
      <c r="J78">
        <f>ABS('rekap M'!I9-'rekap B'!G9)</f>
        <v>0</v>
      </c>
      <c r="K78">
        <f>ABS('rekap M'!J9-'rekap B'!H9)</f>
        <v>0</v>
      </c>
      <c r="M78" t="s">
        <v>227</v>
      </c>
      <c r="N78">
        <f>ABS('rekap M'!I9-'rekap B'!I9)</f>
        <v>0</v>
      </c>
      <c r="O78">
        <f>ABS('rekap M'!J9-'rekap B'!J9)</f>
        <v>0</v>
      </c>
      <c r="Q78" t="s">
        <v>227</v>
      </c>
      <c r="R78">
        <f>ABS('rekap M'!I9-'rekap B'!K9)</f>
        <v>0</v>
      </c>
      <c r="S78">
        <f>ABS('rekap M'!J9-'rekap B'!L9)</f>
        <v>0</v>
      </c>
      <c r="U78" t="s">
        <v>227</v>
      </c>
      <c r="V78">
        <f>ABS('rekap M'!I9-'rekap B'!M9)</f>
        <v>0.39999999999999997</v>
      </c>
      <c r="W78">
        <f>ABS('rekap M'!J9-'rekap B'!N9)</f>
        <v>0.39999999999999997</v>
      </c>
    </row>
    <row r="79" spans="1:26" x14ac:dyDescent="0.25">
      <c r="A79" t="s">
        <v>228</v>
      </c>
      <c r="B79">
        <f>ABS('rekap M'!I10-'rekap B'!C10)</f>
        <v>0</v>
      </c>
      <c r="C79">
        <f>ABS('rekap M'!J10-'rekap B'!D10)</f>
        <v>0</v>
      </c>
      <c r="E79" t="s">
        <v>228</v>
      </c>
      <c r="F79">
        <f>ABS('rekap M'!I10-'rekap B'!E10)</f>
        <v>0.60000000000000009</v>
      </c>
      <c r="G79">
        <f>ABS('rekap M'!J10-'rekap B'!F10)</f>
        <v>0.6</v>
      </c>
      <c r="I79" t="s">
        <v>228</v>
      </c>
      <c r="J79">
        <f>ABS('rekap M'!I10-'rekap B'!G10)</f>
        <v>0</v>
      </c>
      <c r="K79">
        <f>ABS('rekap M'!J10-'rekap B'!H10)</f>
        <v>0</v>
      </c>
      <c r="M79" t="s">
        <v>228</v>
      </c>
      <c r="N79">
        <f>ABS('rekap M'!I10-'rekap B'!I10)</f>
        <v>0</v>
      </c>
      <c r="O79">
        <f>ABS('rekap M'!J10-'rekap B'!J10)</f>
        <v>0</v>
      </c>
      <c r="Q79" t="s">
        <v>228</v>
      </c>
      <c r="R79">
        <f>ABS('rekap M'!I10-'rekap B'!K10)</f>
        <v>0.2</v>
      </c>
      <c r="S79">
        <f>ABS('rekap M'!J10-'rekap B'!L10)</f>
        <v>0.19999999999999996</v>
      </c>
      <c r="U79" t="s">
        <v>228</v>
      </c>
      <c r="V79">
        <f>ABS('rekap M'!I10-'rekap B'!M10)</f>
        <v>0</v>
      </c>
      <c r="W79">
        <f>ABS('rekap M'!J10-'rekap B'!N10)</f>
        <v>0</v>
      </c>
    </row>
    <row r="80" spans="1:26" x14ac:dyDescent="0.25">
      <c r="A80" t="s">
        <v>229</v>
      </c>
      <c r="B80">
        <f>ABS('rekap M'!I11-'rekap B'!C11)</f>
        <v>0.2</v>
      </c>
      <c r="C80">
        <f>ABS('rekap M'!J11-'rekap B'!D11)</f>
        <v>0.19999999999999996</v>
      </c>
      <c r="E80" t="s">
        <v>229</v>
      </c>
      <c r="F80">
        <f>ABS('rekap M'!I11-'rekap B'!E11)</f>
        <v>0</v>
      </c>
      <c r="G80">
        <f>ABS('rekap M'!J11-'rekap B'!F11)</f>
        <v>0</v>
      </c>
      <c r="I80" t="s">
        <v>229</v>
      </c>
      <c r="J80">
        <f>ABS('rekap M'!I11-'rekap B'!G11)</f>
        <v>0.39999999999999997</v>
      </c>
      <c r="K80">
        <f>ABS('rekap M'!J11-'rekap B'!H11)</f>
        <v>0.39999999999999997</v>
      </c>
      <c r="M80" t="s">
        <v>229</v>
      </c>
      <c r="N80">
        <f>ABS('rekap M'!I11-'rekap B'!I11)</f>
        <v>0</v>
      </c>
      <c r="O80">
        <f>ABS('rekap M'!J11-'rekap B'!J11)</f>
        <v>0</v>
      </c>
      <c r="Q80" t="s">
        <v>229</v>
      </c>
      <c r="R80">
        <f>ABS('rekap M'!I11-'rekap B'!K11)</f>
        <v>0.2</v>
      </c>
      <c r="S80">
        <f>ABS('rekap M'!J11-'rekap B'!L11)</f>
        <v>0.19999999999999996</v>
      </c>
      <c r="U80" t="s">
        <v>229</v>
      </c>
      <c r="V80">
        <f>ABS('rekap M'!I11-'rekap B'!M11)</f>
        <v>0.2</v>
      </c>
      <c r="W80">
        <f>ABS('rekap M'!J11-'rekap B'!N11)</f>
        <v>0.19999999999999996</v>
      </c>
    </row>
    <row r="81" spans="1:26" x14ac:dyDescent="0.25">
      <c r="A81" t="s">
        <v>230</v>
      </c>
      <c r="B81">
        <f>ABS('rekap M'!I12-'rekap B'!C12)</f>
        <v>0</v>
      </c>
      <c r="C81">
        <f>ABS('rekap M'!J12-'rekap B'!D12)</f>
        <v>0</v>
      </c>
      <c r="E81" t="s">
        <v>230</v>
      </c>
      <c r="F81">
        <f>ABS('rekap M'!I12-'rekap B'!E12)</f>
        <v>0</v>
      </c>
      <c r="G81">
        <f>ABS('rekap M'!J12-'rekap B'!F12)</f>
        <v>0</v>
      </c>
      <c r="I81" t="s">
        <v>230</v>
      </c>
      <c r="J81">
        <f>ABS('rekap M'!I12-'rekap B'!G12)</f>
        <v>0</v>
      </c>
      <c r="K81">
        <f>ABS('rekap M'!J12-'rekap B'!H12)</f>
        <v>0</v>
      </c>
      <c r="M81" t="s">
        <v>230</v>
      </c>
      <c r="N81">
        <f>ABS('rekap M'!I12-'rekap B'!I12)</f>
        <v>0</v>
      </c>
      <c r="O81">
        <f>ABS('rekap M'!J12-'rekap B'!J12)</f>
        <v>0</v>
      </c>
      <c r="Q81" t="s">
        <v>230</v>
      </c>
      <c r="R81">
        <f>ABS('rekap M'!I12-'rekap B'!K12)</f>
        <v>0</v>
      </c>
      <c r="S81">
        <f>ABS('rekap M'!J12-'rekap B'!L12)</f>
        <v>0</v>
      </c>
      <c r="U81" t="s">
        <v>230</v>
      </c>
      <c r="V81">
        <f>ABS('rekap M'!I12-'rekap B'!M12)</f>
        <v>0</v>
      </c>
      <c r="W81">
        <f>ABS('rekap M'!J12-'rekap B'!N12)</f>
        <v>0</v>
      </c>
    </row>
    <row r="82" spans="1:26" x14ac:dyDescent="0.25">
      <c r="A82" t="s">
        <v>231</v>
      </c>
      <c r="B82">
        <f>ABS('rekap M'!I13-'rekap B'!C13)</f>
        <v>0.20000000000000007</v>
      </c>
      <c r="C82">
        <f>ABS('rekap M'!J13-'rekap B'!D13)</f>
        <v>0.19999999999999998</v>
      </c>
      <c r="E82" t="s">
        <v>231</v>
      </c>
      <c r="F82">
        <f>ABS('rekap M'!I13-'rekap B'!E13)</f>
        <v>0</v>
      </c>
      <c r="G82">
        <f>ABS('rekap M'!J13-'rekap B'!F13)</f>
        <v>0</v>
      </c>
      <c r="I82" t="s">
        <v>231</v>
      </c>
      <c r="J82">
        <f>ABS('rekap M'!I13-'rekap B'!G13)</f>
        <v>0.4</v>
      </c>
      <c r="K82">
        <f>ABS('rekap M'!J13-'rekap B'!H13)</f>
        <v>0.4</v>
      </c>
      <c r="M82" t="s">
        <v>231</v>
      </c>
      <c r="N82">
        <f>ABS('rekap M'!I13-'rekap B'!I13)</f>
        <v>0.4</v>
      </c>
      <c r="O82">
        <f>ABS('rekap M'!J13-'rekap B'!J13)</f>
        <v>0.4</v>
      </c>
      <c r="Q82" t="s">
        <v>231</v>
      </c>
      <c r="R82">
        <f>ABS('rekap M'!I13-'rekap B'!K13)</f>
        <v>0.20000000000000007</v>
      </c>
      <c r="S82">
        <f>ABS('rekap M'!J13-'rekap B'!L13)</f>
        <v>0.19999999999999998</v>
      </c>
      <c r="U82" t="s">
        <v>231</v>
      </c>
      <c r="V82">
        <f>ABS('rekap M'!I13-'rekap B'!M13)</f>
        <v>0.20000000000000007</v>
      </c>
      <c r="W82">
        <f>ABS('rekap M'!J13-'rekap B'!N13)</f>
        <v>0.19999999999999998</v>
      </c>
    </row>
    <row r="83" spans="1:26" x14ac:dyDescent="0.25">
      <c r="A83" t="s">
        <v>232</v>
      </c>
      <c r="B83">
        <f>ABS('rekap M'!I14-'rekap B'!C14)</f>
        <v>0</v>
      </c>
      <c r="C83">
        <f>ABS('rekap M'!J14-'rekap B'!D14)</f>
        <v>0</v>
      </c>
      <c r="E83" t="s">
        <v>232</v>
      </c>
      <c r="F83">
        <f>ABS('rekap M'!I14-'rekap B'!E14)</f>
        <v>0</v>
      </c>
      <c r="G83">
        <f>ABS('rekap M'!J14-'rekap B'!F14)</f>
        <v>0</v>
      </c>
      <c r="I83" t="s">
        <v>232</v>
      </c>
      <c r="J83">
        <f>ABS('rekap M'!I14-'rekap B'!G14)</f>
        <v>0</v>
      </c>
      <c r="K83">
        <f>ABS('rekap M'!J14-'rekap B'!H14)</f>
        <v>0</v>
      </c>
      <c r="M83" t="s">
        <v>232</v>
      </c>
      <c r="N83">
        <f>ABS('rekap M'!I14-'rekap B'!I14)</f>
        <v>0</v>
      </c>
      <c r="O83">
        <f>ABS('rekap M'!J14-'rekap B'!J14)</f>
        <v>0</v>
      </c>
      <c r="Q83" t="s">
        <v>232</v>
      </c>
      <c r="R83">
        <f>ABS('rekap M'!I14-'rekap B'!K14)</f>
        <v>0</v>
      </c>
      <c r="S83">
        <f>ABS('rekap M'!J14-'rekap B'!L14)</f>
        <v>0</v>
      </c>
      <c r="U83" t="s">
        <v>232</v>
      </c>
      <c r="V83">
        <f>ABS('rekap M'!I14-'rekap B'!M14)</f>
        <v>0</v>
      </c>
      <c r="W83">
        <f>ABS('rekap M'!J14-'rekap B'!N14)</f>
        <v>0</v>
      </c>
    </row>
    <row r="84" spans="1:26" x14ac:dyDescent="0.25">
      <c r="A84" t="s">
        <v>233</v>
      </c>
      <c r="B84">
        <f>ABS('rekap M'!I15-'rekap B'!C15)</f>
        <v>0</v>
      </c>
      <c r="C84">
        <f>ABS('rekap M'!J15-'rekap B'!D15)</f>
        <v>0</v>
      </c>
      <c r="E84" t="s">
        <v>233</v>
      </c>
      <c r="F84">
        <f>ABS('rekap M'!I15-'rekap B'!E15)</f>
        <v>0</v>
      </c>
      <c r="G84">
        <f>ABS('rekap M'!J15-'rekap B'!F15)</f>
        <v>0</v>
      </c>
      <c r="I84" t="s">
        <v>233</v>
      </c>
      <c r="J84">
        <f>ABS('rekap M'!I15-'rekap B'!G15)</f>
        <v>0</v>
      </c>
      <c r="K84">
        <f>ABS('rekap M'!J15-'rekap B'!H15)</f>
        <v>0</v>
      </c>
      <c r="M84" t="s">
        <v>233</v>
      </c>
      <c r="N84">
        <f>ABS('rekap M'!I15-'rekap B'!I15)</f>
        <v>0</v>
      </c>
      <c r="O84">
        <f>ABS('rekap M'!J15-'rekap B'!J15)</f>
        <v>0</v>
      </c>
      <c r="Q84" t="s">
        <v>233</v>
      </c>
      <c r="R84">
        <f>ABS('rekap M'!I15-'rekap B'!K15)</f>
        <v>0</v>
      </c>
      <c r="S84">
        <f>ABS('rekap M'!J15-'rekap B'!L15)</f>
        <v>0</v>
      </c>
      <c r="U84" t="s">
        <v>233</v>
      </c>
      <c r="V84">
        <f>ABS('rekap M'!I15-'rekap B'!M15)</f>
        <v>0</v>
      </c>
      <c r="W84">
        <f>ABS('rekap M'!J15-'rekap B'!N15)</f>
        <v>0</v>
      </c>
    </row>
    <row r="85" spans="1:26" x14ac:dyDescent="0.25">
      <c r="A85" t="s">
        <v>234</v>
      </c>
      <c r="B85">
        <f>ABS('rekap M'!I16-'rekap B'!C16)</f>
        <v>0</v>
      </c>
      <c r="C85">
        <f>ABS('rekap M'!J16-'rekap B'!D16)</f>
        <v>0</v>
      </c>
      <c r="E85" t="s">
        <v>234</v>
      </c>
      <c r="F85">
        <f>ABS('rekap M'!I16-'rekap B'!E16)</f>
        <v>0</v>
      </c>
      <c r="G85">
        <f>ABS('rekap M'!J16-'rekap B'!F16)</f>
        <v>0</v>
      </c>
      <c r="I85" t="s">
        <v>234</v>
      </c>
      <c r="J85">
        <f>ABS('rekap M'!I16-'rekap B'!G16)</f>
        <v>0</v>
      </c>
      <c r="K85">
        <f>ABS('rekap M'!J16-'rekap B'!H16)</f>
        <v>0</v>
      </c>
      <c r="M85" t="s">
        <v>234</v>
      </c>
      <c r="N85">
        <f>ABS('rekap M'!I16-'rekap B'!I16)</f>
        <v>0</v>
      </c>
      <c r="O85">
        <f>ABS('rekap M'!J16-'rekap B'!J16)</f>
        <v>0</v>
      </c>
      <c r="Q85" t="s">
        <v>234</v>
      </c>
      <c r="R85">
        <f>ABS('rekap M'!I16-'rekap B'!K16)</f>
        <v>0</v>
      </c>
      <c r="S85">
        <f>ABS('rekap M'!J16-'rekap B'!L16)</f>
        <v>0</v>
      </c>
      <c r="U85" t="s">
        <v>234</v>
      </c>
      <c r="V85">
        <f>ABS('rekap M'!I16-'rekap B'!M16)</f>
        <v>0</v>
      </c>
      <c r="W85">
        <f>ABS('rekap M'!J16-'rekap B'!N16)</f>
        <v>0</v>
      </c>
    </row>
    <row r="86" spans="1:26" x14ac:dyDescent="0.25">
      <c r="A86" t="s">
        <v>235</v>
      </c>
      <c r="B86">
        <f>ABS('rekap M'!I17-'rekap B'!C17)</f>
        <v>0.20000000000000007</v>
      </c>
      <c r="C86">
        <f>ABS('rekap M'!J17-'rekap B'!D17)</f>
        <v>0.19999999999999998</v>
      </c>
      <c r="E86" t="s">
        <v>235</v>
      </c>
      <c r="F86">
        <f>ABS('rekap M'!I17-'rekap B'!E17)</f>
        <v>0.20000000000000007</v>
      </c>
      <c r="G86">
        <f>ABS('rekap M'!J17-'rekap B'!F17)</f>
        <v>0.19999999999999998</v>
      </c>
      <c r="I86" t="s">
        <v>235</v>
      </c>
      <c r="J86">
        <f>ABS('rekap M'!I17-'rekap B'!G17)</f>
        <v>0.20000000000000007</v>
      </c>
      <c r="K86">
        <f>ABS('rekap M'!J17-'rekap B'!H17)</f>
        <v>0.19999999999999998</v>
      </c>
      <c r="M86" t="s">
        <v>235</v>
      </c>
      <c r="N86">
        <f>ABS('rekap M'!I17-'rekap B'!I17)</f>
        <v>0.20000000000000007</v>
      </c>
      <c r="O86">
        <f>ABS('rekap M'!J17-'rekap B'!J17)</f>
        <v>0.19999999999999998</v>
      </c>
      <c r="Q86" t="s">
        <v>235</v>
      </c>
      <c r="R86">
        <f>ABS('rekap M'!I17-'rekap B'!K17)</f>
        <v>0.20000000000000007</v>
      </c>
      <c r="S86">
        <f>ABS('rekap M'!J17-'rekap B'!L17)</f>
        <v>0.19999999999999998</v>
      </c>
      <c r="U86" t="s">
        <v>235</v>
      </c>
      <c r="V86">
        <f>ABS('rekap M'!I17-'rekap B'!M17)</f>
        <v>0.19999999999999996</v>
      </c>
      <c r="W86">
        <f>ABS('rekap M'!J17-'rekap B'!N17)</f>
        <v>0.2</v>
      </c>
    </row>
    <row r="87" spans="1:26" x14ac:dyDescent="0.25">
      <c r="A87" t="s">
        <v>236</v>
      </c>
      <c r="B87">
        <f>ABS('rekap M'!I18-'rekap B'!C18)</f>
        <v>0.60000000000000009</v>
      </c>
      <c r="C87">
        <f>ABS('rekap M'!J18-'rekap B'!D18)</f>
        <v>0.6</v>
      </c>
      <c r="E87" t="s">
        <v>236</v>
      </c>
      <c r="F87">
        <f>ABS('rekap M'!I18-'rekap B'!E18)</f>
        <v>0.2</v>
      </c>
      <c r="G87">
        <f>ABS('rekap M'!J18-'rekap B'!F18)</f>
        <v>0.19999999999999996</v>
      </c>
      <c r="I87" t="s">
        <v>236</v>
      </c>
      <c r="J87">
        <f>ABS('rekap M'!I18-'rekap B'!G18)</f>
        <v>0</v>
      </c>
      <c r="K87">
        <f>ABS('rekap M'!J18-'rekap B'!H18)</f>
        <v>0</v>
      </c>
      <c r="M87" t="s">
        <v>236</v>
      </c>
      <c r="N87">
        <f>ABS('rekap M'!I18-'rekap B'!I18)</f>
        <v>0.60000000000000009</v>
      </c>
      <c r="O87">
        <f>ABS('rekap M'!J18-'rekap B'!J18)</f>
        <v>0.6</v>
      </c>
      <c r="Q87" t="s">
        <v>236</v>
      </c>
      <c r="R87">
        <f>ABS('rekap M'!I18-'rekap B'!K18)</f>
        <v>0.39999999999999997</v>
      </c>
      <c r="S87">
        <f>ABS('rekap M'!J18-'rekap B'!L18)</f>
        <v>0.39999999999999997</v>
      </c>
      <c r="U87" t="s">
        <v>236</v>
      </c>
      <c r="V87">
        <f>ABS('rekap M'!I18-'rekap B'!M18)</f>
        <v>0</v>
      </c>
      <c r="W87">
        <f>ABS('rekap M'!J18-'rekap B'!N18)</f>
        <v>0</v>
      </c>
    </row>
    <row r="88" spans="1:26" x14ac:dyDescent="0.25">
      <c r="A88" t="s">
        <v>237</v>
      </c>
      <c r="B88">
        <f>ABS('rekap M'!I19-'rekap B'!C19)</f>
        <v>0.4</v>
      </c>
      <c r="C88">
        <f>ABS('rekap M'!J19-'rekap B'!D19)</f>
        <v>0.4</v>
      </c>
      <c r="E88" t="s">
        <v>237</v>
      </c>
      <c r="F88">
        <f>ABS('rekap M'!I19-'rekap B'!E19)</f>
        <v>0.4</v>
      </c>
      <c r="G88">
        <f>ABS('rekap M'!J19-'rekap B'!F19)</f>
        <v>0.4</v>
      </c>
      <c r="I88" t="s">
        <v>237</v>
      </c>
      <c r="J88">
        <f>ABS('rekap M'!I19-'rekap B'!G19)</f>
        <v>0.4</v>
      </c>
      <c r="K88">
        <f>ABS('rekap M'!J19-'rekap B'!H19)</f>
        <v>0.4</v>
      </c>
      <c r="M88" t="s">
        <v>237</v>
      </c>
      <c r="N88">
        <f>ABS('rekap M'!I19-'rekap B'!I19)</f>
        <v>0.4</v>
      </c>
      <c r="O88">
        <f>ABS('rekap M'!J19-'rekap B'!J19)</f>
        <v>0.4</v>
      </c>
      <c r="Q88" t="s">
        <v>237</v>
      </c>
      <c r="R88">
        <f>ABS('rekap M'!I19-'rekap B'!K19)</f>
        <v>0.4</v>
      </c>
      <c r="S88">
        <f>ABS('rekap M'!J19-'rekap B'!L19)</f>
        <v>0.4</v>
      </c>
      <c r="U88" t="s">
        <v>237</v>
      </c>
      <c r="V88">
        <f>ABS('rekap M'!I19-'rekap B'!M19)</f>
        <v>0</v>
      </c>
      <c r="W88">
        <f>ABS('rekap M'!J19-'rekap B'!N19)</f>
        <v>0</v>
      </c>
    </row>
    <row r="89" spans="1:26" x14ac:dyDescent="0.25">
      <c r="A89" t="s">
        <v>238</v>
      </c>
      <c r="B89">
        <f>ABS('rekap M'!I20-'rekap B'!C20)</f>
        <v>0.2</v>
      </c>
      <c r="C89">
        <f>ABS('rekap M'!J20-'rekap B'!D20)</f>
        <v>0.19999999999999996</v>
      </c>
      <c r="E89" t="s">
        <v>238</v>
      </c>
      <c r="F89">
        <f>ABS('rekap M'!I20-'rekap B'!E20)</f>
        <v>0.39999999999999997</v>
      </c>
      <c r="G89">
        <f>ABS('rekap M'!J20-'rekap B'!F20)</f>
        <v>0.39999999999999997</v>
      </c>
      <c r="I89" t="s">
        <v>238</v>
      </c>
      <c r="J89">
        <f>ABS('rekap M'!I20-'rekap B'!G20)</f>
        <v>0.60000000000000009</v>
      </c>
      <c r="K89">
        <f>ABS('rekap M'!J20-'rekap B'!H20)</f>
        <v>0.6</v>
      </c>
      <c r="M89" t="s">
        <v>238</v>
      </c>
      <c r="N89">
        <f>ABS('rekap M'!I20-'rekap B'!I20)</f>
        <v>0.60000000000000009</v>
      </c>
      <c r="O89">
        <f>ABS('rekap M'!J20-'rekap B'!J20)</f>
        <v>0.6</v>
      </c>
      <c r="Q89" t="s">
        <v>238</v>
      </c>
      <c r="R89">
        <f>ABS('rekap M'!I20-'rekap B'!K20)</f>
        <v>0.39999999999999997</v>
      </c>
      <c r="S89">
        <f>ABS('rekap M'!J20-'rekap B'!L20)</f>
        <v>0.39999999999999997</v>
      </c>
      <c r="U89" t="s">
        <v>238</v>
      </c>
      <c r="V89">
        <f>ABS('rekap M'!I20-'rekap B'!M20)</f>
        <v>0.39999999999999997</v>
      </c>
      <c r="W89">
        <f>ABS('rekap M'!J20-'rekap B'!N20)</f>
        <v>0.39999999999999997</v>
      </c>
    </row>
    <row r="90" spans="1:26" x14ac:dyDescent="0.25">
      <c r="A90" t="s">
        <v>239</v>
      </c>
      <c r="B90">
        <f>ABS('rekap M'!I21-'rekap B'!C21)</f>
        <v>0</v>
      </c>
      <c r="C90">
        <f>ABS('rekap M'!J21-'rekap B'!D21)</f>
        <v>0</v>
      </c>
      <c r="E90" t="s">
        <v>239</v>
      </c>
      <c r="F90">
        <f>ABS('rekap M'!I21-'rekap B'!E21)</f>
        <v>0</v>
      </c>
      <c r="G90">
        <f>ABS('rekap M'!J21-'rekap B'!F21)</f>
        <v>0</v>
      </c>
      <c r="I90" t="s">
        <v>239</v>
      </c>
      <c r="J90">
        <f>ABS('rekap M'!I21-'rekap B'!G21)</f>
        <v>0</v>
      </c>
      <c r="K90">
        <f>ABS('rekap M'!J21-'rekap B'!H21)</f>
        <v>0</v>
      </c>
      <c r="M90" t="s">
        <v>239</v>
      </c>
      <c r="N90">
        <f>ABS('rekap M'!I21-'rekap B'!I21)</f>
        <v>0</v>
      </c>
      <c r="O90">
        <f>ABS('rekap M'!J21-'rekap B'!J21)</f>
        <v>0</v>
      </c>
      <c r="Q90" t="s">
        <v>239</v>
      </c>
      <c r="R90">
        <f>ABS('rekap M'!I21-'rekap B'!K21)</f>
        <v>0</v>
      </c>
      <c r="S90">
        <f>ABS('rekap M'!J21-'rekap B'!L21)</f>
        <v>0</v>
      </c>
      <c r="U90" t="s">
        <v>239</v>
      </c>
      <c r="V90">
        <f>ABS('rekap M'!I21-'rekap B'!M21)</f>
        <v>0</v>
      </c>
      <c r="W90">
        <f>ABS('rekap M'!J21-'rekap B'!N21)</f>
        <v>0</v>
      </c>
    </row>
    <row r="91" spans="1:26" x14ac:dyDescent="0.25">
      <c r="B91">
        <f>SUM(B72:B90)</f>
        <v>3.0000000000000004</v>
      </c>
      <c r="C91">
        <f t="shared" ref="C91" si="25">SUM(C72:C90)</f>
        <v>2.9999999999999991</v>
      </c>
      <c r="F91">
        <f t="shared" ref="F91" si="26">SUM(F72:F90)</f>
        <v>2.6</v>
      </c>
      <c r="G91">
        <f t="shared" ref="G91" si="27">SUM(G72:G90)</f>
        <v>2.5999999999999996</v>
      </c>
      <c r="J91">
        <f t="shared" ref="J91" si="28">SUM(J72:J90)</f>
        <v>2</v>
      </c>
      <c r="K91">
        <f t="shared" ref="K91" si="29">SUM(K72:K90)</f>
        <v>2</v>
      </c>
      <c r="N91">
        <f t="shared" ref="N91" si="30">SUM(N72:N90)</f>
        <v>2.2000000000000002</v>
      </c>
      <c r="O91">
        <f t="shared" ref="O91" si="31">SUM(O72:O90)</f>
        <v>2.2000000000000002</v>
      </c>
      <c r="R91">
        <f t="shared" ref="R91" si="32">SUM(R72:R90)</f>
        <v>2.6</v>
      </c>
      <c r="S91">
        <f t="shared" ref="S91" si="33">SUM(S72:S90)</f>
        <v>2.5999999999999996</v>
      </c>
      <c r="V91">
        <f t="shared" ref="V91" si="34">SUM(V72:V90)</f>
        <v>2.4</v>
      </c>
      <c r="W91">
        <f t="shared" ref="W91" si="35">SUM(W72:W90)</f>
        <v>2.4</v>
      </c>
    </row>
    <row r="92" spans="1:26" x14ac:dyDescent="0.25">
      <c r="A92" t="s">
        <v>271</v>
      </c>
      <c r="D92">
        <f>1/19*(B91+C91)</f>
        <v>0.31578947368421051</v>
      </c>
      <c r="H92">
        <f t="shared" ref="H92" si="36">1/19*(F91+G91)</f>
        <v>0.27368421052631575</v>
      </c>
      <c r="L92">
        <f t="shared" ref="L92" si="37">1/19*(J91+K91)</f>
        <v>0.21052631578947367</v>
      </c>
      <c r="P92">
        <f t="shared" ref="P92" si="38">1/19*(N91+O91)</f>
        <v>0.23157894736842105</v>
      </c>
      <c r="T92">
        <f t="shared" ref="T92" si="39">1/19*(R91+S91)</f>
        <v>0.27368421052631575</v>
      </c>
      <c r="X92">
        <f t="shared" ref="X92" si="40">1/19*(V91+W91)</f>
        <v>0.25263157894736837</v>
      </c>
      <c r="Y92" t="s">
        <v>272</v>
      </c>
      <c r="Z92" s="110">
        <f>MIN(B92:Y92)</f>
        <v>0.21052631578947367</v>
      </c>
    </row>
    <row r="94" spans="1:26" x14ac:dyDescent="0.25">
      <c r="A94" t="s">
        <v>258</v>
      </c>
      <c r="B94" t="s">
        <v>212</v>
      </c>
      <c r="C94" t="s">
        <v>214</v>
      </c>
      <c r="E94" t="s">
        <v>259</v>
      </c>
      <c r="F94" t="s">
        <v>212</v>
      </c>
      <c r="G94" t="s">
        <v>214</v>
      </c>
      <c r="I94" t="s">
        <v>260</v>
      </c>
      <c r="J94" t="s">
        <v>212</v>
      </c>
      <c r="K94" t="s">
        <v>214</v>
      </c>
      <c r="M94" t="s">
        <v>261</v>
      </c>
      <c r="N94" t="s">
        <v>212</v>
      </c>
      <c r="O94" t="s">
        <v>214</v>
      </c>
      <c r="Q94" t="s">
        <v>262</v>
      </c>
      <c r="R94" t="s">
        <v>212</v>
      </c>
      <c r="S94" t="s">
        <v>214</v>
      </c>
      <c r="U94" t="s">
        <v>263</v>
      </c>
      <c r="V94" t="s">
        <v>212</v>
      </c>
      <c r="W94" t="s">
        <v>214</v>
      </c>
    </row>
    <row r="95" spans="1:26" x14ac:dyDescent="0.25">
      <c r="A95" t="s">
        <v>221</v>
      </c>
      <c r="B95">
        <f>ABS('rekap M'!K3-'rekap B'!C3)</f>
        <v>0.2</v>
      </c>
      <c r="C95">
        <f>ABS('rekap M'!L3-'rekap B'!D3)</f>
        <v>0.19999999999999996</v>
      </c>
      <c r="E95" t="s">
        <v>221</v>
      </c>
      <c r="F95">
        <f>ABS('rekap M'!K3-'rekap B'!E3)</f>
        <v>0.2</v>
      </c>
      <c r="G95">
        <f>ABS('rekap M'!L3-'rekap B'!F3)</f>
        <v>0.19999999999999996</v>
      </c>
      <c r="I95" t="s">
        <v>221</v>
      </c>
      <c r="J95">
        <f>ABS('rekap M'!K3-'rekap B'!G3)</f>
        <v>0</v>
      </c>
      <c r="K95">
        <f>ABS('rekap M'!L3-'rekap B'!H3)</f>
        <v>0</v>
      </c>
      <c r="M95" t="s">
        <v>221</v>
      </c>
      <c r="N95">
        <f>ABS('rekap M'!K3-'rekap B'!I3)</f>
        <v>0</v>
      </c>
      <c r="O95">
        <f>ABS('rekap M'!L3-'rekap B'!J3)</f>
        <v>0</v>
      </c>
      <c r="Q95" t="s">
        <v>221</v>
      </c>
      <c r="R95">
        <f>ABS('rekap M'!K3-'rekap B'!K3)</f>
        <v>0</v>
      </c>
      <c r="S95">
        <f>ABS('rekap M'!L3-'rekap B'!L3)</f>
        <v>0</v>
      </c>
      <c r="U95" t="s">
        <v>221</v>
      </c>
      <c r="V95">
        <f>ABS('rekap M'!K3-'rekap B'!M3)</f>
        <v>0.2</v>
      </c>
      <c r="W95">
        <f>ABS('rekap M'!L3-'rekap B'!N3)</f>
        <v>0.19999999999999996</v>
      </c>
    </row>
    <row r="96" spans="1:26" x14ac:dyDescent="0.25">
      <c r="A96" t="s">
        <v>222</v>
      </c>
      <c r="B96">
        <f>ABS('rekap M'!K4-'rekap B'!C4)</f>
        <v>0.39999999999999997</v>
      </c>
      <c r="C96">
        <f>ABS('rekap M'!L4-'rekap B'!D4)</f>
        <v>0.39999999999999997</v>
      </c>
      <c r="E96" t="s">
        <v>222</v>
      </c>
      <c r="F96">
        <f>ABS('rekap M'!K4-'rekap B'!E4)</f>
        <v>0.60000000000000009</v>
      </c>
      <c r="G96">
        <f>ABS('rekap M'!L4-'rekap B'!F4)</f>
        <v>0.6</v>
      </c>
      <c r="I96" t="s">
        <v>222</v>
      </c>
      <c r="J96">
        <f>ABS('rekap M'!K4-'rekap B'!G4)</f>
        <v>0</v>
      </c>
      <c r="K96">
        <f>ABS('rekap M'!L4-'rekap B'!H4)</f>
        <v>0</v>
      </c>
      <c r="M96" t="s">
        <v>222</v>
      </c>
      <c r="N96">
        <f>ABS('rekap M'!K4-'rekap B'!I4)</f>
        <v>0</v>
      </c>
      <c r="O96">
        <f>ABS('rekap M'!L4-'rekap B'!J4)</f>
        <v>0</v>
      </c>
      <c r="Q96" t="s">
        <v>222</v>
      </c>
      <c r="R96">
        <f>ABS('rekap M'!K4-'rekap B'!K4)</f>
        <v>0.39999999999999997</v>
      </c>
      <c r="S96">
        <f>ABS('rekap M'!L4-'rekap B'!L4)</f>
        <v>0.39999999999999997</v>
      </c>
      <c r="U96" t="s">
        <v>222</v>
      </c>
      <c r="V96">
        <f>ABS('rekap M'!K4-'rekap B'!M4)</f>
        <v>0.60000000000000009</v>
      </c>
      <c r="W96">
        <f>ABS('rekap M'!L4-'rekap B'!N4)</f>
        <v>0.6</v>
      </c>
    </row>
    <row r="97" spans="1:23" x14ac:dyDescent="0.25">
      <c r="A97" t="s">
        <v>223</v>
      </c>
      <c r="B97">
        <f>ABS('rekap M'!K5-'rekap B'!C5)</f>
        <v>0</v>
      </c>
      <c r="C97">
        <f>ABS('rekap M'!L5-'rekap B'!D5)</f>
        <v>0</v>
      </c>
      <c r="E97" t="s">
        <v>223</v>
      </c>
      <c r="F97">
        <f>ABS('rekap M'!K5-'rekap B'!E5)</f>
        <v>0</v>
      </c>
      <c r="G97">
        <f>ABS('rekap M'!L5-'rekap B'!F5)</f>
        <v>0</v>
      </c>
      <c r="I97" t="s">
        <v>223</v>
      </c>
      <c r="J97">
        <f>ABS('rekap M'!K5-'rekap B'!G5)</f>
        <v>0</v>
      </c>
      <c r="K97">
        <f>ABS('rekap M'!L5-'rekap B'!H5)</f>
        <v>0</v>
      </c>
      <c r="M97" t="s">
        <v>223</v>
      </c>
      <c r="N97">
        <f>ABS('rekap M'!K5-'rekap B'!I5)</f>
        <v>0</v>
      </c>
      <c r="O97">
        <f>ABS('rekap M'!L5-'rekap B'!J5)</f>
        <v>0</v>
      </c>
      <c r="Q97" t="s">
        <v>223</v>
      </c>
      <c r="R97">
        <f>ABS('rekap M'!K5-'rekap B'!K5)</f>
        <v>0</v>
      </c>
      <c r="S97">
        <f>ABS('rekap M'!L5-'rekap B'!L5)</f>
        <v>0</v>
      </c>
      <c r="U97" t="s">
        <v>223</v>
      </c>
      <c r="V97">
        <f>ABS('rekap M'!K5-'rekap B'!M5)</f>
        <v>0</v>
      </c>
      <c r="W97">
        <f>ABS('rekap M'!L5-'rekap B'!N5)</f>
        <v>0</v>
      </c>
    </row>
    <row r="98" spans="1:23" x14ac:dyDescent="0.25">
      <c r="A98" t="s">
        <v>224</v>
      </c>
      <c r="B98">
        <f>ABS('rekap M'!K6-'rekap B'!C6)</f>
        <v>0</v>
      </c>
      <c r="C98">
        <f>ABS('rekap M'!L6-'rekap B'!D6)</f>
        <v>0</v>
      </c>
      <c r="E98" t="s">
        <v>224</v>
      </c>
      <c r="F98">
        <f>ABS('rekap M'!K6-'rekap B'!E6)</f>
        <v>0</v>
      </c>
      <c r="G98">
        <f>ABS('rekap M'!L6-'rekap B'!F6)</f>
        <v>0</v>
      </c>
      <c r="I98" t="s">
        <v>224</v>
      </c>
      <c r="J98">
        <f>ABS('rekap M'!K6-'rekap B'!G6)</f>
        <v>0</v>
      </c>
      <c r="K98">
        <f>ABS('rekap M'!L6-'rekap B'!H6)</f>
        <v>0</v>
      </c>
      <c r="M98" t="s">
        <v>224</v>
      </c>
      <c r="N98">
        <f>ABS('rekap M'!K6-'rekap B'!I6)</f>
        <v>0</v>
      </c>
      <c r="O98">
        <f>ABS('rekap M'!L6-'rekap B'!J6)</f>
        <v>0</v>
      </c>
      <c r="Q98" t="s">
        <v>224</v>
      </c>
      <c r="R98">
        <f>ABS('rekap M'!K6-'rekap B'!K6)</f>
        <v>0</v>
      </c>
      <c r="S98">
        <f>ABS('rekap M'!L6-'rekap B'!L6)</f>
        <v>0</v>
      </c>
      <c r="U98" t="s">
        <v>224</v>
      </c>
      <c r="V98">
        <f>ABS('rekap M'!K6-'rekap B'!M6)</f>
        <v>0</v>
      </c>
      <c r="W98">
        <f>ABS('rekap M'!L6-'rekap B'!N6)</f>
        <v>0</v>
      </c>
    </row>
    <row r="99" spans="1:23" x14ac:dyDescent="0.25">
      <c r="A99" t="s">
        <v>225</v>
      </c>
      <c r="B99">
        <f>ABS('rekap M'!K7-'rekap B'!C7)</f>
        <v>0.2</v>
      </c>
      <c r="C99">
        <f>ABS('rekap M'!L7-'rekap B'!D7)</f>
        <v>0.19999999999999996</v>
      </c>
      <c r="E99" t="s">
        <v>225</v>
      </c>
      <c r="F99">
        <f>ABS('rekap M'!K7-'rekap B'!E7)</f>
        <v>0</v>
      </c>
      <c r="G99">
        <f>ABS('rekap M'!L7-'rekap B'!F7)</f>
        <v>0</v>
      </c>
      <c r="I99" t="s">
        <v>225</v>
      </c>
      <c r="J99">
        <f>ABS('rekap M'!K7-'rekap B'!G7)</f>
        <v>0</v>
      </c>
      <c r="K99">
        <f>ABS('rekap M'!L7-'rekap B'!H7)</f>
        <v>0</v>
      </c>
      <c r="M99" t="s">
        <v>225</v>
      </c>
      <c r="N99">
        <f>ABS('rekap M'!K7-'rekap B'!I7)</f>
        <v>0</v>
      </c>
      <c r="O99">
        <f>ABS('rekap M'!L7-'rekap B'!J7)</f>
        <v>0</v>
      </c>
      <c r="Q99" t="s">
        <v>225</v>
      </c>
      <c r="R99">
        <f>ABS('rekap M'!K7-'rekap B'!K7)</f>
        <v>0</v>
      </c>
      <c r="S99">
        <f>ABS('rekap M'!L7-'rekap B'!L7)</f>
        <v>0</v>
      </c>
      <c r="U99" t="s">
        <v>225</v>
      </c>
      <c r="V99">
        <f>ABS('rekap M'!K7-'rekap B'!M7)</f>
        <v>0.2</v>
      </c>
      <c r="W99">
        <f>ABS('rekap M'!L7-'rekap B'!N7)</f>
        <v>0.19999999999999996</v>
      </c>
    </row>
    <row r="100" spans="1:23" x14ac:dyDescent="0.25">
      <c r="A100" t="s">
        <v>226</v>
      </c>
      <c r="B100">
        <f>ABS('rekap M'!K8-'rekap B'!C8)</f>
        <v>0</v>
      </c>
      <c r="C100">
        <f>ABS('rekap M'!L8-'rekap B'!D8)</f>
        <v>0</v>
      </c>
      <c r="E100" t="s">
        <v>226</v>
      </c>
      <c r="F100">
        <f>ABS('rekap M'!K8-'rekap B'!E8)</f>
        <v>0.39999999999999997</v>
      </c>
      <c r="G100">
        <f>ABS('rekap M'!L8-'rekap B'!F8)</f>
        <v>0.39999999999999997</v>
      </c>
      <c r="I100" t="s">
        <v>226</v>
      </c>
      <c r="J100">
        <f>ABS('rekap M'!K8-'rekap B'!G8)</f>
        <v>0.39999999999999997</v>
      </c>
      <c r="K100">
        <f>ABS('rekap M'!L8-'rekap B'!H8)</f>
        <v>0.39999999999999997</v>
      </c>
      <c r="M100" t="s">
        <v>226</v>
      </c>
      <c r="N100">
        <f>ABS('rekap M'!K8-'rekap B'!I8)</f>
        <v>0.39999999999999997</v>
      </c>
      <c r="O100">
        <f>ABS('rekap M'!L8-'rekap B'!J8)</f>
        <v>0.39999999999999997</v>
      </c>
      <c r="Q100" t="s">
        <v>226</v>
      </c>
      <c r="R100">
        <f>ABS('rekap M'!K8-'rekap B'!K8)</f>
        <v>0.19999999999999996</v>
      </c>
      <c r="S100">
        <f>ABS('rekap M'!L8-'rekap B'!L8)</f>
        <v>0.2</v>
      </c>
      <c r="U100" t="s">
        <v>226</v>
      </c>
      <c r="V100">
        <f>ABS('rekap M'!K8-'rekap B'!M8)</f>
        <v>0.39999999999999997</v>
      </c>
      <c r="W100">
        <f>ABS('rekap M'!L8-'rekap B'!N8)</f>
        <v>0.39999999999999997</v>
      </c>
    </row>
    <row r="101" spans="1:23" x14ac:dyDescent="0.25">
      <c r="A101" t="s">
        <v>227</v>
      </c>
      <c r="B101">
        <f>ABS('rekap M'!K9-'rekap B'!C9)</f>
        <v>0</v>
      </c>
      <c r="C101">
        <f>ABS('rekap M'!L9-'rekap B'!D9)</f>
        <v>0</v>
      </c>
      <c r="E101" t="s">
        <v>227</v>
      </c>
      <c r="F101">
        <f>ABS('rekap M'!K9-'rekap B'!E9)</f>
        <v>0</v>
      </c>
      <c r="G101">
        <f>ABS('rekap M'!L9-'rekap B'!F9)</f>
        <v>0</v>
      </c>
      <c r="I101" t="s">
        <v>227</v>
      </c>
      <c r="J101">
        <f>ABS('rekap M'!K9-'rekap B'!G9)</f>
        <v>0</v>
      </c>
      <c r="K101">
        <f>ABS('rekap M'!L9-'rekap B'!H9)</f>
        <v>0</v>
      </c>
      <c r="M101" t="s">
        <v>227</v>
      </c>
      <c r="N101">
        <f>ABS('rekap M'!K9-'rekap B'!I9)</f>
        <v>0</v>
      </c>
      <c r="O101">
        <f>ABS('rekap M'!L9-'rekap B'!J9)</f>
        <v>0</v>
      </c>
      <c r="Q101" t="s">
        <v>227</v>
      </c>
      <c r="R101">
        <f>ABS('rekap M'!K9-'rekap B'!K9)</f>
        <v>0</v>
      </c>
      <c r="S101">
        <f>ABS('rekap M'!L9-'rekap B'!L9)</f>
        <v>0</v>
      </c>
      <c r="U101" t="s">
        <v>227</v>
      </c>
      <c r="V101">
        <f>ABS('rekap M'!K9-'rekap B'!M9)</f>
        <v>0.39999999999999997</v>
      </c>
      <c r="W101">
        <f>ABS('rekap M'!L9-'rekap B'!N9)</f>
        <v>0.39999999999999997</v>
      </c>
    </row>
    <row r="102" spans="1:23" x14ac:dyDescent="0.25">
      <c r="A102" t="s">
        <v>228</v>
      </c>
      <c r="B102">
        <f>ABS('rekap M'!K10-'rekap B'!C10)</f>
        <v>0</v>
      </c>
      <c r="C102">
        <f>ABS('rekap M'!L10-'rekap B'!D10)</f>
        <v>0</v>
      </c>
      <c r="E102" t="s">
        <v>228</v>
      </c>
      <c r="F102">
        <f>ABS('rekap M'!K10-'rekap B'!E10)</f>
        <v>0.60000000000000009</v>
      </c>
      <c r="G102">
        <f>ABS('rekap M'!L10-'rekap B'!F10)</f>
        <v>0.6</v>
      </c>
      <c r="I102" t="s">
        <v>228</v>
      </c>
      <c r="J102">
        <f>ABS('rekap M'!K10-'rekap B'!G10)</f>
        <v>0</v>
      </c>
      <c r="K102">
        <f>ABS('rekap M'!L10-'rekap B'!H10)</f>
        <v>0</v>
      </c>
      <c r="M102" t="s">
        <v>228</v>
      </c>
      <c r="N102">
        <f>ABS('rekap M'!K10-'rekap B'!I10)</f>
        <v>0</v>
      </c>
      <c r="O102">
        <f>ABS('rekap M'!L10-'rekap B'!J10)</f>
        <v>0</v>
      </c>
      <c r="Q102" t="s">
        <v>228</v>
      </c>
      <c r="R102">
        <f>ABS('rekap M'!K10-'rekap B'!K10)</f>
        <v>0.2</v>
      </c>
      <c r="S102">
        <f>ABS('rekap M'!L10-'rekap B'!L10)</f>
        <v>0.19999999999999996</v>
      </c>
      <c r="U102" t="s">
        <v>228</v>
      </c>
      <c r="V102">
        <f>ABS('rekap M'!K10-'rekap B'!M10)</f>
        <v>0</v>
      </c>
      <c r="W102">
        <f>ABS('rekap M'!L10-'rekap B'!N10)</f>
        <v>0</v>
      </c>
    </row>
    <row r="103" spans="1:23" x14ac:dyDescent="0.25">
      <c r="A103" t="s">
        <v>229</v>
      </c>
      <c r="B103">
        <f>ABS('rekap M'!K11-'rekap B'!C11)</f>
        <v>0.2</v>
      </c>
      <c r="C103">
        <f>ABS('rekap M'!L11-'rekap B'!D11)</f>
        <v>0.19999999999999996</v>
      </c>
      <c r="E103" t="s">
        <v>229</v>
      </c>
      <c r="F103">
        <f>ABS('rekap M'!K11-'rekap B'!E11)</f>
        <v>0</v>
      </c>
      <c r="G103">
        <f>ABS('rekap M'!L11-'rekap B'!F11)</f>
        <v>0</v>
      </c>
      <c r="I103" t="s">
        <v>229</v>
      </c>
      <c r="J103">
        <f>ABS('rekap M'!K11-'rekap B'!G11)</f>
        <v>0.39999999999999997</v>
      </c>
      <c r="K103">
        <f>ABS('rekap M'!L11-'rekap B'!H11)</f>
        <v>0.39999999999999997</v>
      </c>
      <c r="M103" t="s">
        <v>229</v>
      </c>
      <c r="N103">
        <f>ABS('rekap M'!K11-'rekap B'!I11)</f>
        <v>0</v>
      </c>
      <c r="O103">
        <f>ABS('rekap M'!L11-'rekap B'!J11)</f>
        <v>0</v>
      </c>
      <c r="Q103" t="s">
        <v>229</v>
      </c>
      <c r="R103">
        <f>ABS('rekap M'!K11-'rekap B'!K11)</f>
        <v>0.2</v>
      </c>
      <c r="S103">
        <f>ABS('rekap M'!L11-'rekap B'!L11)</f>
        <v>0.19999999999999996</v>
      </c>
      <c r="U103" t="s">
        <v>229</v>
      </c>
      <c r="V103">
        <f>ABS('rekap M'!K11-'rekap B'!M11)</f>
        <v>0.2</v>
      </c>
      <c r="W103">
        <f>ABS('rekap M'!L11-'rekap B'!N11)</f>
        <v>0.19999999999999996</v>
      </c>
    </row>
    <row r="104" spans="1:23" x14ac:dyDescent="0.25">
      <c r="A104" t="s">
        <v>230</v>
      </c>
      <c r="B104">
        <f>ABS('rekap M'!K12-'rekap B'!C12)</f>
        <v>0</v>
      </c>
      <c r="C104">
        <f>ABS('rekap M'!L12-'rekap B'!D12)</f>
        <v>0</v>
      </c>
      <c r="E104" t="s">
        <v>230</v>
      </c>
      <c r="F104">
        <f>ABS('rekap M'!K12-'rekap B'!E12)</f>
        <v>0</v>
      </c>
      <c r="G104">
        <f>ABS('rekap M'!L12-'rekap B'!F12)</f>
        <v>0</v>
      </c>
      <c r="I104" t="s">
        <v>230</v>
      </c>
      <c r="J104">
        <f>ABS('rekap M'!K12-'rekap B'!G12)</f>
        <v>0</v>
      </c>
      <c r="K104">
        <f>ABS('rekap M'!L12-'rekap B'!H12)</f>
        <v>0</v>
      </c>
      <c r="M104" t="s">
        <v>230</v>
      </c>
      <c r="N104">
        <f>ABS('rekap M'!K12-'rekap B'!I12)</f>
        <v>0</v>
      </c>
      <c r="O104">
        <f>ABS('rekap M'!L12-'rekap B'!J12)</f>
        <v>0</v>
      </c>
      <c r="Q104" t="s">
        <v>230</v>
      </c>
      <c r="R104">
        <f>ABS('rekap M'!K12-'rekap B'!K12)</f>
        <v>0</v>
      </c>
      <c r="S104">
        <f>ABS('rekap M'!L12-'rekap B'!L12)</f>
        <v>0</v>
      </c>
      <c r="U104" t="s">
        <v>230</v>
      </c>
      <c r="V104">
        <f>ABS('rekap M'!K12-'rekap B'!M12)</f>
        <v>0</v>
      </c>
      <c r="W104">
        <f>ABS('rekap M'!L12-'rekap B'!N12)</f>
        <v>0</v>
      </c>
    </row>
    <row r="105" spans="1:23" x14ac:dyDescent="0.25">
      <c r="A105" t="s">
        <v>231</v>
      </c>
      <c r="B105">
        <f>ABS('rekap M'!K13-'rekap B'!C13)</f>
        <v>0.20000000000000007</v>
      </c>
      <c r="C105">
        <f>ABS('rekap M'!L13-'rekap B'!D13)</f>
        <v>0.19999999999999998</v>
      </c>
      <c r="E105" t="s">
        <v>231</v>
      </c>
      <c r="F105">
        <f>ABS('rekap M'!K13-'rekap B'!E13)</f>
        <v>0</v>
      </c>
      <c r="G105">
        <f>ABS('rekap M'!L13-'rekap B'!F13)</f>
        <v>0</v>
      </c>
      <c r="I105" t="s">
        <v>231</v>
      </c>
      <c r="J105">
        <f>ABS('rekap M'!K13-'rekap B'!G13)</f>
        <v>0.4</v>
      </c>
      <c r="K105">
        <f>ABS('rekap M'!L13-'rekap B'!H13)</f>
        <v>0.4</v>
      </c>
      <c r="M105" t="s">
        <v>231</v>
      </c>
      <c r="N105">
        <f>ABS('rekap M'!K13-'rekap B'!I13)</f>
        <v>0.4</v>
      </c>
      <c r="O105">
        <f>ABS('rekap M'!L13-'rekap B'!J13)</f>
        <v>0.4</v>
      </c>
      <c r="Q105" t="s">
        <v>231</v>
      </c>
      <c r="R105">
        <f>ABS('rekap M'!K13-'rekap B'!K13)</f>
        <v>0.20000000000000007</v>
      </c>
      <c r="S105">
        <f>ABS('rekap M'!L13-'rekap B'!L13)</f>
        <v>0.19999999999999998</v>
      </c>
      <c r="U105" t="s">
        <v>231</v>
      </c>
      <c r="V105">
        <f>ABS('rekap M'!K13-'rekap B'!M13)</f>
        <v>0.20000000000000007</v>
      </c>
      <c r="W105">
        <f>ABS('rekap M'!L13-'rekap B'!N13)</f>
        <v>0.19999999999999998</v>
      </c>
    </row>
    <row r="106" spans="1:23" x14ac:dyDescent="0.25">
      <c r="A106" t="s">
        <v>232</v>
      </c>
      <c r="B106">
        <f>ABS('rekap M'!K14-'rekap B'!C14)</f>
        <v>0</v>
      </c>
      <c r="C106">
        <f>ABS('rekap M'!L14-'rekap B'!D14)</f>
        <v>0</v>
      </c>
      <c r="E106" t="s">
        <v>232</v>
      </c>
      <c r="F106">
        <f>ABS('rekap M'!K14-'rekap B'!E14)</f>
        <v>0</v>
      </c>
      <c r="G106">
        <f>ABS('rekap M'!L14-'rekap B'!F14)</f>
        <v>0</v>
      </c>
      <c r="I106" t="s">
        <v>232</v>
      </c>
      <c r="J106">
        <f>ABS('rekap M'!K14-'rekap B'!G14)</f>
        <v>0</v>
      </c>
      <c r="K106">
        <f>ABS('rekap M'!L14-'rekap B'!H14)</f>
        <v>0</v>
      </c>
      <c r="M106" t="s">
        <v>232</v>
      </c>
      <c r="N106">
        <f>ABS('rekap M'!K14-'rekap B'!I14)</f>
        <v>0</v>
      </c>
      <c r="O106">
        <f>ABS('rekap M'!L14-'rekap B'!J14)</f>
        <v>0</v>
      </c>
      <c r="Q106" t="s">
        <v>232</v>
      </c>
      <c r="R106">
        <f>ABS('rekap M'!K14-'rekap B'!K14)</f>
        <v>0</v>
      </c>
      <c r="S106">
        <f>ABS('rekap M'!L14-'rekap B'!L14)</f>
        <v>0</v>
      </c>
      <c r="U106" t="s">
        <v>232</v>
      </c>
      <c r="V106">
        <f>ABS('rekap M'!K14-'rekap B'!M14)</f>
        <v>0</v>
      </c>
      <c r="W106">
        <f>ABS('rekap M'!L14-'rekap B'!N14)</f>
        <v>0</v>
      </c>
    </row>
    <row r="107" spans="1:23" x14ac:dyDescent="0.25">
      <c r="A107" t="s">
        <v>233</v>
      </c>
      <c r="B107">
        <f>ABS('rekap M'!K15-'rekap B'!C15)</f>
        <v>0</v>
      </c>
      <c r="C107">
        <f>ABS('rekap M'!L15-'rekap B'!D15)</f>
        <v>0</v>
      </c>
      <c r="E107" t="s">
        <v>233</v>
      </c>
      <c r="F107">
        <f>ABS('rekap M'!K15-'rekap B'!E15)</f>
        <v>0</v>
      </c>
      <c r="G107">
        <f>ABS('rekap M'!L15-'rekap B'!F15)</f>
        <v>0</v>
      </c>
      <c r="I107" t="s">
        <v>233</v>
      </c>
      <c r="J107">
        <f>ABS('rekap M'!K15-'rekap B'!G15)</f>
        <v>0</v>
      </c>
      <c r="K107">
        <f>ABS('rekap M'!L15-'rekap B'!H15)</f>
        <v>0</v>
      </c>
      <c r="M107" t="s">
        <v>233</v>
      </c>
      <c r="N107">
        <f>ABS('rekap M'!K15-'rekap B'!I15)</f>
        <v>0</v>
      </c>
      <c r="O107">
        <f>ABS('rekap M'!L15-'rekap B'!J15)</f>
        <v>0</v>
      </c>
      <c r="Q107" t="s">
        <v>233</v>
      </c>
      <c r="R107">
        <f>ABS('rekap M'!K15-'rekap B'!K15)</f>
        <v>0</v>
      </c>
      <c r="S107">
        <f>ABS('rekap M'!L15-'rekap B'!L15)</f>
        <v>0</v>
      </c>
      <c r="U107" t="s">
        <v>233</v>
      </c>
      <c r="V107">
        <f>ABS('rekap M'!K15-'rekap B'!M15)</f>
        <v>0</v>
      </c>
      <c r="W107">
        <f>ABS('rekap M'!L15-'rekap B'!N15)</f>
        <v>0</v>
      </c>
    </row>
    <row r="108" spans="1:23" x14ac:dyDescent="0.25">
      <c r="A108" t="s">
        <v>234</v>
      </c>
      <c r="B108">
        <f>ABS('rekap M'!K16-'rekap B'!C16)</f>
        <v>0</v>
      </c>
      <c r="C108">
        <f>ABS('rekap M'!L16-'rekap B'!D16)</f>
        <v>0</v>
      </c>
      <c r="E108" t="s">
        <v>234</v>
      </c>
      <c r="F108">
        <f>ABS('rekap M'!K16-'rekap B'!E16)</f>
        <v>0</v>
      </c>
      <c r="G108">
        <f>ABS('rekap M'!L16-'rekap B'!F16)</f>
        <v>0</v>
      </c>
      <c r="I108" t="s">
        <v>234</v>
      </c>
      <c r="J108">
        <f>ABS('rekap M'!K16-'rekap B'!G16)</f>
        <v>0</v>
      </c>
      <c r="K108">
        <f>ABS('rekap M'!L16-'rekap B'!H16)</f>
        <v>0</v>
      </c>
      <c r="M108" t="s">
        <v>234</v>
      </c>
      <c r="N108">
        <f>ABS('rekap M'!K16-'rekap B'!I16)</f>
        <v>0</v>
      </c>
      <c r="O108">
        <f>ABS('rekap M'!L16-'rekap B'!J16)</f>
        <v>0</v>
      </c>
      <c r="Q108" t="s">
        <v>234</v>
      </c>
      <c r="R108">
        <f>ABS('rekap M'!K16-'rekap B'!K16)</f>
        <v>0</v>
      </c>
      <c r="S108">
        <f>ABS('rekap M'!L16-'rekap B'!L16)</f>
        <v>0</v>
      </c>
      <c r="U108" t="s">
        <v>234</v>
      </c>
      <c r="V108">
        <f>ABS('rekap M'!K16-'rekap B'!M16)</f>
        <v>0</v>
      </c>
      <c r="W108">
        <f>ABS('rekap M'!L16-'rekap B'!N16)</f>
        <v>0</v>
      </c>
    </row>
    <row r="109" spans="1:23" x14ac:dyDescent="0.25">
      <c r="A109" t="s">
        <v>235</v>
      </c>
      <c r="B109">
        <f>ABS('rekap M'!K17-'rekap B'!C17)</f>
        <v>0.60000000000000009</v>
      </c>
      <c r="C109">
        <f>ABS('rekap M'!L17-'rekap B'!D17)</f>
        <v>0.6</v>
      </c>
      <c r="E109" t="s">
        <v>235</v>
      </c>
      <c r="F109">
        <f>ABS('rekap M'!K17-'rekap B'!E17)</f>
        <v>0.60000000000000009</v>
      </c>
      <c r="G109">
        <f>ABS('rekap M'!L17-'rekap B'!F17)</f>
        <v>0.6</v>
      </c>
      <c r="I109" t="s">
        <v>235</v>
      </c>
      <c r="J109">
        <f>ABS('rekap M'!K17-'rekap B'!G17)</f>
        <v>0.60000000000000009</v>
      </c>
      <c r="K109">
        <f>ABS('rekap M'!L17-'rekap B'!H17)</f>
        <v>0.6</v>
      </c>
      <c r="M109" t="s">
        <v>235</v>
      </c>
      <c r="N109">
        <f>ABS('rekap M'!K17-'rekap B'!I17)</f>
        <v>0.60000000000000009</v>
      </c>
      <c r="O109">
        <f>ABS('rekap M'!L17-'rekap B'!J17)</f>
        <v>0.6</v>
      </c>
      <c r="Q109" t="s">
        <v>235</v>
      </c>
      <c r="R109">
        <f>ABS('rekap M'!K17-'rekap B'!K17)</f>
        <v>0.60000000000000009</v>
      </c>
      <c r="S109">
        <f>ABS('rekap M'!L17-'rekap B'!L17)</f>
        <v>0.6</v>
      </c>
      <c r="U109" t="s">
        <v>235</v>
      </c>
      <c r="V109">
        <f>ABS('rekap M'!K17-'rekap B'!M17)</f>
        <v>0.2</v>
      </c>
      <c r="W109">
        <f>ABS('rekap M'!L17-'rekap B'!N17)</f>
        <v>0.19999999999999996</v>
      </c>
    </row>
    <row r="110" spans="1:23" x14ac:dyDescent="0.25">
      <c r="A110" t="s">
        <v>236</v>
      </c>
      <c r="B110">
        <f>ABS('rekap M'!K18-'rekap B'!C18)</f>
        <v>0.60000000000000009</v>
      </c>
      <c r="C110">
        <f>ABS('rekap M'!L18-'rekap B'!D18)</f>
        <v>0.6</v>
      </c>
      <c r="E110" t="s">
        <v>236</v>
      </c>
      <c r="F110">
        <f>ABS('rekap M'!K18-'rekap B'!E18)</f>
        <v>0.2</v>
      </c>
      <c r="G110">
        <f>ABS('rekap M'!L18-'rekap B'!F18)</f>
        <v>0.19999999999999996</v>
      </c>
      <c r="I110" t="s">
        <v>236</v>
      </c>
      <c r="J110">
        <f>ABS('rekap M'!K18-'rekap B'!G18)</f>
        <v>0</v>
      </c>
      <c r="K110">
        <f>ABS('rekap M'!L18-'rekap B'!H18)</f>
        <v>0</v>
      </c>
      <c r="M110" t="s">
        <v>236</v>
      </c>
      <c r="N110">
        <f>ABS('rekap M'!K18-'rekap B'!I18)</f>
        <v>0.60000000000000009</v>
      </c>
      <c r="O110">
        <f>ABS('rekap M'!L18-'rekap B'!J18)</f>
        <v>0.6</v>
      </c>
      <c r="Q110" t="s">
        <v>236</v>
      </c>
      <c r="R110">
        <f>ABS('rekap M'!K18-'rekap B'!K18)</f>
        <v>0.39999999999999997</v>
      </c>
      <c r="S110">
        <f>ABS('rekap M'!L18-'rekap B'!L18)</f>
        <v>0.39999999999999997</v>
      </c>
      <c r="U110" t="s">
        <v>236</v>
      </c>
      <c r="V110">
        <f>ABS('rekap M'!K18-'rekap B'!M18)</f>
        <v>0</v>
      </c>
      <c r="W110">
        <f>ABS('rekap M'!L18-'rekap B'!N18)</f>
        <v>0</v>
      </c>
    </row>
    <row r="111" spans="1:23" x14ac:dyDescent="0.25">
      <c r="A111" t="s">
        <v>237</v>
      </c>
      <c r="B111">
        <f>ABS('rekap M'!K19-'rekap B'!C19)</f>
        <v>0.60000000000000009</v>
      </c>
      <c r="C111">
        <f>ABS('rekap M'!L19-'rekap B'!D19)</f>
        <v>0.6</v>
      </c>
      <c r="E111" t="s">
        <v>237</v>
      </c>
      <c r="F111">
        <f>ABS('rekap M'!K19-'rekap B'!E19)</f>
        <v>0.60000000000000009</v>
      </c>
      <c r="G111">
        <f>ABS('rekap M'!L19-'rekap B'!F19)</f>
        <v>0.6</v>
      </c>
      <c r="I111" t="s">
        <v>237</v>
      </c>
      <c r="J111">
        <f>ABS('rekap M'!K19-'rekap B'!G19)</f>
        <v>0.60000000000000009</v>
      </c>
      <c r="K111">
        <f>ABS('rekap M'!L19-'rekap B'!H19)</f>
        <v>0.6</v>
      </c>
      <c r="M111" t="s">
        <v>237</v>
      </c>
      <c r="N111">
        <f>ABS('rekap M'!K19-'rekap B'!I19)</f>
        <v>0.60000000000000009</v>
      </c>
      <c r="O111">
        <f>ABS('rekap M'!L19-'rekap B'!J19)</f>
        <v>0.6</v>
      </c>
      <c r="Q111" t="s">
        <v>237</v>
      </c>
      <c r="R111">
        <f>ABS('rekap M'!K19-'rekap B'!K19)</f>
        <v>0.60000000000000009</v>
      </c>
      <c r="S111">
        <f>ABS('rekap M'!L19-'rekap B'!L19)</f>
        <v>0.6</v>
      </c>
      <c r="U111" t="s">
        <v>237</v>
      </c>
      <c r="V111">
        <f>ABS('rekap M'!K19-'rekap B'!M19)</f>
        <v>0.2</v>
      </c>
      <c r="W111">
        <f>ABS('rekap M'!L19-'rekap B'!N19)</f>
        <v>0.19999999999999996</v>
      </c>
    </row>
    <row r="112" spans="1:23" x14ac:dyDescent="0.25">
      <c r="A112" t="s">
        <v>238</v>
      </c>
      <c r="B112">
        <f>ABS('rekap M'!K20-'rekap B'!C20)</f>
        <v>0.2</v>
      </c>
      <c r="C112">
        <f>ABS('rekap M'!L20-'rekap B'!D20)</f>
        <v>0.19999999999999996</v>
      </c>
      <c r="E112" t="s">
        <v>238</v>
      </c>
      <c r="F112">
        <f>ABS('rekap M'!K20-'rekap B'!E20)</f>
        <v>0.39999999999999997</v>
      </c>
      <c r="G112">
        <f>ABS('rekap M'!L20-'rekap B'!F20)</f>
        <v>0.39999999999999997</v>
      </c>
      <c r="I112" t="s">
        <v>238</v>
      </c>
      <c r="J112">
        <f>ABS('rekap M'!K20-'rekap B'!G20)</f>
        <v>0.60000000000000009</v>
      </c>
      <c r="K112">
        <f>ABS('rekap M'!L20-'rekap B'!H20)</f>
        <v>0.6</v>
      </c>
      <c r="M112" t="s">
        <v>238</v>
      </c>
      <c r="N112">
        <f>ABS('rekap M'!K20-'rekap B'!I20)</f>
        <v>0.60000000000000009</v>
      </c>
      <c r="O112">
        <f>ABS('rekap M'!L20-'rekap B'!J20)</f>
        <v>0.6</v>
      </c>
      <c r="Q112" t="s">
        <v>238</v>
      </c>
      <c r="R112">
        <f>ABS('rekap M'!K20-'rekap B'!K20)</f>
        <v>0.39999999999999997</v>
      </c>
      <c r="S112">
        <f>ABS('rekap M'!L20-'rekap B'!L20)</f>
        <v>0.39999999999999997</v>
      </c>
      <c r="U112" t="s">
        <v>238</v>
      </c>
      <c r="V112">
        <f>ABS('rekap M'!K20-'rekap B'!M20)</f>
        <v>0.39999999999999997</v>
      </c>
      <c r="W112">
        <f>ABS('rekap M'!L20-'rekap B'!N20)</f>
        <v>0.39999999999999997</v>
      </c>
    </row>
    <row r="113" spans="1:26" x14ac:dyDescent="0.25">
      <c r="A113" t="s">
        <v>239</v>
      </c>
      <c r="B113">
        <f>ABS('rekap M'!K21-'rekap B'!C21)</f>
        <v>0.60000000000000009</v>
      </c>
      <c r="C113">
        <f>ABS('rekap M'!L21-'rekap B'!D21)</f>
        <v>0.6</v>
      </c>
      <c r="E113" t="s">
        <v>239</v>
      </c>
      <c r="F113">
        <f>ABS('rekap M'!K21-'rekap B'!E21)</f>
        <v>0.60000000000000009</v>
      </c>
      <c r="G113">
        <f>ABS('rekap M'!L21-'rekap B'!F21)</f>
        <v>0.6</v>
      </c>
      <c r="I113" t="s">
        <v>239</v>
      </c>
      <c r="J113">
        <f>ABS('rekap M'!K21-'rekap B'!G21)</f>
        <v>0.60000000000000009</v>
      </c>
      <c r="K113">
        <f>ABS('rekap M'!L21-'rekap B'!H21)</f>
        <v>0.6</v>
      </c>
      <c r="M113" t="s">
        <v>239</v>
      </c>
      <c r="N113">
        <f>ABS('rekap M'!K21-'rekap B'!I21)</f>
        <v>0.60000000000000009</v>
      </c>
      <c r="O113">
        <f>ABS('rekap M'!L21-'rekap B'!J21)</f>
        <v>0.6</v>
      </c>
      <c r="Q113" t="s">
        <v>239</v>
      </c>
      <c r="R113">
        <f>ABS('rekap M'!K21-'rekap B'!K21)</f>
        <v>0.60000000000000009</v>
      </c>
      <c r="S113">
        <f>ABS('rekap M'!L21-'rekap B'!L21)</f>
        <v>0.6</v>
      </c>
      <c r="U113" t="s">
        <v>239</v>
      </c>
      <c r="V113">
        <f>ABS('rekap M'!K21-'rekap B'!M21)</f>
        <v>0.60000000000000009</v>
      </c>
      <c r="W113">
        <f>ABS('rekap M'!L21-'rekap B'!N21)</f>
        <v>0.6</v>
      </c>
    </row>
    <row r="114" spans="1:26" x14ac:dyDescent="0.25">
      <c r="B114">
        <f>SUM(B95:B113)</f>
        <v>3.8000000000000007</v>
      </c>
      <c r="C114">
        <f t="shared" ref="C114" si="41">SUM(C95:C113)</f>
        <v>3.8000000000000003</v>
      </c>
      <c r="F114">
        <f t="shared" ref="F114" si="42">SUM(F95:F113)</f>
        <v>4.2000000000000011</v>
      </c>
      <c r="G114">
        <f t="shared" ref="G114" si="43">SUM(G95:G113)</f>
        <v>4.1999999999999993</v>
      </c>
      <c r="J114">
        <f t="shared" ref="J114" si="44">SUM(J95:J113)</f>
        <v>3.6000000000000005</v>
      </c>
      <c r="K114">
        <f t="shared" ref="K114" si="45">SUM(K95:K113)</f>
        <v>3.6</v>
      </c>
      <c r="N114">
        <f t="shared" ref="N114" si="46">SUM(N95:N113)</f>
        <v>3.8000000000000003</v>
      </c>
      <c r="O114">
        <f t="shared" ref="O114" si="47">SUM(O95:O113)</f>
        <v>3.8000000000000003</v>
      </c>
      <c r="R114">
        <f t="shared" ref="R114" si="48">SUM(R95:R113)</f>
        <v>3.8</v>
      </c>
      <c r="S114">
        <f t="shared" ref="S114" si="49">SUM(S95:S113)</f>
        <v>3.8</v>
      </c>
      <c r="V114">
        <f t="shared" ref="V114" si="50">SUM(V95:V113)</f>
        <v>3.6</v>
      </c>
      <c r="W114">
        <f t="shared" ref="W114" si="51">SUM(W95:W113)</f>
        <v>3.5999999999999996</v>
      </c>
    </row>
    <row r="115" spans="1:26" x14ac:dyDescent="0.25">
      <c r="A115" t="s">
        <v>271</v>
      </c>
      <c r="D115">
        <f>1/19*(B114+C114)</f>
        <v>0.40000000000000008</v>
      </c>
      <c r="H115">
        <f t="shared" ref="H115" si="52">1/19*(F114+G114)</f>
        <v>0.44210526315789472</v>
      </c>
      <c r="L115">
        <f t="shared" ref="L115" si="53">1/19*(J114+K114)</f>
        <v>0.37894736842105264</v>
      </c>
      <c r="P115">
        <f t="shared" ref="P115" si="54">1/19*(N114+O114)</f>
        <v>0.4</v>
      </c>
      <c r="T115">
        <f t="shared" ref="T115" si="55">1/19*(R114+S114)</f>
        <v>0.39999999999999997</v>
      </c>
      <c r="X115">
        <f t="shared" ref="X115" si="56">1/19*(V114+W114)</f>
        <v>0.37894736842105259</v>
      </c>
      <c r="Y115" t="s">
        <v>272</v>
      </c>
      <c r="Z115" s="110">
        <f>MIN(B115:Y115)</f>
        <v>0.37894736842105259</v>
      </c>
    </row>
    <row r="116" spans="1:26" x14ac:dyDescent="0.25">
      <c r="Z116" s="110"/>
    </row>
    <row r="117" spans="1:26" x14ac:dyDescent="0.25">
      <c r="Z117" s="110"/>
    </row>
    <row r="118" spans="1:26" x14ac:dyDescent="0.25">
      <c r="A118" t="s">
        <v>264</v>
      </c>
      <c r="B118" t="s">
        <v>212</v>
      </c>
      <c r="C118" t="s">
        <v>214</v>
      </c>
      <c r="E118" t="s">
        <v>265</v>
      </c>
      <c r="F118" t="s">
        <v>212</v>
      </c>
      <c r="G118" t="s">
        <v>214</v>
      </c>
      <c r="I118" t="s">
        <v>266</v>
      </c>
      <c r="J118" t="s">
        <v>212</v>
      </c>
      <c r="K118" t="s">
        <v>214</v>
      </c>
      <c r="M118" t="s">
        <v>267</v>
      </c>
      <c r="N118" t="s">
        <v>212</v>
      </c>
      <c r="O118" t="s">
        <v>214</v>
      </c>
      <c r="Q118" t="s">
        <v>268</v>
      </c>
      <c r="R118" t="s">
        <v>212</v>
      </c>
      <c r="S118" t="s">
        <v>214</v>
      </c>
      <c r="U118" t="s">
        <v>269</v>
      </c>
      <c r="V118" t="s">
        <v>212</v>
      </c>
      <c r="W118" t="s">
        <v>214</v>
      </c>
    </row>
    <row r="119" spans="1:26" x14ac:dyDescent="0.25">
      <c r="A119" t="s">
        <v>221</v>
      </c>
      <c r="B119">
        <f>ABS('rekap M'!M3-'rekap B'!C3)</f>
        <v>0</v>
      </c>
      <c r="C119">
        <f>ABS('rekap M'!N3-'rekap B'!D3)</f>
        <v>0</v>
      </c>
      <c r="E119" t="s">
        <v>221</v>
      </c>
      <c r="F119">
        <f>ABS('rekap M'!M3-'rekap B'!E3)</f>
        <v>0</v>
      </c>
      <c r="G119">
        <f>ABS('rekap M'!N3-'rekap B'!F3)</f>
        <v>0</v>
      </c>
      <c r="I119" t="s">
        <v>221</v>
      </c>
      <c r="J119">
        <f>ABS('rekap M'!M3-'rekap B'!G3)</f>
        <v>0.2</v>
      </c>
      <c r="K119">
        <f>ABS('rekap M'!N3-'rekap B'!H3)</f>
        <v>0.19999999999999996</v>
      </c>
      <c r="M119" t="s">
        <v>221</v>
      </c>
      <c r="N119">
        <f>ABS('rekap M'!M3-'rekap B'!I3)</f>
        <v>0.2</v>
      </c>
      <c r="O119">
        <f>ABS('rekap M'!N3-'rekap B'!J3)</f>
        <v>0.19999999999999996</v>
      </c>
      <c r="Q119" t="s">
        <v>221</v>
      </c>
      <c r="R119">
        <f>ABS('rekap M'!M3-'rekap B'!K3)</f>
        <v>0.2</v>
      </c>
      <c r="S119">
        <f>ABS('rekap M'!N3-'rekap B'!L3)</f>
        <v>0.19999999999999996</v>
      </c>
      <c r="U119" t="s">
        <v>221</v>
      </c>
      <c r="V119">
        <f>ABS('rekap M'!M3-'rekap B'!M3)</f>
        <v>0</v>
      </c>
      <c r="W119">
        <f>ABS('rekap M'!N3-'rekap B'!N3)</f>
        <v>0</v>
      </c>
    </row>
    <row r="120" spans="1:26" x14ac:dyDescent="0.25">
      <c r="A120" t="s">
        <v>222</v>
      </c>
      <c r="B120">
        <f>ABS('rekap M'!M4-'rekap B'!C4)</f>
        <v>0.39999999999999997</v>
      </c>
      <c r="C120">
        <f>ABS('rekap M'!N4-'rekap B'!D4)</f>
        <v>0.39999999999999997</v>
      </c>
      <c r="E120" t="s">
        <v>222</v>
      </c>
      <c r="F120">
        <f>ABS('rekap M'!M4-'rekap B'!E4)</f>
        <v>0.60000000000000009</v>
      </c>
      <c r="G120">
        <f>ABS('rekap M'!N4-'rekap B'!F4)</f>
        <v>0.6</v>
      </c>
      <c r="I120" t="s">
        <v>222</v>
      </c>
      <c r="J120">
        <f>ABS('rekap M'!M4-'rekap B'!G4)</f>
        <v>0</v>
      </c>
      <c r="K120">
        <f>ABS('rekap M'!N4-'rekap B'!H4)</f>
        <v>0</v>
      </c>
      <c r="M120" t="s">
        <v>222</v>
      </c>
      <c r="N120">
        <f>ABS('rekap M'!M4-'rekap B'!I4)</f>
        <v>0</v>
      </c>
      <c r="O120">
        <f>ABS('rekap M'!N4-'rekap B'!J4)</f>
        <v>0</v>
      </c>
      <c r="Q120" t="s">
        <v>222</v>
      </c>
      <c r="R120">
        <f>ABS('rekap M'!M4-'rekap B'!K4)</f>
        <v>0.39999999999999997</v>
      </c>
      <c r="S120">
        <f>ABS('rekap M'!N4-'rekap B'!L4)</f>
        <v>0.39999999999999997</v>
      </c>
      <c r="U120" t="s">
        <v>222</v>
      </c>
      <c r="V120">
        <f>ABS('rekap M'!M4-'rekap B'!M4)</f>
        <v>0.60000000000000009</v>
      </c>
      <c r="W120">
        <f>ABS('rekap M'!N4-'rekap B'!N4)</f>
        <v>0.6</v>
      </c>
    </row>
    <row r="121" spans="1:26" x14ac:dyDescent="0.25">
      <c r="A121" t="s">
        <v>223</v>
      </c>
      <c r="B121">
        <f>ABS('rekap M'!M5-'rekap B'!C5)</f>
        <v>0</v>
      </c>
      <c r="C121">
        <f>ABS('rekap M'!N5-'rekap B'!D5)</f>
        <v>0</v>
      </c>
      <c r="E121" t="s">
        <v>223</v>
      </c>
      <c r="F121">
        <f>ABS('rekap M'!M5-'rekap B'!E5)</f>
        <v>0</v>
      </c>
      <c r="G121">
        <f>ABS('rekap M'!N5-'rekap B'!F5)</f>
        <v>0</v>
      </c>
      <c r="I121" t="s">
        <v>223</v>
      </c>
      <c r="J121">
        <f>ABS('rekap M'!M5-'rekap B'!G5)</f>
        <v>0</v>
      </c>
      <c r="K121">
        <f>ABS('rekap M'!N5-'rekap B'!H5)</f>
        <v>0</v>
      </c>
      <c r="M121" t="s">
        <v>223</v>
      </c>
      <c r="N121">
        <f>ABS('rekap M'!M5-'rekap B'!I5)</f>
        <v>0</v>
      </c>
      <c r="O121">
        <f>ABS('rekap M'!N5-'rekap B'!J5)</f>
        <v>0</v>
      </c>
      <c r="Q121" t="s">
        <v>223</v>
      </c>
      <c r="R121">
        <f>ABS('rekap M'!M5-'rekap B'!K5)</f>
        <v>0</v>
      </c>
      <c r="S121">
        <f>ABS('rekap M'!N5-'rekap B'!L5)</f>
        <v>0</v>
      </c>
      <c r="U121" t="s">
        <v>223</v>
      </c>
      <c r="V121">
        <f>ABS('rekap M'!M5-'rekap B'!M5)</f>
        <v>0</v>
      </c>
      <c r="W121">
        <f>ABS('rekap M'!N5-'rekap B'!N5)</f>
        <v>0</v>
      </c>
    </row>
    <row r="122" spans="1:26" x14ac:dyDescent="0.25">
      <c r="A122" t="s">
        <v>224</v>
      </c>
      <c r="B122">
        <f>ABS('rekap M'!M6-'rekap B'!C6)</f>
        <v>0</v>
      </c>
      <c r="C122">
        <f>ABS('rekap M'!N6-'rekap B'!D6)</f>
        <v>0</v>
      </c>
      <c r="E122" t="s">
        <v>224</v>
      </c>
      <c r="F122">
        <f>ABS('rekap M'!M6-'rekap B'!E6)</f>
        <v>0</v>
      </c>
      <c r="G122">
        <f>ABS('rekap M'!N6-'rekap B'!F6)</f>
        <v>0</v>
      </c>
      <c r="I122" t="s">
        <v>224</v>
      </c>
      <c r="J122">
        <f>ABS('rekap M'!M6-'rekap B'!G6)</f>
        <v>0</v>
      </c>
      <c r="K122">
        <f>ABS('rekap M'!N6-'rekap B'!H6)</f>
        <v>0</v>
      </c>
      <c r="M122" t="s">
        <v>224</v>
      </c>
      <c r="N122">
        <f>ABS('rekap M'!M6-'rekap B'!I6)</f>
        <v>0</v>
      </c>
      <c r="O122">
        <f>ABS('rekap M'!N6-'rekap B'!J6)</f>
        <v>0</v>
      </c>
      <c r="Q122" t="s">
        <v>224</v>
      </c>
      <c r="R122">
        <f>ABS('rekap M'!M6-'rekap B'!K6)</f>
        <v>0</v>
      </c>
      <c r="S122">
        <f>ABS('rekap M'!N6-'rekap B'!L6)</f>
        <v>0</v>
      </c>
      <c r="U122" t="s">
        <v>224</v>
      </c>
      <c r="V122">
        <f>ABS('rekap M'!M6-'rekap B'!M6)</f>
        <v>0</v>
      </c>
      <c r="W122">
        <f>ABS('rekap M'!N6-'rekap B'!N6)</f>
        <v>0</v>
      </c>
    </row>
    <row r="123" spans="1:26" x14ac:dyDescent="0.25">
      <c r="A123" t="s">
        <v>225</v>
      </c>
      <c r="B123">
        <f>ABS('rekap M'!M7-'rekap B'!C7)</f>
        <v>0.2</v>
      </c>
      <c r="C123">
        <f>ABS('rekap M'!N7-'rekap B'!D7)</f>
        <v>0.19999999999999996</v>
      </c>
      <c r="E123" t="s">
        <v>225</v>
      </c>
      <c r="F123">
        <f>ABS('rekap M'!M7-'rekap B'!E7)</f>
        <v>0</v>
      </c>
      <c r="G123">
        <f>ABS('rekap M'!N7-'rekap B'!F7)</f>
        <v>0</v>
      </c>
      <c r="I123" t="s">
        <v>225</v>
      </c>
      <c r="J123">
        <f>ABS('rekap M'!M7-'rekap B'!G7)</f>
        <v>0</v>
      </c>
      <c r="K123">
        <f>ABS('rekap M'!N7-'rekap B'!H7)</f>
        <v>0</v>
      </c>
      <c r="M123" t="s">
        <v>225</v>
      </c>
      <c r="N123">
        <f>ABS('rekap M'!M7-'rekap B'!I7)</f>
        <v>0</v>
      </c>
      <c r="O123">
        <f>ABS('rekap M'!N7-'rekap B'!J7)</f>
        <v>0</v>
      </c>
      <c r="Q123" t="s">
        <v>225</v>
      </c>
      <c r="R123">
        <f>ABS('rekap M'!M7-'rekap B'!K7)</f>
        <v>0</v>
      </c>
      <c r="S123">
        <f>ABS('rekap M'!N7-'rekap B'!L7)</f>
        <v>0</v>
      </c>
      <c r="U123" t="s">
        <v>225</v>
      </c>
      <c r="V123">
        <f>ABS('rekap M'!M7-'rekap B'!M7)</f>
        <v>0.2</v>
      </c>
      <c r="W123">
        <f>ABS('rekap M'!N7-'rekap B'!N7)</f>
        <v>0.19999999999999996</v>
      </c>
    </row>
    <row r="124" spans="1:26" x14ac:dyDescent="0.25">
      <c r="A124" t="s">
        <v>226</v>
      </c>
      <c r="B124">
        <f>ABS('rekap M'!M8-'rekap B'!C8)</f>
        <v>0.39999999999999997</v>
      </c>
      <c r="C124">
        <f>ABS('rekap M'!N8-'rekap B'!D8)</f>
        <v>0.39999999999999997</v>
      </c>
      <c r="E124" t="s">
        <v>226</v>
      </c>
      <c r="F124">
        <f>ABS('rekap M'!M8-'rekap B'!E8)</f>
        <v>0</v>
      </c>
      <c r="G124">
        <f>ABS('rekap M'!N8-'rekap B'!F8)</f>
        <v>0</v>
      </c>
      <c r="I124" t="s">
        <v>226</v>
      </c>
      <c r="J124">
        <f>ABS('rekap M'!M8-'rekap B'!G8)</f>
        <v>0</v>
      </c>
      <c r="K124">
        <f>ABS('rekap M'!N8-'rekap B'!H8)</f>
        <v>0</v>
      </c>
      <c r="M124" t="s">
        <v>226</v>
      </c>
      <c r="N124">
        <f>ABS('rekap M'!M8-'rekap B'!I8)</f>
        <v>0</v>
      </c>
      <c r="O124">
        <f>ABS('rekap M'!N8-'rekap B'!J8)</f>
        <v>0</v>
      </c>
      <c r="Q124" t="s">
        <v>226</v>
      </c>
      <c r="R124">
        <f>ABS('rekap M'!M8-'rekap B'!K8)</f>
        <v>0.2</v>
      </c>
      <c r="S124">
        <f>ABS('rekap M'!N8-'rekap B'!L8)</f>
        <v>0.19999999999999996</v>
      </c>
      <c r="U124" t="s">
        <v>226</v>
      </c>
      <c r="V124">
        <f>ABS('rekap M'!M8-'rekap B'!M8)</f>
        <v>0</v>
      </c>
      <c r="W124">
        <f>ABS('rekap M'!N8-'rekap B'!N8)</f>
        <v>0</v>
      </c>
    </row>
    <row r="125" spans="1:26" x14ac:dyDescent="0.25">
      <c r="A125" t="s">
        <v>227</v>
      </c>
      <c r="B125">
        <f>ABS('rekap M'!M9-'rekap B'!C9)</f>
        <v>0</v>
      </c>
      <c r="C125">
        <f>ABS('rekap M'!N9-'rekap B'!D9)</f>
        <v>0</v>
      </c>
      <c r="E125" t="s">
        <v>227</v>
      </c>
      <c r="F125">
        <f>ABS('rekap M'!M9-'rekap B'!E9)</f>
        <v>0</v>
      </c>
      <c r="G125">
        <f>ABS('rekap M'!N9-'rekap B'!F9)</f>
        <v>0</v>
      </c>
      <c r="I125" t="s">
        <v>227</v>
      </c>
      <c r="J125">
        <f>ABS('rekap M'!M9-'rekap B'!G9)</f>
        <v>0</v>
      </c>
      <c r="K125">
        <f>ABS('rekap M'!N9-'rekap B'!H9)</f>
        <v>0</v>
      </c>
      <c r="M125" t="s">
        <v>227</v>
      </c>
      <c r="N125">
        <f>ABS('rekap M'!M9-'rekap B'!I9)</f>
        <v>0</v>
      </c>
      <c r="O125">
        <f>ABS('rekap M'!N9-'rekap B'!J9)</f>
        <v>0</v>
      </c>
      <c r="Q125" t="s">
        <v>227</v>
      </c>
      <c r="R125">
        <f>ABS('rekap M'!M9-'rekap B'!K9)</f>
        <v>0</v>
      </c>
      <c r="S125">
        <f>ABS('rekap M'!N9-'rekap B'!L9)</f>
        <v>0</v>
      </c>
      <c r="U125" t="s">
        <v>227</v>
      </c>
      <c r="V125">
        <f>ABS('rekap M'!M9-'rekap B'!M9)</f>
        <v>0.39999999999999997</v>
      </c>
      <c r="W125">
        <f>ABS('rekap M'!N9-'rekap B'!N9)</f>
        <v>0.39999999999999997</v>
      </c>
    </row>
    <row r="126" spans="1:26" x14ac:dyDescent="0.25">
      <c r="A126" t="s">
        <v>228</v>
      </c>
      <c r="B126">
        <f>ABS('rekap M'!M10-'rekap B'!C10)</f>
        <v>0</v>
      </c>
      <c r="C126">
        <f>ABS('rekap M'!N10-'rekap B'!D10)</f>
        <v>0</v>
      </c>
      <c r="E126" t="s">
        <v>228</v>
      </c>
      <c r="F126">
        <f>ABS('rekap M'!M10-'rekap B'!E10)</f>
        <v>0.60000000000000009</v>
      </c>
      <c r="G126">
        <f>ABS('rekap M'!N10-'rekap B'!F10)</f>
        <v>0.6</v>
      </c>
      <c r="I126" t="s">
        <v>228</v>
      </c>
      <c r="J126">
        <f>ABS('rekap M'!M10-'rekap B'!G10)</f>
        <v>0</v>
      </c>
      <c r="K126">
        <f>ABS('rekap M'!N10-'rekap B'!H10)</f>
        <v>0</v>
      </c>
      <c r="M126" t="s">
        <v>228</v>
      </c>
      <c r="N126">
        <f>ABS('rekap M'!M10-'rekap B'!I10)</f>
        <v>0</v>
      </c>
      <c r="O126">
        <f>ABS('rekap M'!N10-'rekap B'!J10)</f>
        <v>0</v>
      </c>
      <c r="Q126" t="s">
        <v>228</v>
      </c>
      <c r="R126">
        <f>ABS('rekap M'!M10-'rekap B'!K10)</f>
        <v>0.2</v>
      </c>
      <c r="S126">
        <f>ABS('rekap M'!N10-'rekap B'!L10)</f>
        <v>0.19999999999999996</v>
      </c>
      <c r="U126" t="s">
        <v>228</v>
      </c>
      <c r="V126">
        <f>ABS('rekap M'!M10-'rekap B'!M10)</f>
        <v>0</v>
      </c>
      <c r="W126">
        <f>ABS('rekap M'!N10-'rekap B'!N10)</f>
        <v>0</v>
      </c>
    </row>
    <row r="127" spans="1:26" x14ac:dyDescent="0.25">
      <c r="A127" t="s">
        <v>229</v>
      </c>
      <c r="B127">
        <f>ABS('rekap M'!M11-'rekap B'!C11)</f>
        <v>0.2</v>
      </c>
      <c r="C127">
        <f>ABS('rekap M'!N11-'rekap B'!D11)</f>
        <v>0.19999999999999996</v>
      </c>
      <c r="E127" t="s">
        <v>229</v>
      </c>
      <c r="F127">
        <f>ABS('rekap M'!M11-'rekap B'!E11)</f>
        <v>0</v>
      </c>
      <c r="G127">
        <f>ABS('rekap M'!N11-'rekap B'!F11)</f>
        <v>0</v>
      </c>
      <c r="I127" t="s">
        <v>229</v>
      </c>
      <c r="J127">
        <f>ABS('rekap M'!M11-'rekap B'!G11)</f>
        <v>0.39999999999999997</v>
      </c>
      <c r="K127">
        <f>ABS('rekap M'!N11-'rekap B'!H11)</f>
        <v>0.39999999999999997</v>
      </c>
      <c r="M127" t="s">
        <v>229</v>
      </c>
      <c r="N127">
        <f>ABS('rekap M'!M11-'rekap B'!I11)</f>
        <v>0</v>
      </c>
      <c r="O127">
        <f>ABS('rekap M'!N11-'rekap B'!J11)</f>
        <v>0</v>
      </c>
      <c r="Q127" t="s">
        <v>229</v>
      </c>
      <c r="R127">
        <f>ABS('rekap M'!M11-'rekap B'!K11)</f>
        <v>0.2</v>
      </c>
      <c r="S127">
        <f>ABS('rekap M'!N11-'rekap B'!L11)</f>
        <v>0.19999999999999996</v>
      </c>
      <c r="U127" t="s">
        <v>229</v>
      </c>
      <c r="V127">
        <f>ABS('rekap M'!M11-'rekap B'!M11)</f>
        <v>0.2</v>
      </c>
      <c r="W127">
        <f>ABS('rekap M'!N11-'rekap B'!N11)</f>
        <v>0.19999999999999996</v>
      </c>
    </row>
    <row r="128" spans="1:26" x14ac:dyDescent="0.25">
      <c r="A128" t="s">
        <v>230</v>
      </c>
      <c r="B128">
        <f>ABS('rekap M'!M12-'rekap B'!C12)</f>
        <v>0</v>
      </c>
      <c r="C128">
        <f>ABS('rekap M'!N12-'rekap B'!D12)</f>
        <v>0</v>
      </c>
      <c r="E128" t="s">
        <v>230</v>
      </c>
      <c r="F128">
        <f>ABS('rekap M'!M12-'rekap B'!E12)</f>
        <v>0</v>
      </c>
      <c r="G128">
        <f>ABS('rekap M'!N12-'rekap B'!F12)</f>
        <v>0</v>
      </c>
      <c r="I128" t="s">
        <v>230</v>
      </c>
      <c r="J128">
        <f>ABS('rekap M'!M12-'rekap B'!G12)</f>
        <v>0</v>
      </c>
      <c r="K128">
        <f>ABS('rekap M'!N12-'rekap B'!H12)</f>
        <v>0</v>
      </c>
      <c r="M128" t="s">
        <v>230</v>
      </c>
      <c r="N128">
        <f>ABS('rekap M'!M12-'rekap B'!I12)</f>
        <v>0</v>
      </c>
      <c r="O128">
        <f>ABS('rekap M'!N12-'rekap B'!J12)</f>
        <v>0</v>
      </c>
      <c r="Q128" t="s">
        <v>230</v>
      </c>
      <c r="R128">
        <f>ABS('rekap M'!M12-'rekap B'!K12)</f>
        <v>0</v>
      </c>
      <c r="S128">
        <f>ABS('rekap M'!N12-'rekap B'!L12)</f>
        <v>0</v>
      </c>
      <c r="U128" t="s">
        <v>230</v>
      </c>
      <c r="V128">
        <f>ABS('rekap M'!M12-'rekap B'!M12)</f>
        <v>0</v>
      </c>
      <c r="W128">
        <f>ABS('rekap M'!N12-'rekap B'!N12)</f>
        <v>0</v>
      </c>
    </row>
    <row r="129" spans="1:26" x14ac:dyDescent="0.25">
      <c r="A129" t="s">
        <v>231</v>
      </c>
      <c r="B129">
        <f>ABS('rekap M'!M13-'rekap B'!C13)</f>
        <v>0</v>
      </c>
      <c r="C129">
        <f>ABS('rekap M'!N13-'rekap B'!D13)</f>
        <v>0</v>
      </c>
      <c r="E129" t="s">
        <v>231</v>
      </c>
      <c r="F129">
        <f>ABS('rekap M'!M13-'rekap B'!E13)</f>
        <v>0.20000000000000007</v>
      </c>
      <c r="G129">
        <f>ABS('rekap M'!N13-'rekap B'!F13)</f>
        <v>0.19999999999999998</v>
      </c>
      <c r="I129" t="s">
        <v>231</v>
      </c>
      <c r="J129">
        <f>ABS('rekap M'!M13-'rekap B'!G13)</f>
        <v>0.19999999999999996</v>
      </c>
      <c r="K129">
        <f>ABS('rekap M'!N13-'rekap B'!H13)</f>
        <v>0.2</v>
      </c>
      <c r="M129" t="s">
        <v>231</v>
      </c>
      <c r="N129">
        <f>ABS('rekap M'!M13-'rekap B'!I13)</f>
        <v>0.19999999999999996</v>
      </c>
      <c r="O129">
        <f>ABS('rekap M'!N13-'rekap B'!J13)</f>
        <v>0.2</v>
      </c>
      <c r="Q129" t="s">
        <v>231</v>
      </c>
      <c r="R129">
        <f>ABS('rekap M'!M13-'rekap B'!K13)</f>
        <v>0</v>
      </c>
      <c r="S129">
        <f>ABS('rekap M'!N13-'rekap B'!L13)</f>
        <v>0</v>
      </c>
      <c r="U129" t="s">
        <v>231</v>
      </c>
      <c r="V129">
        <f>ABS('rekap M'!M13-'rekap B'!M13)</f>
        <v>0</v>
      </c>
      <c r="W129">
        <f>ABS('rekap M'!N13-'rekap B'!N13)</f>
        <v>0</v>
      </c>
    </row>
    <row r="130" spans="1:26" x14ac:dyDescent="0.25">
      <c r="A130" t="s">
        <v>232</v>
      </c>
      <c r="B130">
        <f>ABS('rekap M'!M14-'rekap B'!C14)</f>
        <v>0</v>
      </c>
      <c r="C130">
        <f>ABS('rekap M'!N14-'rekap B'!D14)</f>
        <v>0</v>
      </c>
      <c r="E130" t="s">
        <v>232</v>
      </c>
      <c r="F130">
        <f>ABS('rekap M'!M14-'rekap B'!E14)</f>
        <v>0</v>
      </c>
      <c r="G130">
        <f>ABS('rekap M'!N14-'rekap B'!F14)</f>
        <v>0</v>
      </c>
      <c r="I130" t="s">
        <v>232</v>
      </c>
      <c r="J130">
        <f>ABS('rekap M'!M14-'rekap B'!G14)</f>
        <v>0</v>
      </c>
      <c r="K130">
        <f>ABS('rekap M'!N14-'rekap B'!H14)</f>
        <v>0</v>
      </c>
      <c r="M130" t="s">
        <v>232</v>
      </c>
      <c r="N130">
        <f>ABS('rekap M'!M14-'rekap B'!I14)</f>
        <v>0</v>
      </c>
      <c r="O130">
        <f>ABS('rekap M'!N14-'rekap B'!J14)</f>
        <v>0</v>
      </c>
      <c r="Q130" t="s">
        <v>232</v>
      </c>
      <c r="R130">
        <f>ABS('rekap M'!M14-'rekap B'!K14)</f>
        <v>0</v>
      </c>
      <c r="S130">
        <f>ABS('rekap M'!N14-'rekap B'!L14)</f>
        <v>0</v>
      </c>
      <c r="U130" t="s">
        <v>232</v>
      </c>
      <c r="V130">
        <f>ABS('rekap M'!M14-'rekap B'!M14)</f>
        <v>0</v>
      </c>
      <c r="W130">
        <f>ABS('rekap M'!N14-'rekap B'!N14)</f>
        <v>0</v>
      </c>
    </row>
    <row r="131" spans="1:26" x14ac:dyDescent="0.25">
      <c r="A131" t="s">
        <v>233</v>
      </c>
      <c r="B131">
        <f>ABS('rekap M'!M15-'rekap B'!C15)</f>
        <v>0</v>
      </c>
      <c r="C131">
        <f>ABS('rekap M'!N15-'rekap B'!D15)</f>
        <v>0</v>
      </c>
      <c r="E131" t="s">
        <v>233</v>
      </c>
      <c r="F131">
        <f>ABS('rekap M'!M15-'rekap B'!E15)</f>
        <v>0</v>
      </c>
      <c r="G131">
        <f>ABS('rekap M'!N15-'rekap B'!F15)</f>
        <v>0</v>
      </c>
      <c r="I131" t="s">
        <v>233</v>
      </c>
      <c r="J131">
        <f>ABS('rekap M'!M15-'rekap B'!G15)</f>
        <v>0</v>
      </c>
      <c r="K131">
        <f>ABS('rekap M'!N15-'rekap B'!H15)</f>
        <v>0</v>
      </c>
      <c r="M131" t="s">
        <v>233</v>
      </c>
      <c r="N131">
        <f>ABS('rekap M'!M15-'rekap B'!I15)</f>
        <v>0</v>
      </c>
      <c r="O131">
        <f>ABS('rekap M'!N15-'rekap B'!J15)</f>
        <v>0</v>
      </c>
      <c r="Q131" t="s">
        <v>233</v>
      </c>
      <c r="R131">
        <f>ABS('rekap M'!M15-'rekap B'!K15)</f>
        <v>0</v>
      </c>
      <c r="S131">
        <f>ABS('rekap M'!N15-'rekap B'!L15)</f>
        <v>0</v>
      </c>
      <c r="U131" t="s">
        <v>233</v>
      </c>
      <c r="V131">
        <f>ABS('rekap M'!M15-'rekap B'!M15)</f>
        <v>0</v>
      </c>
      <c r="W131">
        <f>ABS('rekap M'!N15-'rekap B'!N15)</f>
        <v>0</v>
      </c>
    </row>
    <row r="132" spans="1:26" x14ac:dyDescent="0.25">
      <c r="A132" t="s">
        <v>234</v>
      </c>
      <c r="B132">
        <f>ABS('rekap M'!M16-'rekap B'!C16)</f>
        <v>0</v>
      </c>
      <c r="C132">
        <f>ABS('rekap M'!N16-'rekap B'!D16)</f>
        <v>0</v>
      </c>
      <c r="E132" t="s">
        <v>234</v>
      </c>
      <c r="F132">
        <f>ABS('rekap M'!M16-'rekap B'!E16)</f>
        <v>0</v>
      </c>
      <c r="G132">
        <f>ABS('rekap M'!N16-'rekap B'!F16)</f>
        <v>0</v>
      </c>
      <c r="I132" t="s">
        <v>234</v>
      </c>
      <c r="J132">
        <f>ABS('rekap M'!M16-'rekap B'!G16)</f>
        <v>0</v>
      </c>
      <c r="K132">
        <f>ABS('rekap M'!N16-'rekap B'!H16)</f>
        <v>0</v>
      </c>
      <c r="M132" t="s">
        <v>234</v>
      </c>
      <c r="N132">
        <f>ABS('rekap M'!M16-'rekap B'!I16)</f>
        <v>0</v>
      </c>
      <c r="O132">
        <f>ABS('rekap M'!N16-'rekap B'!J16)</f>
        <v>0</v>
      </c>
      <c r="Q132" t="s">
        <v>234</v>
      </c>
      <c r="R132">
        <f>ABS('rekap M'!M16-'rekap B'!K16)</f>
        <v>0</v>
      </c>
      <c r="S132">
        <f>ABS('rekap M'!N16-'rekap B'!L16)</f>
        <v>0</v>
      </c>
      <c r="U132" t="s">
        <v>234</v>
      </c>
      <c r="V132">
        <f>ABS('rekap M'!M16-'rekap B'!M16)</f>
        <v>0</v>
      </c>
      <c r="W132">
        <f>ABS('rekap M'!N16-'rekap B'!N16)</f>
        <v>0</v>
      </c>
    </row>
    <row r="133" spans="1:26" x14ac:dyDescent="0.25">
      <c r="A133" t="s">
        <v>235</v>
      </c>
      <c r="B133">
        <f>ABS('rekap M'!M17-'rekap B'!C17)</f>
        <v>0.20000000000000007</v>
      </c>
      <c r="C133">
        <f>ABS('rekap M'!N17-'rekap B'!D17)</f>
        <v>0.19999999999999998</v>
      </c>
      <c r="E133" t="s">
        <v>235</v>
      </c>
      <c r="F133">
        <f>ABS('rekap M'!M17-'rekap B'!E17)</f>
        <v>0.20000000000000007</v>
      </c>
      <c r="G133">
        <f>ABS('rekap M'!N17-'rekap B'!F17)</f>
        <v>0.19999999999999998</v>
      </c>
      <c r="I133" t="s">
        <v>235</v>
      </c>
      <c r="J133">
        <f>ABS('rekap M'!M17-'rekap B'!G17)</f>
        <v>0.20000000000000007</v>
      </c>
      <c r="K133">
        <f>ABS('rekap M'!N17-'rekap B'!H17)</f>
        <v>0.19999999999999998</v>
      </c>
      <c r="M133" t="s">
        <v>235</v>
      </c>
      <c r="N133">
        <f>ABS('rekap M'!M17-'rekap B'!I17)</f>
        <v>0.20000000000000007</v>
      </c>
      <c r="O133">
        <f>ABS('rekap M'!N17-'rekap B'!J17)</f>
        <v>0.19999999999999998</v>
      </c>
      <c r="Q133" t="s">
        <v>235</v>
      </c>
      <c r="R133">
        <f>ABS('rekap M'!M17-'rekap B'!K17)</f>
        <v>0.20000000000000007</v>
      </c>
      <c r="S133">
        <f>ABS('rekap M'!N17-'rekap B'!L17)</f>
        <v>0.19999999999999998</v>
      </c>
      <c r="U133" t="s">
        <v>235</v>
      </c>
      <c r="V133">
        <f>ABS('rekap M'!M17-'rekap B'!M17)</f>
        <v>0.19999999999999996</v>
      </c>
      <c r="W133">
        <f>ABS('rekap M'!N17-'rekap B'!N17)</f>
        <v>0.2</v>
      </c>
    </row>
    <row r="134" spans="1:26" x14ac:dyDescent="0.25">
      <c r="A134" t="s">
        <v>236</v>
      </c>
      <c r="B134">
        <f>ABS('rekap M'!M18-'rekap B'!C18)</f>
        <v>0.20000000000000007</v>
      </c>
      <c r="C134">
        <f>ABS('rekap M'!N18-'rekap B'!D18)</f>
        <v>0.19999999999999998</v>
      </c>
      <c r="E134" t="s">
        <v>236</v>
      </c>
      <c r="F134">
        <f>ABS('rekap M'!M18-'rekap B'!E18)</f>
        <v>0.19999999999999996</v>
      </c>
      <c r="G134">
        <f>ABS('rekap M'!N18-'rekap B'!F18)</f>
        <v>0.2</v>
      </c>
      <c r="I134" t="s">
        <v>236</v>
      </c>
      <c r="J134">
        <f>ABS('rekap M'!M18-'rekap B'!G18)</f>
        <v>0.39999999999999997</v>
      </c>
      <c r="K134">
        <f>ABS('rekap M'!N18-'rekap B'!H18)</f>
        <v>0.39999999999999997</v>
      </c>
      <c r="M134" t="s">
        <v>236</v>
      </c>
      <c r="N134">
        <f>ABS('rekap M'!M18-'rekap B'!I18)</f>
        <v>0.20000000000000007</v>
      </c>
      <c r="O134">
        <f>ABS('rekap M'!N18-'rekap B'!J18)</f>
        <v>0.19999999999999998</v>
      </c>
      <c r="Q134" t="s">
        <v>236</v>
      </c>
      <c r="R134">
        <f>ABS('rekap M'!M18-'rekap B'!K18)</f>
        <v>0</v>
      </c>
      <c r="S134">
        <f>ABS('rekap M'!N18-'rekap B'!L18)</f>
        <v>0</v>
      </c>
      <c r="U134" t="s">
        <v>236</v>
      </c>
      <c r="V134">
        <f>ABS('rekap M'!M18-'rekap B'!M18)</f>
        <v>0.39999999999999997</v>
      </c>
      <c r="W134">
        <f>ABS('rekap M'!N18-'rekap B'!N18)</f>
        <v>0.39999999999999997</v>
      </c>
    </row>
    <row r="135" spans="1:26" x14ac:dyDescent="0.25">
      <c r="A135" t="s">
        <v>237</v>
      </c>
      <c r="B135">
        <f>ABS('rekap M'!M19-'rekap B'!C19)</f>
        <v>0.4</v>
      </c>
      <c r="C135">
        <f>ABS('rekap M'!N19-'rekap B'!D19)</f>
        <v>0.4</v>
      </c>
      <c r="E135" t="s">
        <v>237</v>
      </c>
      <c r="F135">
        <f>ABS('rekap M'!M19-'rekap B'!E19)</f>
        <v>0.4</v>
      </c>
      <c r="G135">
        <f>ABS('rekap M'!N19-'rekap B'!F19)</f>
        <v>0.4</v>
      </c>
      <c r="I135" t="s">
        <v>237</v>
      </c>
      <c r="J135">
        <f>ABS('rekap M'!M19-'rekap B'!G19)</f>
        <v>0.4</v>
      </c>
      <c r="K135">
        <f>ABS('rekap M'!N19-'rekap B'!H19)</f>
        <v>0.4</v>
      </c>
      <c r="M135" t="s">
        <v>237</v>
      </c>
      <c r="N135">
        <f>ABS('rekap M'!M19-'rekap B'!I19)</f>
        <v>0.4</v>
      </c>
      <c r="O135">
        <f>ABS('rekap M'!N19-'rekap B'!J19)</f>
        <v>0.4</v>
      </c>
      <c r="Q135" t="s">
        <v>237</v>
      </c>
      <c r="R135">
        <f>ABS('rekap M'!M19-'rekap B'!K19)</f>
        <v>0.4</v>
      </c>
      <c r="S135">
        <f>ABS('rekap M'!N19-'rekap B'!L19)</f>
        <v>0.4</v>
      </c>
      <c r="U135" t="s">
        <v>237</v>
      </c>
      <c r="V135">
        <f>ABS('rekap M'!M19-'rekap B'!M19)</f>
        <v>0</v>
      </c>
      <c r="W135">
        <f>ABS('rekap M'!N19-'rekap B'!N19)</f>
        <v>0</v>
      </c>
    </row>
    <row r="136" spans="1:26" x14ac:dyDescent="0.25">
      <c r="A136" t="s">
        <v>238</v>
      </c>
      <c r="B136">
        <f>ABS('rekap M'!M20-'rekap B'!C20)</f>
        <v>0.2</v>
      </c>
      <c r="C136">
        <f>ABS('rekap M'!N20-'rekap B'!D20)</f>
        <v>0.19999999999999996</v>
      </c>
      <c r="E136" t="s">
        <v>238</v>
      </c>
      <c r="F136">
        <f>ABS('rekap M'!M20-'rekap B'!E20)</f>
        <v>0.39999999999999997</v>
      </c>
      <c r="G136">
        <f>ABS('rekap M'!N20-'rekap B'!F20)</f>
        <v>0.39999999999999997</v>
      </c>
      <c r="I136" t="s">
        <v>238</v>
      </c>
      <c r="J136">
        <f>ABS('rekap M'!M20-'rekap B'!G20)</f>
        <v>0.60000000000000009</v>
      </c>
      <c r="K136">
        <f>ABS('rekap M'!N20-'rekap B'!H20)</f>
        <v>0.6</v>
      </c>
      <c r="M136" t="s">
        <v>238</v>
      </c>
      <c r="N136">
        <f>ABS('rekap M'!M20-'rekap B'!I20)</f>
        <v>0.60000000000000009</v>
      </c>
      <c r="O136">
        <f>ABS('rekap M'!N20-'rekap B'!J20)</f>
        <v>0.6</v>
      </c>
      <c r="Q136" t="s">
        <v>238</v>
      </c>
      <c r="R136">
        <f>ABS('rekap M'!M20-'rekap B'!K20)</f>
        <v>0.39999999999999997</v>
      </c>
      <c r="S136">
        <f>ABS('rekap M'!N20-'rekap B'!L20)</f>
        <v>0.39999999999999997</v>
      </c>
      <c r="U136" t="s">
        <v>238</v>
      </c>
      <c r="V136">
        <f>ABS('rekap M'!M20-'rekap B'!M20)</f>
        <v>0.39999999999999997</v>
      </c>
      <c r="W136">
        <f>ABS('rekap M'!N20-'rekap B'!N20)</f>
        <v>0.39999999999999997</v>
      </c>
    </row>
    <row r="137" spans="1:26" x14ac:dyDescent="0.25">
      <c r="A137" t="s">
        <v>239</v>
      </c>
      <c r="B137">
        <f>ABS('rekap M'!M21-'rekap B'!C21)</f>
        <v>0</v>
      </c>
      <c r="C137">
        <f>ABS('rekap M'!N21-'rekap B'!D21)</f>
        <v>0</v>
      </c>
      <c r="E137" t="s">
        <v>239</v>
      </c>
      <c r="F137">
        <f>ABS('rekap M'!M21-'rekap B'!E21)</f>
        <v>0</v>
      </c>
      <c r="G137">
        <f>ABS('rekap M'!N21-'rekap B'!F21)</f>
        <v>0</v>
      </c>
      <c r="I137" t="s">
        <v>239</v>
      </c>
      <c r="J137">
        <f>ABS('rekap M'!M21-'rekap B'!G21)</f>
        <v>0</v>
      </c>
      <c r="K137">
        <f>ABS('rekap M'!N21-'rekap B'!H21)</f>
        <v>0</v>
      </c>
      <c r="M137" t="s">
        <v>239</v>
      </c>
      <c r="N137">
        <f>ABS('rekap M'!M21-'rekap B'!I21)</f>
        <v>0</v>
      </c>
      <c r="O137">
        <f>ABS('rekap M'!N21-'rekap B'!J21)</f>
        <v>0</v>
      </c>
      <c r="Q137" t="s">
        <v>239</v>
      </c>
      <c r="R137">
        <f>ABS('rekap M'!M21-'rekap B'!K21)</f>
        <v>0</v>
      </c>
      <c r="S137">
        <f>ABS('rekap M'!N21-'rekap B'!L21)</f>
        <v>0</v>
      </c>
      <c r="U137" t="s">
        <v>239</v>
      </c>
      <c r="V137">
        <f>ABS('rekap M'!M21-'rekap B'!M21)</f>
        <v>0</v>
      </c>
      <c r="W137">
        <f>ABS('rekap M'!N21-'rekap B'!N21)</f>
        <v>0</v>
      </c>
    </row>
    <row r="138" spans="1:26" x14ac:dyDescent="0.25">
      <c r="B138">
        <f>SUM(B119:B137)</f>
        <v>2.2000000000000002</v>
      </c>
      <c r="C138">
        <f t="shared" ref="C138" si="57">SUM(C119:C137)</f>
        <v>2.1999999999999993</v>
      </c>
      <c r="F138">
        <f t="shared" ref="F138" si="58">SUM(F119:F137)</f>
        <v>2.6000000000000005</v>
      </c>
      <c r="G138">
        <f t="shared" ref="G138" si="59">SUM(G119:G137)</f>
        <v>2.5999999999999996</v>
      </c>
      <c r="J138">
        <f t="shared" ref="J138" si="60">SUM(J119:J137)</f>
        <v>2.4</v>
      </c>
      <c r="K138">
        <f t="shared" ref="K138" si="61">SUM(K119:K137)</f>
        <v>2.4</v>
      </c>
      <c r="N138">
        <f t="shared" ref="N138" si="62">SUM(N119:N137)</f>
        <v>1.8000000000000003</v>
      </c>
      <c r="O138">
        <f t="shared" ref="O138" si="63">SUM(O119:O137)</f>
        <v>1.7999999999999998</v>
      </c>
      <c r="R138">
        <f t="shared" ref="R138" si="64">SUM(R119:R137)</f>
        <v>2.1999999999999997</v>
      </c>
      <c r="S138">
        <f t="shared" ref="S138" si="65">SUM(S119:S137)</f>
        <v>2.1999999999999997</v>
      </c>
      <c r="V138">
        <f t="shared" ref="V138" si="66">SUM(V119:V137)</f>
        <v>2.4</v>
      </c>
      <c r="W138">
        <f t="shared" ref="W138" si="67">SUM(W119:W137)</f>
        <v>2.4</v>
      </c>
    </row>
    <row r="139" spans="1:26" x14ac:dyDescent="0.25">
      <c r="A139" t="s">
        <v>271</v>
      </c>
      <c r="D139">
        <f>1/19*(B138+C138)</f>
        <v>0.23157894736842102</v>
      </c>
      <c r="H139">
        <f t="shared" ref="H139" si="68">1/19*(F138+G138)</f>
        <v>0.27368421052631581</v>
      </c>
      <c r="L139">
        <f t="shared" ref="L139" si="69">1/19*(J138+K138)</f>
        <v>0.25263157894736837</v>
      </c>
      <c r="P139">
        <f t="shared" ref="P139" si="70">1/19*(N138+O138)</f>
        <v>0.18947368421052632</v>
      </c>
      <c r="T139">
        <f t="shared" ref="T139" si="71">1/19*(R138+S138)</f>
        <v>0.23157894736842102</v>
      </c>
      <c r="X139">
        <f t="shared" ref="X139" si="72">1/19*(V138+W138)</f>
        <v>0.25263157894736837</v>
      </c>
      <c r="Y139" t="s">
        <v>272</v>
      </c>
      <c r="Z139" s="110">
        <f>MIN(B139:Y139)</f>
        <v>0.18947368421052632</v>
      </c>
    </row>
    <row r="142" spans="1:26" x14ac:dyDescent="0.25">
      <c r="L142" t="s">
        <v>273</v>
      </c>
      <c r="N142">
        <f>Z22</f>
        <v>0.18947368421052632</v>
      </c>
    </row>
    <row r="143" spans="1:26" x14ac:dyDescent="0.25">
      <c r="L143" t="s">
        <v>274</v>
      </c>
      <c r="N143">
        <f>Z45</f>
        <v>0.10526315789473684</v>
      </c>
    </row>
    <row r="144" spans="1:26" x14ac:dyDescent="0.25">
      <c r="L144" t="s">
        <v>275</v>
      </c>
      <c r="N144">
        <f>Z68</f>
        <v>0.29473684210526319</v>
      </c>
    </row>
    <row r="145" spans="12:14" x14ac:dyDescent="0.25">
      <c r="L145" t="s">
        <v>276</v>
      </c>
      <c r="N145">
        <f>Z92</f>
        <v>0.21052631578947367</v>
      </c>
    </row>
    <row r="146" spans="12:14" x14ac:dyDescent="0.25">
      <c r="L146" t="s">
        <v>277</v>
      </c>
      <c r="N146">
        <f>Z115</f>
        <v>0.37894736842105259</v>
      </c>
    </row>
    <row r="147" spans="12:14" x14ac:dyDescent="0.25">
      <c r="L147" t="s">
        <v>278</v>
      </c>
      <c r="N147">
        <f>Z139</f>
        <v>0.18947368421052632</v>
      </c>
    </row>
    <row r="148" spans="12:14" x14ac:dyDescent="0.25">
      <c r="L148" t="s">
        <v>279</v>
      </c>
      <c r="N148">
        <f>SUM(N142:N147)</f>
        <v>1.368421052631579</v>
      </c>
    </row>
  </sheetData>
  <phoneticPr fontId="2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4DB4A-0033-4F63-B9BC-6855F6D92D96}">
  <sheetPr>
    <tabColor rgb="FF0070C0"/>
  </sheetPr>
  <dimension ref="A1:N22"/>
  <sheetViews>
    <sheetView topLeftCell="A11" workbookViewId="0">
      <selection activeCell="B24" sqref="B24"/>
    </sheetView>
  </sheetViews>
  <sheetFormatPr defaultRowHeight="15" x14ac:dyDescent="0.25"/>
  <cols>
    <col min="1" max="1" width="24" customWidth="1"/>
    <col min="2" max="2" width="45.85546875" customWidth="1"/>
    <col min="3" max="4" width="10.7109375" customWidth="1"/>
  </cols>
  <sheetData>
    <row r="1" spans="1:14" x14ac:dyDescent="0.25">
      <c r="A1" s="165" t="s">
        <v>13</v>
      </c>
      <c r="B1" s="165" t="s">
        <v>14</v>
      </c>
      <c r="C1" s="186" t="s">
        <v>81</v>
      </c>
      <c r="D1" s="187"/>
      <c r="E1" s="186" t="s">
        <v>82</v>
      </c>
      <c r="F1" s="187"/>
      <c r="G1" s="186" t="s">
        <v>83</v>
      </c>
      <c r="H1" s="187"/>
      <c r="I1" s="186" t="s">
        <v>84</v>
      </c>
      <c r="J1" s="187"/>
      <c r="K1" s="186" t="s">
        <v>85</v>
      </c>
      <c r="L1" s="187"/>
      <c r="M1" s="186" t="s">
        <v>86</v>
      </c>
      <c r="N1" s="187"/>
    </row>
    <row r="2" spans="1:14" x14ac:dyDescent="0.25">
      <c r="A2" s="165"/>
      <c r="B2" s="165"/>
      <c r="C2" s="164" t="s">
        <v>212</v>
      </c>
      <c r="D2" s="164" t="s">
        <v>214</v>
      </c>
      <c r="E2" s="164" t="s">
        <v>212</v>
      </c>
      <c r="F2" s="164" t="s">
        <v>214</v>
      </c>
      <c r="G2" s="164" t="s">
        <v>212</v>
      </c>
      <c r="H2" s="164" t="s">
        <v>214</v>
      </c>
      <c r="I2" s="164" t="s">
        <v>212</v>
      </c>
      <c r="J2" s="164" t="s">
        <v>214</v>
      </c>
      <c r="K2" s="164" t="s">
        <v>212</v>
      </c>
      <c r="L2" s="164" t="s">
        <v>214</v>
      </c>
      <c r="M2" s="164" t="s">
        <v>212</v>
      </c>
      <c r="N2" s="164" t="s">
        <v>214</v>
      </c>
    </row>
    <row r="3" spans="1:14" ht="30" x14ac:dyDescent="0.25">
      <c r="A3" s="166" t="s">
        <v>26</v>
      </c>
      <c r="B3" s="167" t="s">
        <v>27</v>
      </c>
      <c r="C3" s="164">
        <f>IF(rekap!O2=5,0.8,IF(rekap!O2=3,0.6,IF(rekap!O2=1,0.4,0.2)))</f>
        <v>0.2</v>
      </c>
      <c r="D3" s="164">
        <f>IF(rekap!O2=5,0.1,IF(rekap!O2=3,0.3,IF(rekap!O2=1,0.5,0.7)))</f>
        <v>0.7</v>
      </c>
      <c r="E3" s="164">
        <f>IF(rekap!P2=5,0.8,IF(rekap!P2=3,0.6,IF(rekap!P2=1,0.4,0.2)))</f>
        <v>0.4</v>
      </c>
      <c r="F3" s="164">
        <f>IF(rekap!P2=5,0.1,IF(rekap!P2=3,0.3,IF(rekap!P2=1,0.5,0.7)))</f>
        <v>0.5</v>
      </c>
      <c r="G3" s="164">
        <f>IF(rekap!Q2=5,0.8,IF(rekap!Q2=3,0.6,IF(rekap!Q2=1,0.4,0.2)))</f>
        <v>0.2</v>
      </c>
      <c r="H3" s="164">
        <f>IF(rekap!Q2=5,0.1,IF(rekap!Q2=3,0.3,IF(rekap!Q2=1,0.5,0.7)))</f>
        <v>0.7</v>
      </c>
      <c r="I3" s="164">
        <f>IF(rekap!R2=5,0.8,IF(rekap!R2=3,0.6,IF(rekap!R2=1,0.4,0.2)))</f>
        <v>0.2</v>
      </c>
      <c r="J3" s="164">
        <f>IF(rekap!R2=5,0.1,IF(rekap!R2=3,0.3,IF(rekap!R2=1,0.5,0.7)))</f>
        <v>0.7</v>
      </c>
      <c r="K3" s="164">
        <f>IF(rekap!S2=5,0.8,IF(rekap!S2=3,0.6,IF(rekap!S2=1,0.4,0.2)))</f>
        <v>0.2</v>
      </c>
      <c r="L3" s="164">
        <f>IF(rekap!S2=5,0.1,IF(rekap!S2=3,0.3,IF(rekap!S2=1,0.5,0.7)))</f>
        <v>0.7</v>
      </c>
      <c r="M3" s="164">
        <f>IF(rekap!T2=5,0.8,IF(rekap!T2=3,0.6,IF(rekap!T2=1,0.4,0.2)))</f>
        <v>0.4</v>
      </c>
      <c r="N3" s="164">
        <f>IF(rekap!T2=5,0.1,IF(rekap!T2=3,0.3,IF(rekap!T2=1,0.5,0.7)))</f>
        <v>0.5</v>
      </c>
    </row>
    <row r="4" spans="1:14" x14ac:dyDescent="0.25">
      <c r="A4" s="166"/>
      <c r="B4" s="167" t="s">
        <v>28</v>
      </c>
      <c r="C4" s="164">
        <f>IF(rekap!O3=5,0.8,IF(rekap!O3=3,0.6,IF(rekap!O3=1,0.4,0.2)))</f>
        <v>0.2</v>
      </c>
      <c r="D4" s="164">
        <f>IF(rekap!O3=5,0.1,IF(rekap!O3=3,0.3,IF(rekap!O3=1,0.5,0.7)))</f>
        <v>0.7</v>
      </c>
      <c r="E4" s="164">
        <f>IF(rekap!P3=5,0.8,IF(rekap!P3=3,0.6,IF(rekap!P3=1,0.4,0.2)))</f>
        <v>0.8</v>
      </c>
      <c r="F4" s="164">
        <f>IF(rekap!P3=5,0.1,IF(rekap!P3=3,0.3,IF(rekap!P3=1,0.5,0.7)))</f>
        <v>0.1</v>
      </c>
      <c r="G4" s="164">
        <f>IF(rekap!Q3=5,0.8,IF(rekap!Q3=3,0.6,IF(rekap!Q3=1,0.4,0.2)))</f>
        <v>0.2</v>
      </c>
      <c r="H4" s="164">
        <f>IF(rekap!Q3=5,0.1,IF(rekap!Q3=3,0.3,IF(rekap!Q3=1,0.5,0.7)))</f>
        <v>0.7</v>
      </c>
      <c r="I4" s="164">
        <f>IF(rekap!R3=5,0.8,IF(rekap!R3=3,0.6,IF(rekap!R3=1,0.4,0.2)))</f>
        <v>0.2</v>
      </c>
      <c r="J4" s="164">
        <f>IF(rekap!R3=5,0.1,IF(rekap!R3=3,0.3,IF(rekap!R3=1,0.5,0.7)))</f>
        <v>0.7</v>
      </c>
      <c r="K4" s="164">
        <f>IF(rekap!S3=5,0.8,IF(rekap!S3=3,0.6,IF(rekap!S3=1,0.4,0.2)))</f>
        <v>0.6</v>
      </c>
      <c r="L4" s="164">
        <f>IF(rekap!S3=5,0.1,IF(rekap!S3=3,0.3,IF(rekap!S3=1,0.5,0.7)))</f>
        <v>0.3</v>
      </c>
      <c r="M4" s="164">
        <f>IF(rekap!T3=5,0.8,IF(rekap!T3=3,0.6,IF(rekap!T3=1,0.4,0.2)))</f>
        <v>0.8</v>
      </c>
      <c r="N4" s="164">
        <f>IF(rekap!T3=5,0.1,IF(rekap!T3=3,0.3,IF(rekap!T3=1,0.5,0.7)))</f>
        <v>0.1</v>
      </c>
    </row>
    <row r="5" spans="1:14" ht="30" x14ac:dyDescent="0.25">
      <c r="A5" s="166"/>
      <c r="B5" s="167" t="s">
        <v>29</v>
      </c>
      <c r="C5" s="164">
        <f>IF(rekap!O4=5,0.8,IF(rekap!O4=3,0.6,IF(rekap!O4=1,0.4,0.2)))</f>
        <v>0.2</v>
      </c>
      <c r="D5" s="164">
        <f>IF(rekap!O4=5,0.1,IF(rekap!O4=3,0.3,IF(rekap!O4=1,0.5,0.7)))</f>
        <v>0.7</v>
      </c>
      <c r="E5" s="164">
        <f>IF(rekap!P4=5,0.8,IF(rekap!P4=3,0.6,IF(rekap!P4=1,0.4,0.2)))</f>
        <v>0.2</v>
      </c>
      <c r="F5" s="164">
        <f>IF(rekap!P4=5,0.1,IF(rekap!P4=3,0.3,IF(rekap!P4=1,0.5,0.7)))</f>
        <v>0.7</v>
      </c>
      <c r="G5" s="164">
        <f>IF(rekap!Q4=5,0.8,IF(rekap!Q4=3,0.6,IF(rekap!Q4=1,0.4,0.2)))</f>
        <v>0.2</v>
      </c>
      <c r="H5" s="164">
        <f>IF(rekap!Q4=5,0.1,IF(rekap!Q4=3,0.3,IF(rekap!Q4=1,0.5,0.7)))</f>
        <v>0.7</v>
      </c>
      <c r="I5" s="164">
        <f>IF(rekap!R4=5,0.8,IF(rekap!R4=3,0.6,IF(rekap!R4=1,0.4,0.2)))</f>
        <v>0.2</v>
      </c>
      <c r="J5" s="164">
        <f>IF(rekap!R4=5,0.1,IF(rekap!R4=3,0.3,IF(rekap!R4=1,0.5,0.7)))</f>
        <v>0.7</v>
      </c>
      <c r="K5" s="164">
        <f>IF(rekap!S4=5,0.8,IF(rekap!S4=3,0.6,IF(rekap!S4=1,0.4,0.2)))</f>
        <v>0.2</v>
      </c>
      <c r="L5" s="164">
        <f>IF(rekap!S4=5,0.1,IF(rekap!S4=3,0.3,IF(rekap!S4=1,0.5,0.7)))</f>
        <v>0.7</v>
      </c>
      <c r="M5" s="164">
        <f>IF(rekap!T4=5,0.8,IF(rekap!T4=3,0.6,IF(rekap!T4=1,0.4,0.2)))</f>
        <v>0.2</v>
      </c>
      <c r="N5" s="164">
        <f>IF(rekap!T4=5,0.1,IF(rekap!T4=3,0.3,IF(rekap!T4=1,0.5,0.7)))</f>
        <v>0.7</v>
      </c>
    </row>
    <row r="6" spans="1:14" ht="30" x14ac:dyDescent="0.25">
      <c r="A6" s="166" t="s">
        <v>31</v>
      </c>
      <c r="B6" s="167" t="s">
        <v>32</v>
      </c>
      <c r="C6" s="164">
        <f>IF(rekap!O5=5,0.8,IF(rekap!O5=3,0.6,IF(rekap!O5=1,0.4,0.2)))</f>
        <v>0.2</v>
      </c>
      <c r="D6" s="164">
        <f>IF(rekap!O5=5,0.1,IF(rekap!O5=3,0.3,IF(rekap!O5=1,0.5,0.7)))</f>
        <v>0.7</v>
      </c>
      <c r="E6" s="164">
        <f>IF(rekap!P5=5,0.8,IF(rekap!P5=3,0.6,IF(rekap!P5=1,0.4,0.2)))</f>
        <v>0.2</v>
      </c>
      <c r="F6" s="164">
        <f>IF(rekap!P5=5,0.1,IF(rekap!P5=3,0.3,IF(rekap!P5=1,0.5,0.7)))</f>
        <v>0.7</v>
      </c>
      <c r="G6" s="164">
        <f>IF(rekap!Q5=5,0.8,IF(rekap!Q5=3,0.6,IF(rekap!Q5=1,0.4,0.2)))</f>
        <v>0.2</v>
      </c>
      <c r="H6" s="164">
        <f>IF(rekap!Q5=5,0.1,IF(rekap!Q5=3,0.3,IF(rekap!Q5=1,0.5,0.7)))</f>
        <v>0.7</v>
      </c>
      <c r="I6" s="164">
        <f>IF(rekap!R5=5,0.8,IF(rekap!R5=3,0.6,IF(rekap!R5=1,0.4,0.2)))</f>
        <v>0.2</v>
      </c>
      <c r="J6" s="164">
        <f>IF(rekap!R5=5,0.1,IF(rekap!R5=3,0.3,IF(rekap!R5=1,0.5,0.7)))</f>
        <v>0.7</v>
      </c>
      <c r="K6" s="164">
        <f>IF(rekap!S5=5,0.8,IF(rekap!S5=3,0.6,IF(rekap!S5=1,0.4,0.2)))</f>
        <v>0.2</v>
      </c>
      <c r="L6" s="164">
        <f>IF(rekap!S5=5,0.1,IF(rekap!S5=3,0.3,IF(rekap!S5=1,0.5,0.7)))</f>
        <v>0.7</v>
      </c>
      <c r="M6" s="164">
        <f>IF(rekap!T5=5,0.8,IF(rekap!T5=3,0.6,IF(rekap!T5=1,0.4,0.2)))</f>
        <v>0.2</v>
      </c>
      <c r="N6" s="164">
        <f>IF(rekap!T5=5,0.1,IF(rekap!T5=3,0.3,IF(rekap!T5=1,0.5,0.7)))</f>
        <v>0.7</v>
      </c>
    </row>
    <row r="7" spans="1:14" x14ac:dyDescent="0.25">
      <c r="A7" s="166"/>
      <c r="B7" s="167" t="s">
        <v>34</v>
      </c>
      <c r="C7" s="164">
        <f>IF(rekap!O6=5,0.8,IF(rekap!O6=3,0.6,IF(rekap!O6=1,0.4,0.2)))</f>
        <v>0.2</v>
      </c>
      <c r="D7" s="164">
        <f>IF(rekap!O6=5,0.1,IF(rekap!O6=3,0.3,IF(rekap!O6=1,0.5,0.7)))</f>
        <v>0.7</v>
      </c>
      <c r="E7" s="164">
        <f>IF(rekap!P6=5,0.8,IF(rekap!P6=3,0.6,IF(rekap!P6=1,0.4,0.2)))</f>
        <v>0.2</v>
      </c>
      <c r="F7" s="164">
        <f>IF(rekap!P6=5,0.1,IF(rekap!P6=3,0.3,IF(rekap!P6=1,0.5,0.7)))</f>
        <v>0.7</v>
      </c>
      <c r="G7" s="164">
        <f>IF(rekap!Q6=5,0.8,IF(rekap!Q6=3,0.6,IF(rekap!Q6=1,0.4,0.2)))</f>
        <v>0.2</v>
      </c>
      <c r="H7" s="164">
        <f>IF(rekap!Q6=5,0.1,IF(rekap!Q6=3,0.3,IF(rekap!Q6=1,0.5,0.7)))</f>
        <v>0.7</v>
      </c>
      <c r="I7" s="164">
        <f>IF(rekap!R6=5,0.8,IF(rekap!R6=3,0.6,IF(rekap!R6=1,0.4,0.2)))</f>
        <v>0.2</v>
      </c>
      <c r="J7" s="164">
        <f>IF(rekap!R6=5,0.1,IF(rekap!R6=3,0.3,IF(rekap!R6=1,0.5,0.7)))</f>
        <v>0.7</v>
      </c>
      <c r="K7" s="164">
        <f>IF(rekap!S6=5,0.8,IF(rekap!S6=3,0.6,IF(rekap!S6=1,0.4,0.2)))</f>
        <v>0.2</v>
      </c>
      <c r="L7" s="164">
        <f>IF(rekap!S6=5,0.1,IF(rekap!S6=3,0.3,IF(rekap!S6=1,0.5,0.7)))</f>
        <v>0.7</v>
      </c>
      <c r="M7" s="164">
        <f>IF(rekap!T6=5,0.8,IF(rekap!T6=3,0.6,IF(rekap!T6=1,0.4,0.2)))</f>
        <v>0.4</v>
      </c>
      <c r="N7" s="164">
        <f>IF(rekap!T6=5,0.1,IF(rekap!T6=3,0.3,IF(rekap!T6=1,0.5,0.7)))</f>
        <v>0.5</v>
      </c>
    </row>
    <row r="8" spans="1:14" ht="30" x14ac:dyDescent="0.25">
      <c r="A8" s="166" t="s">
        <v>36</v>
      </c>
      <c r="B8" s="167" t="s">
        <v>37</v>
      </c>
      <c r="C8" s="164">
        <f>IF(rekap!O7=5,0.8,IF(rekap!O7=3,0.6,IF(rekap!O7=1,0.4,0.2)))</f>
        <v>0.2</v>
      </c>
      <c r="D8" s="164">
        <f>IF(rekap!O7=5,0.1,IF(rekap!O7=3,0.3,IF(rekap!O7=1,0.5,0.7)))</f>
        <v>0.7</v>
      </c>
      <c r="E8" s="164">
        <f>IF(rekap!P7=5,0.8,IF(rekap!P7=3,0.6,IF(rekap!P7=1,0.4,0.2)))</f>
        <v>0.2</v>
      </c>
      <c r="F8" s="164">
        <f>IF(rekap!P7=5,0.1,IF(rekap!P7=3,0.3,IF(rekap!P7=1,0.5,0.7)))</f>
        <v>0.7</v>
      </c>
      <c r="G8" s="164">
        <f>IF(rekap!Q7=5,0.8,IF(rekap!Q7=3,0.6,IF(rekap!Q7=1,0.4,0.2)))</f>
        <v>0.2</v>
      </c>
      <c r="H8" s="164">
        <f>IF(rekap!Q7=5,0.1,IF(rekap!Q7=3,0.3,IF(rekap!Q7=1,0.5,0.7)))</f>
        <v>0.7</v>
      </c>
      <c r="I8" s="164">
        <f>IF(rekap!R7=5,0.8,IF(rekap!R7=3,0.6,IF(rekap!R7=1,0.4,0.2)))</f>
        <v>0.2</v>
      </c>
      <c r="J8" s="164">
        <f>IF(rekap!R7=5,0.1,IF(rekap!R7=3,0.3,IF(rekap!R7=1,0.5,0.7)))</f>
        <v>0.7</v>
      </c>
      <c r="K8" s="164">
        <f>IF(rekap!S7=5,0.8,IF(rekap!S7=3,0.6,IF(rekap!S7=1,0.4,0.2)))</f>
        <v>0.4</v>
      </c>
      <c r="L8" s="164">
        <f>IF(rekap!S7=5,0.1,IF(rekap!S7=3,0.3,IF(rekap!S7=1,0.5,0.7)))</f>
        <v>0.5</v>
      </c>
      <c r="M8" s="164">
        <f>IF(rekap!T7=5,0.8,IF(rekap!T7=3,0.6,IF(rekap!T7=1,0.4,0.2)))</f>
        <v>0.2</v>
      </c>
      <c r="N8" s="164">
        <f>IF(rekap!T7=5,0.1,IF(rekap!T7=3,0.3,IF(rekap!T7=1,0.5,0.7)))</f>
        <v>0.7</v>
      </c>
    </row>
    <row r="9" spans="1:14" x14ac:dyDescent="0.25">
      <c r="A9" s="166"/>
      <c r="B9" s="167" t="s">
        <v>38</v>
      </c>
      <c r="C9" s="164">
        <f>IF(rekap!O8=5,0.8,IF(rekap!O8=3,0.6,IF(rekap!O8=1,0.4,0.2)))</f>
        <v>0.2</v>
      </c>
      <c r="D9" s="164">
        <f>IF(rekap!O8=5,0.1,IF(rekap!O8=3,0.3,IF(rekap!O8=1,0.5,0.7)))</f>
        <v>0.7</v>
      </c>
      <c r="E9" s="164">
        <f>IF(rekap!P8=5,0.8,IF(rekap!P8=3,0.6,IF(rekap!P8=1,0.4,0.2)))</f>
        <v>0.2</v>
      </c>
      <c r="F9" s="164">
        <f>IF(rekap!P8=5,0.1,IF(rekap!P8=3,0.3,IF(rekap!P8=1,0.5,0.7)))</f>
        <v>0.7</v>
      </c>
      <c r="G9" s="164">
        <f>IF(rekap!Q8=5,0.8,IF(rekap!Q8=3,0.6,IF(rekap!Q8=1,0.4,0.2)))</f>
        <v>0.2</v>
      </c>
      <c r="H9" s="164">
        <f>IF(rekap!Q8=5,0.1,IF(rekap!Q8=3,0.3,IF(rekap!Q8=1,0.5,0.7)))</f>
        <v>0.7</v>
      </c>
      <c r="I9" s="164">
        <f>IF(rekap!R8=5,0.8,IF(rekap!R8=3,0.6,IF(rekap!R8=1,0.4,0.2)))</f>
        <v>0.2</v>
      </c>
      <c r="J9" s="164">
        <f>IF(rekap!R8=5,0.1,IF(rekap!R8=3,0.3,IF(rekap!R8=1,0.5,0.7)))</f>
        <v>0.7</v>
      </c>
      <c r="K9" s="164">
        <f>IF(rekap!S8=5,0.8,IF(rekap!S8=3,0.6,IF(rekap!S8=1,0.4,0.2)))</f>
        <v>0.2</v>
      </c>
      <c r="L9" s="164">
        <f>IF(rekap!S8=5,0.1,IF(rekap!S8=3,0.3,IF(rekap!S8=1,0.5,0.7)))</f>
        <v>0.7</v>
      </c>
      <c r="M9" s="164">
        <f>IF(rekap!T8=5,0.8,IF(rekap!T8=3,0.6,IF(rekap!T8=1,0.4,0.2)))</f>
        <v>0.6</v>
      </c>
      <c r="N9" s="164">
        <f>IF(rekap!T8=5,0.1,IF(rekap!T8=3,0.3,IF(rekap!T8=1,0.5,0.7)))</f>
        <v>0.3</v>
      </c>
    </row>
    <row r="10" spans="1:14" ht="30" x14ac:dyDescent="0.25">
      <c r="A10" s="166" t="s">
        <v>40</v>
      </c>
      <c r="B10" s="167" t="s">
        <v>41</v>
      </c>
      <c r="C10" s="164">
        <f>IF(rekap!O9=5,0.8,IF(rekap!O9=3,0.6,IF(rekap!O9=1,0.4,0.2)))</f>
        <v>0.2</v>
      </c>
      <c r="D10" s="164">
        <f>IF(rekap!O9=5,0.1,IF(rekap!O9=3,0.3,IF(rekap!O9=1,0.5,0.7)))</f>
        <v>0.7</v>
      </c>
      <c r="E10" s="164">
        <f>IF(rekap!P9=5,0.8,IF(rekap!P9=3,0.6,IF(rekap!P9=1,0.4,0.2)))</f>
        <v>0.8</v>
      </c>
      <c r="F10" s="164">
        <f>IF(rekap!P9=5,0.1,IF(rekap!P9=3,0.3,IF(rekap!P9=1,0.5,0.7)))</f>
        <v>0.1</v>
      </c>
      <c r="G10" s="164">
        <f>IF(rekap!Q9=5,0.8,IF(rekap!Q9=3,0.6,IF(rekap!Q9=1,0.4,0.2)))</f>
        <v>0.2</v>
      </c>
      <c r="H10" s="164">
        <f>IF(rekap!Q9=5,0.1,IF(rekap!Q9=3,0.3,IF(rekap!Q9=1,0.5,0.7)))</f>
        <v>0.7</v>
      </c>
      <c r="I10" s="164">
        <f>IF(rekap!R9=5,0.8,IF(rekap!R9=3,0.6,IF(rekap!R9=1,0.4,0.2)))</f>
        <v>0.2</v>
      </c>
      <c r="J10" s="164">
        <f>IF(rekap!R9=5,0.1,IF(rekap!R9=3,0.3,IF(rekap!R9=1,0.5,0.7)))</f>
        <v>0.7</v>
      </c>
      <c r="K10" s="164">
        <f>IF(rekap!S9=5,0.8,IF(rekap!S9=3,0.6,IF(rekap!S9=1,0.4,0.2)))</f>
        <v>0.4</v>
      </c>
      <c r="L10" s="164">
        <f>IF(rekap!S9=5,0.1,IF(rekap!S9=3,0.3,IF(rekap!S9=1,0.5,0.7)))</f>
        <v>0.5</v>
      </c>
      <c r="M10" s="164">
        <f>IF(rekap!T9=5,0.8,IF(rekap!T9=3,0.6,IF(rekap!T9=1,0.4,0.2)))</f>
        <v>0.2</v>
      </c>
      <c r="N10" s="164">
        <f>IF(rekap!T9=5,0.1,IF(rekap!T9=3,0.3,IF(rekap!T9=1,0.5,0.7)))</f>
        <v>0.7</v>
      </c>
    </row>
    <row r="11" spans="1:14" x14ac:dyDescent="0.25">
      <c r="A11" s="166"/>
      <c r="B11" s="167" t="s">
        <v>42</v>
      </c>
      <c r="C11" s="164">
        <f>IF(rekap!O10=5,0.8,IF(rekap!O10=3,0.6,IF(rekap!O10=1,0.4,0.2)))</f>
        <v>0.2</v>
      </c>
      <c r="D11" s="164">
        <f>IF(rekap!O10=5,0.1,IF(rekap!O10=3,0.3,IF(rekap!O10=1,0.5,0.7)))</f>
        <v>0.7</v>
      </c>
      <c r="E11" s="164">
        <f>IF(rekap!P10=5,0.8,IF(rekap!P10=3,0.6,IF(rekap!P10=1,0.4,0.2)))</f>
        <v>0.2</v>
      </c>
      <c r="F11" s="164">
        <f>IF(rekap!P10=5,0.1,IF(rekap!P10=3,0.3,IF(rekap!P10=1,0.5,0.7)))</f>
        <v>0.7</v>
      </c>
      <c r="G11" s="164">
        <f>IF(rekap!Q10=5,0.8,IF(rekap!Q10=3,0.6,IF(rekap!Q10=1,0.4,0.2)))</f>
        <v>0.6</v>
      </c>
      <c r="H11" s="164">
        <f>IF(rekap!Q10=5,0.1,IF(rekap!Q10=3,0.3,IF(rekap!Q10=1,0.5,0.7)))</f>
        <v>0.3</v>
      </c>
      <c r="I11" s="164">
        <f>IF(rekap!R10=5,0.8,IF(rekap!R10=3,0.6,IF(rekap!R10=1,0.4,0.2)))</f>
        <v>0.2</v>
      </c>
      <c r="J11" s="164">
        <f>IF(rekap!R10=5,0.1,IF(rekap!R10=3,0.3,IF(rekap!R10=1,0.5,0.7)))</f>
        <v>0.7</v>
      </c>
      <c r="K11" s="164">
        <f>IF(rekap!S10=5,0.8,IF(rekap!S10=3,0.6,IF(rekap!S10=1,0.4,0.2)))</f>
        <v>0.4</v>
      </c>
      <c r="L11" s="164">
        <f>IF(rekap!S10=5,0.1,IF(rekap!S10=3,0.3,IF(rekap!S10=1,0.5,0.7)))</f>
        <v>0.5</v>
      </c>
      <c r="M11" s="164">
        <f>IF(rekap!T10=5,0.8,IF(rekap!T10=3,0.6,IF(rekap!T10=1,0.4,0.2)))</f>
        <v>0.4</v>
      </c>
      <c r="N11" s="164">
        <f>IF(rekap!T10=5,0.1,IF(rekap!T10=3,0.3,IF(rekap!T10=1,0.5,0.7)))</f>
        <v>0.5</v>
      </c>
    </row>
    <row r="12" spans="1:14" x14ac:dyDescent="0.25">
      <c r="A12" s="166"/>
      <c r="B12" s="167" t="s">
        <v>43</v>
      </c>
      <c r="C12" s="164">
        <f>IF(rekap!O11=5,0.8,IF(rekap!O11=3,0.6,IF(rekap!O11=1,0.4,0.2)))</f>
        <v>0.2</v>
      </c>
      <c r="D12" s="164">
        <f>IF(rekap!O11=5,0.1,IF(rekap!O11=3,0.3,IF(rekap!O11=1,0.5,0.7)))</f>
        <v>0.7</v>
      </c>
      <c r="E12" s="164">
        <f>IF(rekap!P11=5,0.8,IF(rekap!P11=3,0.6,IF(rekap!P11=1,0.4,0.2)))</f>
        <v>0.2</v>
      </c>
      <c r="F12" s="164">
        <f>IF(rekap!P11=5,0.1,IF(rekap!P11=3,0.3,IF(rekap!P11=1,0.5,0.7)))</f>
        <v>0.7</v>
      </c>
      <c r="G12" s="164">
        <f>IF(rekap!Q11=5,0.8,IF(rekap!Q11=3,0.6,IF(rekap!Q11=1,0.4,0.2)))</f>
        <v>0.2</v>
      </c>
      <c r="H12" s="164">
        <f>IF(rekap!Q11=5,0.1,IF(rekap!Q11=3,0.3,IF(rekap!Q11=1,0.5,0.7)))</f>
        <v>0.7</v>
      </c>
      <c r="I12" s="164">
        <f>IF(rekap!R11=5,0.8,IF(rekap!R11=3,0.6,IF(rekap!R11=1,0.4,0.2)))</f>
        <v>0.2</v>
      </c>
      <c r="J12" s="164">
        <f>IF(rekap!R11=5,0.1,IF(rekap!R11=3,0.3,IF(rekap!R11=1,0.5,0.7)))</f>
        <v>0.7</v>
      </c>
      <c r="K12" s="164">
        <f>IF(rekap!S11=5,0.8,IF(rekap!S11=3,0.6,IF(rekap!S11=1,0.4,0.2)))</f>
        <v>0.2</v>
      </c>
      <c r="L12" s="164">
        <f>IF(rekap!S11=5,0.1,IF(rekap!S11=3,0.3,IF(rekap!S11=1,0.5,0.7)))</f>
        <v>0.7</v>
      </c>
      <c r="M12" s="164">
        <f>IF(rekap!T11=5,0.8,IF(rekap!T11=3,0.6,IF(rekap!T11=1,0.4,0.2)))</f>
        <v>0.2</v>
      </c>
      <c r="N12" s="164">
        <f>IF(rekap!T11=5,0.1,IF(rekap!T11=3,0.3,IF(rekap!T11=1,0.5,0.7)))</f>
        <v>0.7</v>
      </c>
    </row>
    <row r="13" spans="1:14" x14ac:dyDescent="0.25">
      <c r="A13" s="166"/>
      <c r="B13" s="167" t="s">
        <v>44</v>
      </c>
      <c r="C13" s="164">
        <f>IF(rekap!O12=5,0.8,IF(rekap!O12=3,0.6,IF(rekap!O12=1,0.4,0.2)))</f>
        <v>0.6</v>
      </c>
      <c r="D13" s="164">
        <f>IF(rekap!O12=5,0.1,IF(rekap!O12=3,0.3,IF(rekap!O12=1,0.5,0.7)))</f>
        <v>0.3</v>
      </c>
      <c r="E13" s="164">
        <f>IF(rekap!P12=5,0.8,IF(rekap!P12=3,0.6,IF(rekap!P12=1,0.4,0.2)))</f>
        <v>0.8</v>
      </c>
      <c r="F13" s="164">
        <f>IF(rekap!P12=5,0.1,IF(rekap!P12=3,0.3,IF(rekap!P12=1,0.5,0.7)))</f>
        <v>0.1</v>
      </c>
      <c r="G13" s="164">
        <f>IF(rekap!Q12=5,0.8,IF(rekap!Q12=3,0.6,IF(rekap!Q12=1,0.4,0.2)))</f>
        <v>0.4</v>
      </c>
      <c r="H13" s="164">
        <f>IF(rekap!Q12=5,0.1,IF(rekap!Q12=3,0.3,IF(rekap!Q12=1,0.5,0.7)))</f>
        <v>0.5</v>
      </c>
      <c r="I13" s="164">
        <f>IF(rekap!R12=5,0.8,IF(rekap!R12=3,0.6,IF(rekap!R12=1,0.4,0.2)))</f>
        <v>0.4</v>
      </c>
      <c r="J13" s="164">
        <f>IF(rekap!R12=5,0.1,IF(rekap!R12=3,0.3,IF(rekap!R12=1,0.5,0.7)))</f>
        <v>0.5</v>
      </c>
      <c r="K13" s="164">
        <f>IF(rekap!S12=5,0.8,IF(rekap!S12=3,0.6,IF(rekap!S12=1,0.4,0.2)))</f>
        <v>0.6</v>
      </c>
      <c r="L13" s="164">
        <f>IF(rekap!S12=5,0.1,IF(rekap!S12=3,0.3,IF(rekap!S12=1,0.5,0.7)))</f>
        <v>0.3</v>
      </c>
      <c r="M13" s="164">
        <f>IF(rekap!T12=5,0.8,IF(rekap!T12=3,0.6,IF(rekap!T12=1,0.4,0.2)))</f>
        <v>0.6</v>
      </c>
      <c r="N13" s="164">
        <f>IF(rekap!T12=5,0.1,IF(rekap!T12=3,0.3,IF(rekap!T12=1,0.5,0.7)))</f>
        <v>0.3</v>
      </c>
    </row>
    <row r="14" spans="1:14" x14ac:dyDescent="0.25">
      <c r="A14" s="166"/>
      <c r="B14" s="167" t="s">
        <v>45</v>
      </c>
      <c r="C14" s="164">
        <f>IF(rekap!O13=5,0.8,IF(rekap!O13=3,0.6,IF(rekap!O13=1,0.4,0.2)))</f>
        <v>0.2</v>
      </c>
      <c r="D14" s="164">
        <f>IF(rekap!O13=5,0.1,IF(rekap!O13=3,0.3,IF(rekap!O13=1,0.5,0.7)))</f>
        <v>0.7</v>
      </c>
      <c r="E14" s="164">
        <f>IF(rekap!P13=5,0.8,IF(rekap!P13=3,0.6,IF(rekap!P13=1,0.4,0.2)))</f>
        <v>0.2</v>
      </c>
      <c r="F14" s="164">
        <f>IF(rekap!P13=5,0.1,IF(rekap!P13=3,0.3,IF(rekap!P13=1,0.5,0.7)))</f>
        <v>0.7</v>
      </c>
      <c r="G14" s="164">
        <f>IF(rekap!Q13=5,0.8,IF(rekap!Q13=3,0.6,IF(rekap!Q13=1,0.4,0.2)))</f>
        <v>0.2</v>
      </c>
      <c r="H14" s="164">
        <f>IF(rekap!Q13=5,0.1,IF(rekap!Q13=3,0.3,IF(rekap!Q13=1,0.5,0.7)))</f>
        <v>0.7</v>
      </c>
      <c r="I14" s="164">
        <f>IF(rekap!R13=5,0.8,IF(rekap!R13=3,0.6,IF(rekap!R13=1,0.4,0.2)))</f>
        <v>0.2</v>
      </c>
      <c r="J14" s="164">
        <f>IF(rekap!R13=5,0.1,IF(rekap!R13=3,0.3,IF(rekap!R13=1,0.5,0.7)))</f>
        <v>0.7</v>
      </c>
      <c r="K14" s="164">
        <f>IF(rekap!S13=5,0.8,IF(rekap!S13=3,0.6,IF(rekap!S13=1,0.4,0.2)))</f>
        <v>0.2</v>
      </c>
      <c r="L14" s="164">
        <f>IF(rekap!S13=5,0.1,IF(rekap!S13=3,0.3,IF(rekap!S13=1,0.5,0.7)))</f>
        <v>0.7</v>
      </c>
      <c r="M14" s="164">
        <f>IF(rekap!T13=5,0.8,IF(rekap!T13=3,0.6,IF(rekap!T13=1,0.4,0.2)))</f>
        <v>0.2</v>
      </c>
      <c r="N14" s="164">
        <f>IF(rekap!T13=5,0.1,IF(rekap!T13=3,0.3,IF(rekap!T13=1,0.5,0.7)))</f>
        <v>0.7</v>
      </c>
    </row>
    <row r="15" spans="1:14" ht="30" x14ac:dyDescent="0.25">
      <c r="A15" s="166" t="s">
        <v>47</v>
      </c>
      <c r="B15" s="167" t="s">
        <v>48</v>
      </c>
      <c r="C15" s="164">
        <f>IF(rekap!O14=5,0.8,IF(rekap!O14=3,0.6,IF(rekap!O14=1,0.4,0.2)))</f>
        <v>0.2</v>
      </c>
      <c r="D15" s="164">
        <f>IF(rekap!O14=5,0.1,IF(rekap!O14=3,0.3,IF(rekap!O14=1,0.5,0.7)))</f>
        <v>0.7</v>
      </c>
      <c r="E15" s="164">
        <f>IF(rekap!P14=5,0.8,IF(rekap!P14=3,0.6,IF(rekap!P14=1,0.4,0.2)))</f>
        <v>0.2</v>
      </c>
      <c r="F15" s="164">
        <f>IF(rekap!P14=5,0.1,IF(rekap!P14=3,0.3,IF(rekap!P14=1,0.5,0.7)))</f>
        <v>0.7</v>
      </c>
      <c r="G15" s="164">
        <f>IF(rekap!Q14=5,0.8,IF(rekap!Q14=3,0.6,IF(rekap!Q14=1,0.4,0.2)))</f>
        <v>0.2</v>
      </c>
      <c r="H15" s="164">
        <f>IF(rekap!Q14=5,0.1,IF(rekap!Q14=3,0.3,IF(rekap!Q14=1,0.5,0.7)))</f>
        <v>0.7</v>
      </c>
      <c r="I15" s="164">
        <f>IF(rekap!R14=5,0.8,IF(rekap!R14=3,0.6,IF(rekap!R14=1,0.4,0.2)))</f>
        <v>0.2</v>
      </c>
      <c r="J15" s="164">
        <f>IF(rekap!R14=5,0.1,IF(rekap!R14=3,0.3,IF(rekap!R14=1,0.5,0.7)))</f>
        <v>0.7</v>
      </c>
      <c r="K15" s="164">
        <f>IF(rekap!S14=5,0.8,IF(rekap!S14=3,0.6,IF(rekap!S14=1,0.4,0.2)))</f>
        <v>0.2</v>
      </c>
      <c r="L15" s="164">
        <f>IF(rekap!S14=5,0.1,IF(rekap!S14=3,0.3,IF(rekap!S14=1,0.5,0.7)))</f>
        <v>0.7</v>
      </c>
      <c r="M15" s="164">
        <f>IF(rekap!T14=5,0.8,IF(rekap!T14=3,0.6,IF(rekap!T14=1,0.4,0.2)))</f>
        <v>0.2</v>
      </c>
      <c r="N15" s="164">
        <f>IF(rekap!T14=5,0.1,IF(rekap!T14=3,0.3,IF(rekap!T14=1,0.5,0.7)))</f>
        <v>0.7</v>
      </c>
    </row>
    <row r="16" spans="1:14" ht="30" x14ac:dyDescent="0.25">
      <c r="A16" s="166"/>
      <c r="B16" s="167" t="s">
        <v>49</v>
      </c>
      <c r="C16" s="164">
        <f>IF(rekap!O15=5,0.8,IF(rekap!O15=3,0.6,IF(rekap!O15=1,0.4,0.2)))</f>
        <v>0.2</v>
      </c>
      <c r="D16" s="164">
        <f>IF(rekap!O15=5,0.1,IF(rekap!O15=3,0.3,IF(rekap!O15=1,0.5,0.7)))</f>
        <v>0.7</v>
      </c>
      <c r="E16" s="164">
        <f>IF(rekap!P15=5,0.8,IF(rekap!P15=3,0.6,IF(rekap!P15=1,0.4,0.2)))</f>
        <v>0.2</v>
      </c>
      <c r="F16" s="164">
        <f>IF(rekap!P15=5,0.1,IF(rekap!P15=3,0.3,IF(rekap!P15=1,0.5,0.7)))</f>
        <v>0.7</v>
      </c>
      <c r="G16" s="164">
        <f>IF(rekap!Q15=5,0.8,IF(rekap!Q15=3,0.6,IF(rekap!Q15=1,0.4,0.2)))</f>
        <v>0.2</v>
      </c>
      <c r="H16" s="164">
        <f>IF(rekap!Q15=5,0.1,IF(rekap!Q15=3,0.3,IF(rekap!Q15=1,0.5,0.7)))</f>
        <v>0.7</v>
      </c>
      <c r="I16" s="164">
        <f>IF(rekap!R15=5,0.8,IF(rekap!R15=3,0.6,IF(rekap!R15=1,0.4,0.2)))</f>
        <v>0.2</v>
      </c>
      <c r="J16" s="164">
        <f>IF(rekap!R15=5,0.1,IF(rekap!R15=3,0.3,IF(rekap!R15=1,0.5,0.7)))</f>
        <v>0.7</v>
      </c>
      <c r="K16" s="164">
        <f>IF(rekap!S15=5,0.8,IF(rekap!S15=3,0.6,IF(rekap!S15=1,0.4,0.2)))</f>
        <v>0.2</v>
      </c>
      <c r="L16" s="164">
        <f>IF(rekap!S15=5,0.1,IF(rekap!S15=3,0.3,IF(rekap!S15=1,0.5,0.7)))</f>
        <v>0.7</v>
      </c>
      <c r="M16" s="164">
        <f>IF(rekap!T15=5,0.8,IF(rekap!T15=3,0.6,IF(rekap!T15=1,0.4,0.2)))</f>
        <v>0.2</v>
      </c>
      <c r="N16" s="164">
        <f>IF(rekap!T15=5,0.1,IF(rekap!T15=3,0.3,IF(rekap!T15=1,0.5,0.7)))</f>
        <v>0.7</v>
      </c>
    </row>
    <row r="17" spans="1:14" ht="30" x14ac:dyDescent="0.25">
      <c r="A17" s="166" t="s">
        <v>51</v>
      </c>
      <c r="B17" s="167" t="s">
        <v>52</v>
      </c>
      <c r="C17" s="164">
        <f>IF(rekap!O16=5,0.8,IF(rekap!O16=3,0.6,IF(rekap!O16=1,0.4,0.2)))</f>
        <v>0.8</v>
      </c>
      <c r="D17" s="164">
        <f>IF(rekap!O16=5,0.1,IF(rekap!O16=3,0.3,IF(rekap!O16=1,0.5,0.7)))</f>
        <v>0.1</v>
      </c>
      <c r="E17" s="164">
        <f>IF(rekap!P16=5,0.8,IF(rekap!P16=3,0.6,IF(rekap!P16=1,0.4,0.2)))</f>
        <v>0.8</v>
      </c>
      <c r="F17" s="164">
        <f>IF(rekap!P16=5,0.1,IF(rekap!P16=3,0.3,IF(rekap!P16=1,0.5,0.7)))</f>
        <v>0.1</v>
      </c>
      <c r="G17" s="164">
        <f>IF(rekap!Q16=5,0.8,IF(rekap!Q16=3,0.6,IF(rekap!Q16=1,0.4,0.2)))</f>
        <v>0.8</v>
      </c>
      <c r="H17" s="164">
        <f>IF(rekap!Q16=5,0.1,IF(rekap!Q16=3,0.3,IF(rekap!Q16=1,0.5,0.7)))</f>
        <v>0.1</v>
      </c>
      <c r="I17" s="164">
        <f>IF(rekap!R16=5,0.8,IF(rekap!R16=3,0.6,IF(rekap!R16=1,0.4,0.2)))</f>
        <v>0.8</v>
      </c>
      <c r="J17" s="164">
        <f>IF(rekap!R16=5,0.1,IF(rekap!R16=3,0.3,IF(rekap!R16=1,0.5,0.7)))</f>
        <v>0.1</v>
      </c>
      <c r="K17" s="164">
        <f>IF(rekap!S16=5,0.8,IF(rekap!S16=3,0.6,IF(rekap!S16=1,0.4,0.2)))</f>
        <v>0.8</v>
      </c>
      <c r="L17" s="164">
        <f>IF(rekap!S16=5,0.1,IF(rekap!S16=3,0.3,IF(rekap!S16=1,0.5,0.7)))</f>
        <v>0.1</v>
      </c>
      <c r="M17" s="164">
        <f>IF(rekap!T16=5,0.8,IF(rekap!T16=3,0.6,IF(rekap!T16=1,0.4,0.2)))</f>
        <v>0.4</v>
      </c>
      <c r="N17" s="164">
        <f>IF(rekap!T16=5,0.1,IF(rekap!T16=3,0.3,IF(rekap!T16=1,0.5,0.7)))</f>
        <v>0.5</v>
      </c>
    </row>
    <row r="18" spans="1:14" ht="30" x14ac:dyDescent="0.25">
      <c r="A18" s="166"/>
      <c r="B18" s="167" t="s">
        <v>53</v>
      </c>
      <c r="C18" s="164">
        <f>IF(rekap!O17=5,0.8,IF(rekap!O17=3,0.6,IF(rekap!O17=1,0.4,0.2)))</f>
        <v>0.8</v>
      </c>
      <c r="D18" s="164">
        <f>IF(rekap!O17=5,0.1,IF(rekap!O17=3,0.3,IF(rekap!O17=1,0.5,0.7)))</f>
        <v>0.1</v>
      </c>
      <c r="E18" s="164">
        <f>IF(rekap!P17=5,0.8,IF(rekap!P17=3,0.6,IF(rekap!P17=1,0.4,0.2)))</f>
        <v>0.4</v>
      </c>
      <c r="F18" s="164">
        <f>IF(rekap!P17=5,0.1,IF(rekap!P17=3,0.3,IF(rekap!P17=1,0.5,0.7)))</f>
        <v>0.5</v>
      </c>
      <c r="G18" s="164">
        <f>IF(rekap!Q17=5,0.8,IF(rekap!Q17=3,0.6,IF(rekap!Q17=1,0.4,0.2)))</f>
        <v>0.2</v>
      </c>
      <c r="H18" s="164">
        <f>IF(rekap!Q17=5,0.1,IF(rekap!Q17=3,0.3,IF(rekap!Q17=1,0.5,0.7)))</f>
        <v>0.7</v>
      </c>
      <c r="I18" s="164">
        <f>IF(rekap!R17=5,0.8,IF(rekap!R17=3,0.6,IF(rekap!R17=1,0.4,0.2)))</f>
        <v>0.8</v>
      </c>
      <c r="J18" s="164">
        <f>IF(rekap!R17=5,0.1,IF(rekap!R17=3,0.3,IF(rekap!R17=1,0.5,0.7)))</f>
        <v>0.1</v>
      </c>
      <c r="K18" s="164">
        <f>IF(rekap!S17=5,0.8,IF(rekap!S17=3,0.6,IF(rekap!S17=1,0.4,0.2)))</f>
        <v>0.6</v>
      </c>
      <c r="L18" s="164">
        <f>IF(rekap!S17=5,0.1,IF(rekap!S17=3,0.3,IF(rekap!S17=1,0.5,0.7)))</f>
        <v>0.3</v>
      </c>
      <c r="M18" s="164">
        <f>IF(rekap!T17=5,0.8,IF(rekap!T17=3,0.6,IF(rekap!T17=1,0.4,0.2)))</f>
        <v>0.2</v>
      </c>
      <c r="N18" s="164">
        <f>IF(rekap!T17=5,0.1,IF(rekap!T17=3,0.3,IF(rekap!T17=1,0.5,0.7)))</f>
        <v>0.7</v>
      </c>
    </row>
    <row r="19" spans="1:14" ht="30" x14ac:dyDescent="0.25">
      <c r="A19" s="166"/>
      <c r="B19" s="167" t="s">
        <v>54</v>
      </c>
      <c r="C19" s="164">
        <f>IF(rekap!O18=5,0.8,IF(rekap!O18=3,0.6,IF(rekap!O18=1,0.4,0.2)))</f>
        <v>0.8</v>
      </c>
      <c r="D19" s="164">
        <f>IF(rekap!O18=5,0.1,IF(rekap!O18=3,0.3,IF(rekap!O18=1,0.5,0.7)))</f>
        <v>0.1</v>
      </c>
      <c r="E19" s="164">
        <f>IF(rekap!P18=5,0.8,IF(rekap!P18=3,0.6,IF(rekap!P18=1,0.4,0.2)))</f>
        <v>0.8</v>
      </c>
      <c r="F19" s="164">
        <f>IF(rekap!P18=5,0.1,IF(rekap!P18=3,0.3,IF(rekap!P18=1,0.5,0.7)))</f>
        <v>0.1</v>
      </c>
      <c r="G19" s="164">
        <f>IF(rekap!Q18=5,0.8,IF(rekap!Q18=3,0.6,IF(rekap!Q18=1,0.4,0.2)))</f>
        <v>0.8</v>
      </c>
      <c r="H19" s="164">
        <f>IF(rekap!Q18=5,0.1,IF(rekap!Q18=3,0.3,IF(rekap!Q18=1,0.5,0.7)))</f>
        <v>0.1</v>
      </c>
      <c r="I19" s="164">
        <f>IF(rekap!R18=5,0.8,IF(rekap!R18=3,0.6,IF(rekap!R18=1,0.4,0.2)))</f>
        <v>0.8</v>
      </c>
      <c r="J19" s="164">
        <f>IF(rekap!R18=5,0.1,IF(rekap!R18=3,0.3,IF(rekap!R18=1,0.5,0.7)))</f>
        <v>0.1</v>
      </c>
      <c r="K19" s="164">
        <f>IF(rekap!S18=5,0.8,IF(rekap!S18=3,0.6,IF(rekap!S18=1,0.4,0.2)))</f>
        <v>0.8</v>
      </c>
      <c r="L19" s="164">
        <f>IF(rekap!S18=5,0.1,IF(rekap!S18=3,0.3,IF(rekap!S18=1,0.5,0.7)))</f>
        <v>0.1</v>
      </c>
      <c r="M19" s="164">
        <f>IF(rekap!T18=5,0.8,IF(rekap!T18=3,0.6,IF(rekap!T18=1,0.4,0.2)))</f>
        <v>0.4</v>
      </c>
      <c r="N19" s="164">
        <f>IF(rekap!T18=5,0.1,IF(rekap!T18=3,0.3,IF(rekap!T18=1,0.5,0.7)))</f>
        <v>0.5</v>
      </c>
    </row>
    <row r="20" spans="1:14" ht="30" x14ac:dyDescent="0.25">
      <c r="A20" s="166" t="s">
        <v>56</v>
      </c>
      <c r="B20" s="168" t="s">
        <v>57</v>
      </c>
      <c r="C20" s="164">
        <f>IF(rekap!O19=5,0.8,IF(rekap!O19=3,0.6,IF(rekap!O19=1,0.4,0.2)))</f>
        <v>0.2</v>
      </c>
      <c r="D20" s="164">
        <f>IF(rekap!O19=5,0.1,IF(rekap!O19=3,0.3,IF(rekap!O19=1,0.5,0.7)))</f>
        <v>0.7</v>
      </c>
      <c r="E20" s="164">
        <f>IF(rekap!P19=5,0.8,IF(rekap!P19=3,0.6,IF(rekap!P19=1,0.4,0.2)))</f>
        <v>0.6</v>
      </c>
      <c r="F20" s="164">
        <f>IF(rekap!P19=5,0.1,IF(rekap!P19=3,0.3,IF(rekap!P19=1,0.5,0.7)))</f>
        <v>0.3</v>
      </c>
      <c r="G20" s="164">
        <f>IF(rekap!Q19=5,0.8,IF(rekap!Q19=3,0.6,IF(rekap!Q19=1,0.4,0.2)))</f>
        <v>0.8</v>
      </c>
      <c r="H20" s="164">
        <f>IF(rekap!Q19=5,0.1,IF(rekap!Q19=3,0.3,IF(rekap!Q19=1,0.5,0.7)))</f>
        <v>0.1</v>
      </c>
      <c r="I20" s="164">
        <f>IF(rekap!R19=5,0.8,IF(rekap!R19=3,0.6,IF(rekap!R19=1,0.4,0.2)))</f>
        <v>0.8</v>
      </c>
      <c r="J20" s="164">
        <f>IF(rekap!R19=5,0.1,IF(rekap!R19=3,0.3,IF(rekap!R19=1,0.5,0.7)))</f>
        <v>0.1</v>
      </c>
      <c r="K20" s="164">
        <f>IF(rekap!S19=5,0.8,IF(rekap!S19=3,0.6,IF(rekap!S19=1,0.4,0.2)))</f>
        <v>0.6</v>
      </c>
      <c r="L20" s="164">
        <f>IF(rekap!S19=5,0.1,IF(rekap!S19=3,0.3,IF(rekap!S19=1,0.5,0.7)))</f>
        <v>0.3</v>
      </c>
      <c r="M20" s="164">
        <f>IF(rekap!T19=5,0.8,IF(rekap!T19=3,0.6,IF(rekap!T19=1,0.4,0.2)))</f>
        <v>0.6</v>
      </c>
      <c r="N20" s="164">
        <f>IF(rekap!T19=5,0.1,IF(rekap!T19=3,0.3,IF(rekap!T19=1,0.5,0.7)))</f>
        <v>0.3</v>
      </c>
    </row>
    <row r="21" spans="1:14" x14ac:dyDescent="0.25">
      <c r="A21" s="166"/>
      <c r="B21" s="168" t="s">
        <v>58</v>
      </c>
      <c r="C21" s="164">
        <f>IF(rekap!O20=5,0.8,IF(rekap!O20=3,0.6,IF(rekap!O20=1,0.4,0.2)))</f>
        <v>0.8</v>
      </c>
      <c r="D21" s="164">
        <f>IF(rekap!O20=5,0.1,IF(rekap!O20=3,0.3,IF(rekap!O20=1,0.5,0.7)))</f>
        <v>0.1</v>
      </c>
      <c r="E21" s="164">
        <f>IF(rekap!P20=5,0.8,IF(rekap!P20=3,0.6,IF(rekap!P20=1,0.4,0.2)))</f>
        <v>0.8</v>
      </c>
      <c r="F21" s="164">
        <f>IF(rekap!P20=5,0.1,IF(rekap!P20=3,0.3,IF(rekap!P20=1,0.5,0.7)))</f>
        <v>0.1</v>
      </c>
      <c r="G21" s="164">
        <f>IF(rekap!Q20=5,0.8,IF(rekap!Q20=3,0.6,IF(rekap!Q20=1,0.4,0.2)))</f>
        <v>0.8</v>
      </c>
      <c r="H21" s="164">
        <f>IF(rekap!Q20=5,0.1,IF(rekap!Q20=3,0.3,IF(rekap!Q20=1,0.5,0.7)))</f>
        <v>0.1</v>
      </c>
      <c r="I21" s="164">
        <f>IF(rekap!R20=5,0.8,IF(rekap!R20=3,0.6,IF(rekap!R20=1,0.4,0.2)))</f>
        <v>0.8</v>
      </c>
      <c r="J21" s="164">
        <f>IF(rekap!R20=5,0.1,IF(rekap!R20=3,0.3,IF(rekap!R20=1,0.5,0.7)))</f>
        <v>0.1</v>
      </c>
      <c r="K21" s="164">
        <f>IF(rekap!S20=5,0.8,IF(rekap!S20=3,0.6,IF(rekap!S20=1,0.4,0.2)))</f>
        <v>0.8</v>
      </c>
      <c r="L21" s="164">
        <f>IF(rekap!S20=5,0.1,IF(rekap!S20=3,0.3,IF(rekap!S20=1,0.5,0.7)))</f>
        <v>0.1</v>
      </c>
      <c r="M21" s="164">
        <f>IF(rekap!T20=5,0.8,IF(rekap!T20=3,0.6,IF(rekap!T20=1,0.4,0.2)))</f>
        <v>0.8</v>
      </c>
      <c r="N21" s="164">
        <f>IF(rekap!T20=5,0.1,IF(rekap!T20=3,0.3,IF(rekap!T20=1,0.5,0.7)))</f>
        <v>0.1</v>
      </c>
    </row>
    <row r="22" spans="1:14" ht="15.75" thickBot="1" x14ac:dyDescent="0.3">
      <c r="A22" s="162"/>
      <c r="B22" s="163"/>
      <c r="C22">
        <f>SUM(C3:C21)</f>
        <v>6.6</v>
      </c>
      <c r="E22">
        <f t="shared" ref="E22:N22" si="0">SUM(E3:E21)</f>
        <v>8.2000000000000011</v>
      </c>
      <c r="G22">
        <f t="shared" si="0"/>
        <v>6.8</v>
      </c>
      <c r="I22">
        <f t="shared" si="0"/>
        <v>7</v>
      </c>
      <c r="K22">
        <f t="shared" si="0"/>
        <v>7.7999999999999989</v>
      </c>
      <c r="M22">
        <f t="shared" si="0"/>
        <v>7.2000000000000011</v>
      </c>
      <c r="N22">
        <f t="shared" si="0"/>
        <v>9.9</v>
      </c>
    </row>
  </sheetData>
  <mergeCells count="6">
    <mergeCell ref="M1:N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AE6BE-FE80-4282-B7D1-D9D00ED5FF1B}">
  <sheetPr>
    <tabColor rgb="FF0070C0"/>
  </sheetPr>
  <dimension ref="A1:N22"/>
  <sheetViews>
    <sheetView topLeftCell="B10" workbookViewId="0">
      <selection activeCell="C3" sqref="C3:N21"/>
    </sheetView>
  </sheetViews>
  <sheetFormatPr defaultRowHeight="15" x14ac:dyDescent="0.25"/>
  <cols>
    <col min="1" max="1" width="24" customWidth="1"/>
    <col min="2" max="2" width="45.85546875" customWidth="1"/>
    <col min="3" max="4" width="10.7109375" customWidth="1"/>
  </cols>
  <sheetData>
    <row r="1" spans="1:14" x14ac:dyDescent="0.25">
      <c r="A1" s="165" t="s">
        <v>13</v>
      </c>
      <c r="B1" s="165" t="s">
        <v>14</v>
      </c>
      <c r="C1" s="186" t="s">
        <v>75</v>
      </c>
      <c r="D1" s="187"/>
      <c r="E1" s="186" t="s">
        <v>76</v>
      </c>
      <c r="F1" s="187"/>
      <c r="G1" s="186" t="s">
        <v>77</v>
      </c>
      <c r="H1" s="187"/>
      <c r="I1" s="186" t="s">
        <v>78</v>
      </c>
      <c r="J1" s="187"/>
      <c r="K1" s="186" t="s">
        <v>79</v>
      </c>
      <c r="L1" s="187"/>
      <c r="M1" s="186" t="s">
        <v>80</v>
      </c>
      <c r="N1" s="187"/>
    </row>
    <row r="2" spans="1:14" x14ac:dyDescent="0.25">
      <c r="A2" s="165"/>
      <c r="B2" s="165"/>
      <c r="C2" s="164" t="s">
        <v>212</v>
      </c>
      <c r="D2" s="164" t="s">
        <v>214</v>
      </c>
      <c r="E2" s="164" t="s">
        <v>212</v>
      </c>
      <c r="F2" s="164" t="s">
        <v>214</v>
      </c>
      <c r="G2" s="164" t="s">
        <v>212</v>
      </c>
      <c r="H2" s="164" t="s">
        <v>214</v>
      </c>
      <c r="I2" s="164" t="s">
        <v>212</v>
      </c>
      <c r="J2" s="164" t="s">
        <v>214</v>
      </c>
      <c r="K2" s="164" t="s">
        <v>212</v>
      </c>
      <c r="L2" s="164" t="s">
        <v>214</v>
      </c>
      <c r="M2" s="164" t="s">
        <v>212</v>
      </c>
      <c r="N2" s="164" t="s">
        <v>214</v>
      </c>
    </row>
    <row r="3" spans="1:14" ht="30" x14ac:dyDescent="0.25">
      <c r="A3" s="166" t="s">
        <v>26</v>
      </c>
      <c r="B3" s="167" t="s">
        <v>27</v>
      </c>
      <c r="C3" s="164">
        <f>IF(rekap!I2=5,0.8,IF(rekap!I2=3,0.6,IF(rekap!I2=1,0.4,0.2)))</f>
        <v>0.4</v>
      </c>
      <c r="D3" s="164">
        <f>IF(rekap!I2=5,0.1,IF(rekap!I2=3,0.3,IF(rekap!I2=1,0.5,0.7)))</f>
        <v>0.5</v>
      </c>
      <c r="E3" s="164">
        <f>IF(rekap!J2=5,0.8,IF(rekap!J2=3,0.6,IF(rekap!J2=1,0.4,0.2)))</f>
        <v>0.4</v>
      </c>
      <c r="F3" s="164">
        <f>IF(rekap!J2=5,0.1,IF(rekap!J2=3,0.3,IF(rekap!J2=1,0.5,0.7)))</f>
        <v>0.5</v>
      </c>
      <c r="G3" s="164">
        <f>IF(rekap!K2=5,0.8,IF(rekap!K2=3,0.6,IF(rekap!K2=1,0.4,0.2)))</f>
        <v>0.2</v>
      </c>
      <c r="H3" s="164">
        <f>IF(rekap!K2=5,0.1,IF(rekap!K2=3,0.3,IF(rekap!K2=1,0.5,0.7)))</f>
        <v>0.7</v>
      </c>
      <c r="I3" s="164">
        <f>IF(rekap!L2=5,0.8,IF(rekap!L2=3,0.6,IF(rekap!L2=1,0.4,0.2)))</f>
        <v>0.2</v>
      </c>
      <c r="J3" s="164">
        <f>IF(rekap!L2=5,0.1,IF(rekap!L2=3,0.3,IF(rekap!L2=1,0.5,0.7)))</f>
        <v>0.7</v>
      </c>
      <c r="K3" s="164">
        <f>IF(rekap!M2=5,0.8,IF(rekap!M2=3,0.6,IF(rekap!M2=1,0.4,0.2)))</f>
        <v>0.2</v>
      </c>
      <c r="L3" s="164">
        <f>IF(rekap!M2=5,0.1,IF(rekap!M2=3,0.3,IF(rekap!M2=1,0.5,0.7)))</f>
        <v>0.7</v>
      </c>
      <c r="M3" s="164">
        <f>IF(rekap!N2=5,0.8,IF(rekap!N2=3,0.6,IF(rekap!N2=1,0.4,0.2)))</f>
        <v>0.4</v>
      </c>
      <c r="N3" s="164">
        <f>IF(rekap!N2=5,0.1,IF(rekap!N2=3,0.3,IF(rekap!N2=1,0.5,0.7)))</f>
        <v>0.5</v>
      </c>
    </row>
    <row r="4" spans="1:14" x14ac:dyDescent="0.25">
      <c r="A4" s="166"/>
      <c r="B4" s="167" t="s">
        <v>28</v>
      </c>
      <c r="C4" s="164">
        <f>IF(rekap!I3=5,0.8,IF(rekap!I3=3,0.6,IF(rekap!I3=1,0.4,0.2)))</f>
        <v>0.6</v>
      </c>
      <c r="D4" s="164">
        <f>IF(rekap!I3=5,0.1,IF(rekap!I3=3,0.3,IF(rekap!I3=1,0.5,0.7)))</f>
        <v>0.3</v>
      </c>
      <c r="E4" s="164">
        <f>IF(rekap!J3=5,0.8,IF(rekap!J3=3,0.6,IF(rekap!J3=1,0.4,0.2)))</f>
        <v>0.8</v>
      </c>
      <c r="F4" s="164">
        <f>IF(rekap!J3=5,0.1,IF(rekap!J3=3,0.3,IF(rekap!J3=1,0.5,0.7)))</f>
        <v>0.1</v>
      </c>
      <c r="G4" s="164">
        <f>IF(rekap!K3=5,0.8,IF(rekap!K3=3,0.6,IF(rekap!K3=1,0.4,0.2)))</f>
        <v>0.2</v>
      </c>
      <c r="H4" s="164">
        <f>IF(rekap!K3=5,0.1,IF(rekap!K3=3,0.3,IF(rekap!K3=1,0.5,0.7)))</f>
        <v>0.7</v>
      </c>
      <c r="I4" s="164">
        <f>IF(rekap!L3=5,0.8,IF(rekap!L3=3,0.6,IF(rekap!L3=1,0.4,0.2)))</f>
        <v>0.2</v>
      </c>
      <c r="J4" s="164">
        <f>IF(rekap!L3=5,0.1,IF(rekap!L3=3,0.3,IF(rekap!L3=1,0.5,0.7)))</f>
        <v>0.7</v>
      </c>
      <c r="K4" s="164">
        <f>IF(rekap!M3=5,0.8,IF(rekap!M3=3,0.6,IF(rekap!M3=1,0.4,0.2)))</f>
        <v>0.6</v>
      </c>
      <c r="L4" s="164">
        <f>IF(rekap!M3=5,0.1,IF(rekap!M3=3,0.3,IF(rekap!M3=1,0.5,0.7)))</f>
        <v>0.3</v>
      </c>
      <c r="M4" s="164">
        <f>IF(rekap!N3=5,0.8,IF(rekap!N3=3,0.6,IF(rekap!N3=1,0.4,0.2)))</f>
        <v>0.8</v>
      </c>
      <c r="N4" s="164">
        <f>IF(rekap!N3=5,0.1,IF(rekap!N3=3,0.3,IF(rekap!N3=1,0.5,0.7)))</f>
        <v>0.1</v>
      </c>
    </row>
    <row r="5" spans="1:14" ht="30" x14ac:dyDescent="0.25">
      <c r="A5" s="166"/>
      <c r="B5" s="167" t="s">
        <v>29</v>
      </c>
      <c r="C5" s="164">
        <f>IF(rekap!I4=5,0.8,IF(rekap!I4=3,0.6,IF(rekap!I4=1,0.4,0.2)))</f>
        <v>0.2</v>
      </c>
      <c r="D5" s="164">
        <f>IF(rekap!I4=5,0.1,IF(rekap!I4=3,0.3,IF(rekap!I4=1,0.5,0.7)))</f>
        <v>0.7</v>
      </c>
      <c r="E5" s="164">
        <f>IF(rekap!J4=5,0.8,IF(rekap!J4=3,0.6,IF(rekap!J4=1,0.4,0.2)))</f>
        <v>0.2</v>
      </c>
      <c r="F5" s="164">
        <f>IF(rekap!J4=5,0.1,IF(rekap!J4=3,0.3,IF(rekap!J4=1,0.5,0.7)))</f>
        <v>0.7</v>
      </c>
      <c r="G5" s="164">
        <f>IF(rekap!K4=5,0.8,IF(rekap!K4=3,0.6,IF(rekap!K4=1,0.4,0.2)))</f>
        <v>0.2</v>
      </c>
      <c r="H5" s="164">
        <f>IF(rekap!K4=5,0.1,IF(rekap!K4=3,0.3,IF(rekap!K4=1,0.5,0.7)))</f>
        <v>0.7</v>
      </c>
      <c r="I5" s="164">
        <f>IF(rekap!L4=5,0.8,IF(rekap!L4=3,0.6,IF(rekap!L4=1,0.4,0.2)))</f>
        <v>0.2</v>
      </c>
      <c r="J5" s="164">
        <f>IF(rekap!L4=5,0.1,IF(rekap!L4=3,0.3,IF(rekap!L4=1,0.5,0.7)))</f>
        <v>0.7</v>
      </c>
      <c r="K5" s="164">
        <f>IF(rekap!M4=5,0.8,IF(rekap!M4=3,0.6,IF(rekap!M4=1,0.4,0.2)))</f>
        <v>0.2</v>
      </c>
      <c r="L5" s="164">
        <f>IF(rekap!M4=5,0.1,IF(rekap!M4=3,0.3,IF(rekap!M4=1,0.5,0.7)))</f>
        <v>0.7</v>
      </c>
      <c r="M5" s="164">
        <f>IF(rekap!N4=5,0.8,IF(rekap!N4=3,0.6,IF(rekap!N4=1,0.4,0.2)))</f>
        <v>0.2</v>
      </c>
      <c r="N5" s="164">
        <f>IF(rekap!N4=5,0.1,IF(rekap!N4=3,0.3,IF(rekap!N4=1,0.5,0.7)))</f>
        <v>0.7</v>
      </c>
    </row>
    <row r="6" spans="1:14" ht="30" x14ac:dyDescent="0.25">
      <c r="A6" s="166" t="s">
        <v>31</v>
      </c>
      <c r="B6" s="167" t="s">
        <v>32</v>
      </c>
      <c r="C6" s="164">
        <f>IF(rekap!I5=5,0.8,IF(rekap!I5=3,0.6,IF(rekap!I5=1,0.4,0.2)))</f>
        <v>0.2</v>
      </c>
      <c r="D6" s="164">
        <f>IF(rekap!I5=5,0.1,IF(rekap!I5=3,0.3,IF(rekap!I5=1,0.5,0.7)))</f>
        <v>0.7</v>
      </c>
      <c r="E6" s="164">
        <f>IF(rekap!J5=5,0.8,IF(rekap!J5=3,0.6,IF(rekap!J5=1,0.4,0.2)))</f>
        <v>0.2</v>
      </c>
      <c r="F6" s="164">
        <f>IF(rekap!J5=5,0.1,IF(rekap!J5=3,0.3,IF(rekap!J5=1,0.5,0.7)))</f>
        <v>0.7</v>
      </c>
      <c r="G6" s="164">
        <f>IF(rekap!K5=5,0.8,IF(rekap!K5=3,0.6,IF(rekap!K5=1,0.4,0.2)))</f>
        <v>0.2</v>
      </c>
      <c r="H6" s="164">
        <f>IF(rekap!K5=5,0.1,IF(rekap!K5=3,0.3,IF(rekap!K5=1,0.5,0.7)))</f>
        <v>0.7</v>
      </c>
      <c r="I6" s="164">
        <f>IF(rekap!L5=5,0.8,IF(rekap!L5=3,0.6,IF(rekap!L5=1,0.4,0.2)))</f>
        <v>0.2</v>
      </c>
      <c r="J6" s="164">
        <f>IF(rekap!L5=5,0.1,IF(rekap!L5=3,0.3,IF(rekap!L5=1,0.5,0.7)))</f>
        <v>0.7</v>
      </c>
      <c r="K6" s="164">
        <f>IF(rekap!M5=5,0.8,IF(rekap!M5=3,0.6,IF(rekap!M5=1,0.4,0.2)))</f>
        <v>0.2</v>
      </c>
      <c r="L6" s="164">
        <f>IF(rekap!M5=5,0.1,IF(rekap!M5=3,0.3,IF(rekap!M5=1,0.5,0.7)))</f>
        <v>0.7</v>
      </c>
      <c r="M6" s="164">
        <f>IF(rekap!N5=5,0.8,IF(rekap!N5=3,0.6,IF(rekap!N5=1,0.4,0.2)))</f>
        <v>0.2</v>
      </c>
      <c r="N6" s="164">
        <f>IF(rekap!N5=5,0.1,IF(rekap!N5=3,0.3,IF(rekap!N5=1,0.5,0.7)))</f>
        <v>0.7</v>
      </c>
    </row>
    <row r="7" spans="1:14" x14ac:dyDescent="0.25">
      <c r="A7" s="166"/>
      <c r="B7" s="167" t="s">
        <v>34</v>
      </c>
      <c r="C7" s="164">
        <f>IF(rekap!I6=5,0.8,IF(rekap!I6=3,0.6,IF(rekap!I6=1,0.4,0.2)))</f>
        <v>0.4</v>
      </c>
      <c r="D7" s="164">
        <f>IF(rekap!I6=5,0.1,IF(rekap!I6=3,0.3,IF(rekap!I6=1,0.5,0.7)))</f>
        <v>0.5</v>
      </c>
      <c r="E7" s="164">
        <f>IF(rekap!J6=5,0.8,IF(rekap!J6=3,0.6,IF(rekap!J6=1,0.4,0.2)))</f>
        <v>0.2</v>
      </c>
      <c r="F7" s="164">
        <f>IF(rekap!J6=5,0.1,IF(rekap!J6=3,0.3,IF(rekap!J6=1,0.5,0.7)))</f>
        <v>0.7</v>
      </c>
      <c r="G7" s="164">
        <f>IF(rekap!K6=5,0.8,IF(rekap!K6=3,0.6,IF(rekap!K6=1,0.4,0.2)))</f>
        <v>0.2</v>
      </c>
      <c r="H7" s="164">
        <f>IF(rekap!K6=5,0.1,IF(rekap!K6=3,0.3,IF(rekap!K6=1,0.5,0.7)))</f>
        <v>0.7</v>
      </c>
      <c r="I7" s="164">
        <f>IF(rekap!L6=5,0.8,IF(rekap!L6=3,0.6,IF(rekap!L6=1,0.4,0.2)))</f>
        <v>0.2</v>
      </c>
      <c r="J7" s="164">
        <f>IF(rekap!L6=5,0.1,IF(rekap!L6=3,0.3,IF(rekap!L6=1,0.5,0.7)))</f>
        <v>0.7</v>
      </c>
      <c r="K7" s="164">
        <f>IF(rekap!M6=5,0.8,IF(rekap!M6=3,0.6,IF(rekap!M6=1,0.4,0.2)))</f>
        <v>0.2</v>
      </c>
      <c r="L7" s="164">
        <f>IF(rekap!M6=5,0.1,IF(rekap!M6=3,0.3,IF(rekap!M6=1,0.5,0.7)))</f>
        <v>0.7</v>
      </c>
      <c r="M7" s="164">
        <f>IF(rekap!N6=5,0.8,IF(rekap!N6=3,0.6,IF(rekap!N6=1,0.4,0.2)))</f>
        <v>0.4</v>
      </c>
      <c r="N7" s="164">
        <f>IF(rekap!N6=5,0.1,IF(rekap!N6=3,0.3,IF(rekap!N6=1,0.5,0.7)))</f>
        <v>0.5</v>
      </c>
    </row>
    <row r="8" spans="1:14" ht="30" x14ac:dyDescent="0.25">
      <c r="A8" s="166" t="s">
        <v>36</v>
      </c>
      <c r="B8" s="167" t="s">
        <v>37</v>
      </c>
      <c r="C8" s="164">
        <f>IF(rekap!I7=5,0.8,IF(rekap!I7=3,0.6,IF(rekap!I7=1,0.4,0.2)))</f>
        <v>0.6</v>
      </c>
      <c r="D8" s="164">
        <f>IF(rekap!I7=5,0.1,IF(rekap!I7=3,0.3,IF(rekap!I7=1,0.5,0.7)))</f>
        <v>0.3</v>
      </c>
      <c r="E8" s="164">
        <f>IF(rekap!J7=5,0.8,IF(rekap!J7=3,0.6,IF(rekap!J7=1,0.4,0.2)))</f>
        <v>0.2</v>
      </c>
      <c r="F8" s="164">
        <f>IF(rekap!J7=5,0.1,IF(rekap!J7=3,0.3,IF(rekap!J7=1,0.5,0.7)))</f>
        <v>0.7</v>
      </c>
      <c r="G8" s="164">
        <f>IF(rekap!K7=5,0.8,IF(rekap!K7=3,0.6,IF(rekap!K7=1,0.4,0.2)))</f>
        <v>0.2</v>
      </c>
      <c r="H8" s="164">
        <f>IF(rekap!K7=5,0.1,IF(rekap!K7=3,0.3,IF(rekap!K7=1,0.5,0.7)))</f>
        <v>0.7</v>
      </c>
      <c r="I8" s="164">
        <f>IF(rekap!L7=5,0.8,IF(rekap!L7=3,0.6,IF(rekap!L7=1,0.4,0.2)))</f>
        <v>0.2</v>
      </c>
      <c r="J8" s="164">
        <f>IF(rekap!L7=5,0.1,IF(rekap!L7=3,0.3,IF(rekap!L7=1,0.5,0.7)))</f>
        <v>0.7</v>
      </c>
      <c r="K8" s="164">
        <f>IF(rekap!M7=5,0.8,IF(rekap!M7=3,0.6,IF(rekap!M7=1,0.4,0.2)))</f>
        <v>0.4</v>
      </c>
      <c r="L8" s="164">
        <f>IF(rekap!M7=5,0.1,IF(rekap!M7=3,0.3,IF(rekap!M7=1,0.5,0.7)))</f>
        <v>0.5</v>
      </c>
      <c r="M8" s="164">
        <f>IF(rekap!N7=5,0.8,IF(rekap!N7=3,0.6,IF(rekap!N7=1,0.4,0.2)))</f>
        <v>0.2</v>
      </c>
      <c r="N8" s="164">
        <f>IF(rekap!N7=5,0.1,IF(rekap!N7=3,0.3,IF(rekap!N7=1,0.5,0.7)))</f>
        <v>0.7</v>
      </c>
    </row>
    <row r="9" spans="1:14" x14ac:dyDescent="0.25">
      <c r="A9" s="166"/>
      <c r="B9" s="167" t="s">
        <v>38</v>
      </c>
      <c r="C9" s="164">
        <f>IF(rekap!I8=5,0.8,IF(rekap!I8=3,0.6,IF(rekap!I8=1,0.4,0.2)))</f>
        <v>0.2</v>
      </c>
      <c r="D9" s="164">
        <f>IF(rekap!I8=5,0.1,IF(rekap!I8=3,0.3,IF(rekap!I8=1,0.5,0.7)))</f>
        <v>0.7</v>
      </c>
      <c r="E9" s="164">
        <f>IF(rekap!J8=5,0.8,IF(rekap!J8=3,0.6,IF(rekap!J8=1,0.4,0.2)))</f>
        <v>0.2</v>
      </c>
      <c r="F9" s="164">
        <f>IF(rekap!J8=5,0.1,IF(rekap!J8=3,0.3,IF(rekap!J8=1,0.5,0.7)))</f>
        <v>0.7</v>
      </c>
      <c r="G9" s="164">
        <f>IF(rekap!K8=5,0.8,IF(rekap!K8=3,0.6,IF(rekap!K8=1,0.4,0.2)))</f>
        <v>0.2</v>
      </c>
      <c r="H9" s="164">
        <f>IF(rekap!K8=5,0.1,IF(rekap!K8=3,0.3,IF(rekap!K8=1,0.5,0.7)))</f>
        <v>0.7</v>
      </c>
      <c r="I9" s="164">
        <f>IF(rekap!L8=5,0.8,IF(rekap!L8=3,0.6,IF(rekap!L8=1,0.4,0.2)))</f>
        <v>0.2</v>
      </c>
      <c r="J9" s="164">
        <f>IF(rekap!L8=5,0.1,IF(rekap!L8=3,0.3,IF(rekap!L8=1,0.5,0.7)))</f>
        <v>0.7</v>
      </c>
      <c r="K9" s="164">
        <f>IF(rekap!M8=5,0.8,IF(rekap!M8=3,0.6,IF(rekap!M8=1,0.4,0.2)))</f>
        <v>0.2</v>
      </c>
      <c r="L9" s="164">
        <f>IF(rekap!M8=5,0.1,IF(rekap!M8=3,0.3,IF(rekap!M8=1,0.5,0.7)))</f>
        <v>0.7</v>
      </c>
      <c r="M9" s="164">
        <f>IF(rekap!N8=5,0.8,IF(rekap!N8=3,0.6,IF(rekap!N8=1,0.4,0.2)))</f>
        <v>0.6</v>
      </c>
      <c r="N9" s="164">
        <f>IF(rekap!N8=5,0.1,IF(rekap!N8=3,0.3,IF(rekap!N8=1,0.5,0.7)))</f>
        <v>0.3</v>
      </c>
    </row>
    <row r="10" spans="1:14" ht="30" x14ac:dyDescent="0.25">
      <c r="A10" s="166" t="s">
        <v>40</v>
      </c>
      <c r="B10" s="167" t="s">
        <v>41</v>
      </c>
      <c r="C10" s="164">
        <f>IF(rekap!I9=5,0.8,IF(rekap!I9=3,0.6,IF(rekap!I9=1,0.4,0.2)))</f>
        <v>0.2</v>
      </c>
      <c r="D10" s="164">
        <f>IF(rekap!I9=5,0.1,IF(rekap!I9=3,0.3,IF(rekap!I9=1,0.5,0.7)))</f>
        <v>0.7</v>
      </c>
      <c r="E10" s="164">
        <f>IF(rekap!J9=5,0.8,IF(rekap!J9=3,0.6,IF(rekap!J9=1,0.4,0.2)))</f>
        <v>0.8</v>
      </c>
      <c r="F10" s="164">
        <f>IF(rekap!J9=5,0.1,IF(rekap!J9=3,0.3,IF(rekap!J9=1,0.5,0.7)))</f>
        <v>0.1</v>
      </c>
      <c r="G10" s="164">
        <f>IF(rekap!K9=5,0.8,IF(rekap!K9=3,0.6,IF(rekap!K9=1,0.4,0.2)))</f>
        <v>0.2</v>
      </c>
      <c r="H10" s="164">
        <f>IF(rekap!K9=5,0.1,IF(rekap!K9=3,0.3,IF(rekap!K9=1,0.5,0.7)))</f>
        <v>0.7</v>
      </c>
      <c r="I10" s="164">
        <f>IF(rekap!L9=5,0.8,IF(rekap!L9=3,0.6,IF(rekap!L9=1,0.4,0.2)))</f>
        <v>0.2</v>
      </c>
      <c r="J10" s="164">
        <f>IF(rekap!L9=5,0.1,IF(rekap!L9=3,0.3,IF(rekap!L9=1,0.5,0.7)))</f>
        <v>0.7</v>
      </c>
      <c r="K10" s="164">
        <f>IF(rekap!M9=5,0.8,IF(rekap!M9=3,0.6,IF(rekap!M9=1,0.4,0.2)))</f>
        <v>0.4</v>
      </c>
      <c r="L10" s="164">
        <f>IF(rekap!M9=5,0.1,IF(rekap!M9=3,0.3,IF(rekap!M9=1,0.5,0.7)))</f>
        <v>0.5</v>
      </c>
      <c r="M10" s="164">
        <f>IF(rekap!N9=5,0.8,IF(rekap!N9=3,0.6,IF(rekap!N9=1,0.4,0.2)))</f>
        <v>0.2</v>
      </c>
      <c r="N10" s="164">
        <f>IF(rekap!N9=5,0.1,IF(rekap!N9=3,0.3,IF(rekap!N9=1,0.5,0.7)))</f>
        <v>0.7</v>
      </c>
    </row>
    <row r="11" spans="1:14" x14ac:dyDescent="0.25">
      <c r="A11" s="166"/>
      <c r="B11" s="167" t="s">
        <v>42</v>
      </c>
      <c r="C11" s="164">
        <f>IF(rekap!I10=5,0.8,IF(rekap!I10=3,0.6,IF(rekap!I10=1,0.4,0.2)))</f>
        <v>0.4</v>
      </c>
      <c r="D11" s="164">
        <f>IF(rekap!I10=5,0.1,IF(rekap!I10=3,0.3,IF(rekap!I10=1,0.5,0.7)))</f>
        <v>0.5</v>
      </c>
      <c r="E11" s="164">
        <f>IF(rekap!J10=5,0.8,IF(rekap!J10=3,0.6,IF(rekap!J10=1,0.4,0.2)))</f>
        <v>0.2</v>
      </c>
      <c r="F11" s="164">
        <f>IF(rekap!J10=5,0.1,IF(rekap!J10=3,0.3,IF(rekap!J10=1,0.5,0.7)))</f>
        <v>0.7</v>
      </c>
      <c r="G11" s="164">
        <f>IF(rekap!K10=5,0.8,IF(rekap!K10=3,0.6,IF(rekap!K10=1,0.4,0.2)))</f>
        <v>0.6</v>
      </c>
      <c r="H11" s="164">
        <f>IF(rekap!K10=5,0.1,IF(rekap!K10=3,0.3,IF(rekap!K10=1,0.5,0.7)))</f>
        <v>0.3</v>
      </c>
      <c r="I11" s="164">
        <f>IF(rekap!L10=5,0.8,IF(rekap!L10=3,0.6,IF(rekap!L10=1,0.4,0.2)))</f>
        <v>0.2</v>
      </c>
      <c r="J11" s="164">
        <f>IF(rekap!L10=5,0.1,IF(rekap!L10=3,0.3,IF(rekap!L10=1,0.5,0.7)))</f>
        <v>0.7</v>
      </c>
      <c r="K11" s="164">
        <f>IF(rekap!M10=5,0.8,IF(rekap!M10=3,0.6,IF(rekap!M10=1,0.4,0.2)))</f>
        <v>0.4</v>
      </c>
      <c r="L11" s="164">
        <f>IF(rekap!M10=5,0.1,IF(rekap!M10=3,0.3,IF(rekap!M10=1,0.5,0.7)))</f>
        <v>0.5</v>
      </c>
      <c r="M11" s="164">
        <f>IF(rekap!N10=5,0.8,IF(rekap!N10=3,0.6,IF(rekap!N10=1,0.4,0.2)))</f>
        <v>0.4</v>
      </c>
      <c r="N11" s="164">
        <f>IF(rekap!N10=5,0.1,IF(rekap!N10=3,0.3,IF(rekap!N10=1,0.5,0.7)))</f>
        <v>0.5</v>
      </c>
    </row>
    <row r="12" spans="1:14" x14ac:dyDescent="0.25">
      <c r="A12" s="166"/>
      <c r="B12" s="167" t="s">
        <v>43</v>
      </c>
      <c r="C12" s="164">
        <f>IF(rekap!I11=5,0.8,IF(rekap!I11=3,0.6,IF(rekap!I11=1,0.4,0.2)))</f>
        <v>0.2</v>
      </c>
      <c r="D12" s="164">
        <f>IF(rekap!I11=5,0.1,IF(rekap!I11=3,0.3,IF(rekap!I11=1,0.5,0.7)))</f>
        <v>0.7</v>
      </c>
      <c r="E12" s="164">
        <f>IF(rekap!J11=5,0.8,IF(rekap!J11=3,0.6,IF(rekap!J11=1,0.4,0.2)))</f>
        <v>0.2</v>
      </c>
      <c r="F12" s="164">
        <f>IF(rekap!J11=5,0.1,IF(rekap!J11=3,0.3,IF(rekap!J11=1,0.5,0.7)))</f>
        <v>0.7</v>
      </c>
      <c r="G12" s="164">
        <f>IF(rekap!K11=5,0.8,IF(rekap!K11=3,0.6,IF(rekap!K11=1,0.4,0.2)))</f>
        <v>0.2</v>
      </c>
      <c r="H12" s="164">
        <f>IF(rekap!K11=5,0.1,IF(rekap!K11=3,0.3,IF(rekap!K11=1,0.5,0.7)))</f>
        <v>0.7</v>
      </c>
      <c r="I12" s="164">
        <f>IF(rekap!L11=5,0.8,IF(rekap!L11=3,0.6,IF(rekap!L11=1,0.4,0.2)))</f>
        <v>0.2</v>
      </c>
      <c r="J12" s="164">
        <f>IF(rekap!L11=5,0.1,IF(rekap!L11=3,0.3,IF(rekap!L11=1,0.5,0.7)))</f>
        <v>0.7</v>
      </c>
      <c r="K12" s="164">
        <f>IF(rekap!M11=5,0.8,IF(rekap!M11=3,0.6,IF(rekap!M11=1,0.4,0.2)))</f>
        <v>0.2</v>
      </c>
      <c r="L12" s="164">
        <f>IF(rekap!M11=5,0.1,IF(rekap!M11=3,0.3,IF(rekap!M11=1,0.5,0.7)))</f>
        <v>0.7</v>
      </c>
      <c r="M12" s="164">
        <f>IF(rekap!N11=5,0.8,IF(rekap!N11=3,0.6,IF(rekap!N11=1,0.4,0.2)))</f>
        <v>0.2</v>
      </c>
      <c r="N12" s="164">
        <f>IF(rekap!N11=5,0.1,IF(rekap!N11=3,0.3,IF(rekap!N11=1,0.5,0.7)))</f>
        <v>0.7</v>
      </c>
    </row>
    <row r="13" spans="1:14" x14ac:dyDescent="0.25">
      <c r="A13" s="166"/>
      <c r="B13" s="167" t="s">
        <v>44</v>
      </c>
      <c r="C13" s="164">
        <f>IF(rekap!I12=5,0.8,IF(rekap!I12=3,0.6,IF(rekap!I12=1,0.4,0.2)))</f>
        <v>0.6</v>
      </c>
      <c r="D13" s="164">
        <f>IF(rekap!I12=5,0.1,IF(rekap!I12=3,0.3,IF(rekap!I12=1,0.5,0.7)))</f>
        <v>0.3</v>
      </c>
      <c r="E13" s="164">
        <f>IF(rekap!J12=5,0.8,IF(rekap!J12=3,0.6,IF(rekap!J12=1,0.4,0.2)))</f>
        <v>0.8</v>
      </c>
      <c r="F13" s="164">
        <f>IF(rekap!J12=5,0.1,IF(rekap!J12=3,0.3,IF(rekap!J12=1,0.5,0.7)))</f>
        <v>0.1</v>
      </c>
      <c r="G13" s="164">
        <f>IF(rekap!K12=5,0.8,IF(rekap!K12=3,0.6,IF(rekap!K12=1,0.4,0.2)))</f>
        <v>0.4</v>
      </c>
      <c r="H13" s="164">
        <f>IF(rekap!K12=5,0.1,IF(rekap!K12=3,0.3,IF(rekap!K12=1,0.5,0.7)))</f>
        <v>0.5</v>
      </c>
      <c r="I13" s="164">
        <f>IF(rekap!L12=5,0.8,IF(rekap!L12=3,0.6,IF(rekap!L12=1,0.4,0.2)))</f>
        <v>0.4</v>
      </c>
      <c r="J13" s="164">
        <f>IF(rekap!L12=5,0.1,IF(rekap!L12=3,0.3,IF(rekap!L12=1,0.5,0.7)))</f>
        <v>0.5</v>
      </c>
      <c r="K13" s="164">
        <f>IF(rekap!M12=5,0.8,IF(rekap!M12=3,0.6,IF(rekap!M12=1,0.4,0.2)))</f>
        <v>0.6</v>
      </c>
      <c r="L13" s="164">
        <f>IF(rekap!M12=5,0.1,IF(rekap!M12=3,0.3,IF(rekap!M12=1,0.5,0.7)))</f>
        <v>0.3</v>
      </c>
      <c r="M13" s="164">
        <f>IF(rekap!N12=5,0.8,IF(rekap!N12=3,0.6,IF(rekap!N12=1,0.4,0.2)))</f>
        <v>0.6</v>
      </c>
      <c r="N13" s="164">
        <f>IF(rekap!N12=5,0.1,IF(rekap!N12=3,0.3,IF(rekap!N12=1,0.5,0.7)))</f>
        <v>0.3</v>
      </c>
    </row>
    <row r="14" spans="1:14" x14ac:dyDescent="0.25">
      <c r="A14" s="166"/>
      <c r="B14" s="167" t="s">
        <v>45</v>
      </c>
      <c r="C14" s="164">
        <f>IF(rekap!I13=5,0.8,IF(rekap!I13=3,0.6,IF(rekap!I13=1,0.4,0.2)))</f>
        <v>0.2</v>
      </c>
      <c r="D14" s="164">
        <f>IF(rekap!I13=5,0.1,IF(rekap!I13=3,0.3,IF(rekap!I13=1,0.5,0.7)))</f>
        <v>0.7</v>
      </c>
      <c r="E14" s="164">
        <f>IF(rekap!J13=5,0.8,IF(rekap!J13=3,0.6,IF(rekap!J13=1,0.4,0.2)))</f>
        <v>0.2</v>
      </c>
      <c r="F14" s="164">
        <f>IF(rekap!J13=5,0.1,IF(rekap!J13=3,0.3,IF(rekap!J13=1,0.5,0.7)))</f>
        <v>0.7</v>
      </c>
      <c r="G14" s="164">
        <f>IF(rekap!K13=5,0.8,IF(rekap!K13=3,0.6,IF(rekap!K13=1,0.4,0.2)))</f>
        <v>0.2</v>
      </c>
      <c r="H14" s="164">
        <f>IF(rekap!K13=5,0.1,IF(rekap!K13=3,0.3,IF(rekap!K13=1,0.5,0.7)))</f>
        <v>0.7</v>
      </c>
      <c r="I14" s="164">
        <f>IF(rekap!L13=5,0.8,IF(rekap!L13=3,0.6,IF(rekap!L13=1,0.4,0.2)))</f>
        <v>0.2</v>
      </c>
      <c r="J14" s="164">
        <f>IF(rekap!L13=5,0.1,IF(rekap!L13=3,0.3,IF(rekap!L13=1,0.5,0.7)))</f>
        <v>0.7</v>
      </c>
      <c r="K14" s="164">
        <f>IF(rekap!M13=5,0.8,IF(rekap!M13=3,0.6,IF(rekap!M13=1,0.4,0.2)))</f>
        <v>0.2</v>
      </c>
      <c r="L14" s="164">
        <f>IF(rekap!M13=5,0.1,IF(rekap!M13=3,0.3,IF(rekap!M13=1,0.5,0.7)))</f>
        <v>0.7</v>
      </c>
      <c r="M14" s="164">
        <f>IF(rekap!N13=5,0.8,IF(rekap!N13=3,0.6,IF(rekap!N13=1,0.4,0.2)))</f>
        <v>0.2</v>
      </c>
      <c r="N14" s="164">
        <f>IF(rekap!N13=5,0.1,IF(rekap!N13=3,0.3,IF(rekap!N13=1,0.5,0.7)))</f>
        <v>0.7</v>
      </c>
    </row>
    <row r="15" spans="1:14" ht="30" x14ac:dyDescent="0.25">
      <c r="A15" s="166" t="s">
        <v>47</v>
      </c>
      <c r="B15" s="167" t="s">
        <v>48</v>
      </c>
      <c r="C15" s="164">
        <f>IF(rekap!I14=5,0.8,IF(rekap!I14=3,0.6,IF(rekap!I14=1,0.4,0.2)))</f>
        <v>0.2</v>
      </c>
      <c r="D15" s="164">
        <f>IF(rekap!I14=5,0.1,IF(rekap!I14=3,0.3,IF(rekap!I14=1,0.5,0.7)))</f>
        <v>0.7</v>
      </c>
      <c r="E15" s="164">
        <f>IF(rekap!J14=5,0.8,IF(rekap!J14=3,0.6,IF(rekap!J14=1,0.4,0.2)))</f>
        <v>0.2</v>
      </c>
      <c r="F15" s="164">
        <f>IF(rekap!J14=5,0.1,IF(rekap!J14=3,0.3,IF(rekap!J14=1,0.5,0.7)))</f>
        <v>0.7</v>
      </c>
      <c r="G15" s="164">
        <f>IF(rekap!K14=5,0.8,IF(rekap!K14=3,0.6,IF(rekap!K14=1,0.4,0.2)))</f>
        <v>0.2</v>
      </c>
      <c r="H15" s="164">
        <f>IF(rekap!K14=5,0.1,IF(rekap!K14=3,0.3,IF(rekap!K14=1,0.5,0.7)))</f>
        <v>0.7</v>
      </c>
      <c r="I15" s="164">
        <f>IF(rekap!L14=5,0.8,IF(rekap!L14=3,0.6,IF(rekap!L14=1,0.4,0.2)))</f>
        <v>0.2</v>
      </c>
      <c r="J15" s="164">
        <f>IF(rekap!L14=5,0.1,IF(rekap!L14=3,0.3,IF(rekap!L14=1,0.5,0.7)))</f>
        <v>0.7</v>
      </c>
      <c r="K15" s="164">
        <f>IF(rekap!M14=5,0.8,IF(rekap!M14=3,0.6,IF(rekap!M14=1,0.4,0.2)))</f>
        <v>0.2</v>
      </c>
      <c r="L15" s="164">
        <f>IF(rekap!M14=5,0.1,IF(rekap!M14=3,0.3,IF(rekap!M14=1,0.5,0.7)))</f>
        <v>0.7</v>
      </c>
      <c r="M15" s="164">
        <f>IF(rekap!N14=5,0.8,IF(rekap!N14=3,0.6,IF(rekap!N14=1,0.4,0.2)))</f>
        <v>0.2</v>
      </c>
      <c r="N15" s="164">
        <f>IF(rekap!N14=5,0.1,IF(rekap!N14=3,0.3,IF(rekap!N14=1,0.5,0.7)))</f>
        <v>0.7</v>
      </c>
    </row>
    <row r="16" spans="1:14" ht="30" x14ac:dyDescent="0.25">
      <c r="A16" s="166"/>
      <c r="B16" s="167" t="s">
        <v>49</v>
      </c>
      <c r="C16" s="164">
        <f>IF(rekap!I15=5,0.8,IF(rekap!I15=3,0.6,IF(rekap!I15=1,0.4,0.2)))</f>
        <v>0.2</v>
      </c>
      <c r="D16" s="164">
        <f>IF(rekap!I15=5,0.1,IF(rekap!I15=3,0.3,IF(rekap!I15=1,0.5,0.7)))</f>
        <v>0.7</v>
      </c>
      <c r="E16" s="164">
        <f>IF(rekap!J15=5,0.8,IF(rekap!J15=3,0.6,IF(rekap!J15=1,0.4,0.2)))</f>
        <v>0.2</v>
      </c>
      <c r="F16" s="164">
        <f>IF(rekap!J15=5,0.1,IF(rekap!J15=3,0.3,IF(rekap!J15=1,0.5,0.7)))</f>
        <v>0.7</v>
      </c>
      <c r="G16" s="164">
        <f>IF(rekap!K15=5,0.8,IF(rekap!K15=3,0.6,IF(rekap!K15=1,0.4,0.2)))</f>
        <v>0.2</v>
      </c>
      <c r="H16" s="164">
        <f>IF(rekap!K15=5,0.1,IF(rekap!K15=3,0.3,IF(rekap!K15=1,0.5,0.7)))</f>
        <v>0.7</v>
      </c>
      <c r="I16" s="164">
        <f>IF(rekap!L15=5,0.8,IF(rekap!L15=3,0.6,IF(rekap!L15=1,0.4,0.2)))</f>
        <v>0.2</v>
      </c>
      <c r="J16" s="164">
        <f>IF(rekap!L15=5,0.1,IF(rekap!L15=3,0.3,IF(rekap!L15=1,0.5,0.7)))</f>
        <v>0.7</v>
      </c>
      <c r="K16" s="164">
        <f>IF(rekap!M15=5,0.8,IF(rekap!M15=3,0.6,IF(rekap!M15=1,0.4,0.2)))</f>
        <v>0.2</v>
      </c>
      <c r="L16" s="164">
        <f>IF(rekap!M15=5,0.1,IF(rekap!M15=3,0.3,IF(rekap!M15=1,0.5,0.7)))</f>
        <v>0.7</v>
      </c>
      <c r="M16" s="164">
        <f>IF(rekap!N15=5,0.8,IF(rekap!N15=3,0.6,IF(rekap!N15=1,0.4,0.2)))</f>
        <v>0.2</v>
      </c>
      <c r="N16" s="164">
        <f>IF(rekap!N15=5,0.1,IF(rekap!N15=3,0.3,IF(rekap!N15=1,0.5,0.7)))</f>
        <v>0.7</v>
      </c>
    </row>
    <row r="17" spans="1:14" ht="30" x14ac:dyDescent="0.25">
      <c r="A17" s="166" t="s">
        <v>51</v>
      </c>
      <c r="B17" s="167" t="s">
        <v>52</v>
      </c>
      <c r="C17" s="164">
        <f>IF(rekap!I16=5,0.8,IF(rekap!I16=3,0.6,IF(rekap!I16=1,0.4,0.2)))</f>
        <v>0.8</v>
      </c>
      <c r="D17" s="164">
        <f>IF(rekap!I16=5,0.1,IF(rekap!I16=3,0.3,IF(rekap!I16=1,0.5,0.7)))</f>
        <v>0.1</v>
      </c>
      <c r="E17" s="164">
        <f>IF(rekap!J16=5,0.8,IF(rekap!J16=3,0.6,IF(rekap!J16=1,0.4,0.2)))</f>
        <v>0.8</v>
      </c>
      <c r="F17" s="164">
        <f>IF(rekap!J16=5,0.1,IF(rekap!J16=3,0.3,IF(rekap!J16=1,0.5,0.7)))</f>
        <v>0.1</v>
      </c>
      <c r="G17" s="164">
        <f>IF(rekap!K16=5,0.8,IF(rekap!K16=3,0.6,IF(rekap!K16=1,0.4,0.2)))</f>
        <v>0.8</v>
      </c>
      <c r="H17" s="164">
        <f>IF(rekap!K16=5,0.1,IF(rekap!K16=3,0.3,IF(rekap!K16=1,0.5,0.7)))</f>
        <v>0.1</v>
      </c>
      <c r="I17" s="164">
        <f>IF(rekap!L16=5,0.8,IF(rekap!L16=3,0.6,IF(rekap!L16=1,0.4,0.2)))</f>
        <v>0.8</v>
      </c>
      <c r="J17" s="164">
        <f>IF(rekap!L16=5,0.1,IF(rekap!L16=3,0.3,IF(rekap!L16=1,0.5,0.7)))</f>
        <v>0.1</v>
      </c>
      <c r="K17" s="164">
        <f>IF(rekap!M16=5,0.8,IF(rekap!M16=3,0.6,IF(rekap!M16=1,0.4,0.2)))</f>
        <v>0.8</v>
      </c>
      <c r="L17" s="164">
        <f>IF(rekap!M16=5,0.1,IF(rekap!M16=3,0.3,IF(rekap!M16=1,0.5,0.7)))</f>
        <v>0.1</v>
      </c>
      <c r="M17" s="164">
        <f>IF(rekap!N16=5,0.8,IF(rekap!N16=3,0.6,IF(rekap!N16=1,0.4,0.2)))</f>
        <v>0.4</v>
      </c>
      <c r="N17" s="164">
        <f>IF(rekap!N16=5,0.1,IF(rekap!N16=3,0.3,IF(rekap!N16=1,0.5,0.7)))</f>
        <v>0.5</v>
      </c>
    </row>
    <row r="18" spans="1:14" ht="30" x14ac:dyDescent="0.25">
      <c r="A18" s="166"/>
      <c r="B18" s="167" t="s">
        <v>53</v>
      </c>
      <c r="C18" s="164">
        <f>IF(rekap!I17=5,0.8,IF(rekap!I17=3,0.6,IF(rekap!I17=1,0.4,0.2)))</f>
        <v>0.8</v>
      </c>
      <c r="D18" s="164">
        <f>IF(rekap!I17=5,0.1,IF(rekap!I17=3,0.3,IF(rekap!I17=1,0.5,0.7)))</f>
        <v>0.1</v>
      </c>
      <c r="E18" s="164">
        <f>IF(rekap!J17=5,0.8,IF(rekap!J17=3,0.6,IF(rekap!J17=1,0.4,0.2)))</f>
        <v>0.4</v>
      </c>
      <c r="F18" s="164">
        <f>IF(rekap!J17=5,0.1,IF(rekap!J17=3,0.3,IF(rekap!J17=1,0.5,0.7)))</f>
        <v>0.5</v>
      </c>
      <c r="G18" s="164">
        <f>IF(rekap!K17=5,0.8,IF(rekap!K17=3,0.6,IF(rekap!K17=1,0.4,0.2)))</f>
        <v>0.2</v>
      </c>
      <c r="H18" s="164">
        <f>IF(rekap!K17=5,0.1,IF(rekap!K17=3,0.3,IF(rekap!K17=1,0.5,0.7)))</f>
        <v>0.7</v>
      </c>
      <c r="I18" s="164">
        <f>IF(rekap!L17=5,0.8,IF(rekap!L17=3,0.6,IF(rekap!L17=1,0.4,0.2)))</f>
        <v>0.8</v>
      </c>
      <c r="J18" s="164">
        <f>IF(rekap!L17=5,0.1,IF(rekap!L17=3,0.3,IF(rekap!L17=1,0.5,0.7)))</f>
        <v>0.1</v>
      </c>
      <c r="K18" s="164">
        <f>IF(rekap!M17=5,0.8,IF(rekap!M17=3,0.6,IF(rekap!M17=1,0.4,0.2)))</f>
        <v>0.6</v>
      </c>
      <c r="L18" s="164">
        <f>IF(rekap!M17=5,0.1,IF(rekap!M17=3,0.3,IF(rekap!M17=1,0.5,0.7)))</f>
        <v>0.3</v>
      </c>
      <c r="M18" s="164">
        <f>IF(rekap!N17=5,0.8,IF(rekap!N17=3,0.6,IF(rekap!N17=1,0.4,0.2)))</f>
        <v>0.2</v>
      </c>
      <c r="N18" s="164">
        <f>IF(rekap!N17=5,0.1,IF(rekap!N17=3,0.3,IF(rekap!N17=1,0.5,0.7)))</f>
        <v>0.7</v>
      </c>
    </row>
    <row r="19" spans="1:14" ht="30" x14ac:dyDescent="0.25">
      <c r="A19" s="166"/>
      <c r="B19" s="167" t="s">
        <v>54</v>
      </c>
      <c r="C19" s="164">
        <f>IF(rekap!I18=5,0.8,IF(rekap!I18=3,0.6,IF(rekap!I18=1,0.4,0.2)))</f>
        <v>0.8</v>
      </c>
      <c r="D19" s="164">
        <f>IF(rekap!I18=5,0.1,IF(rekap!I18=3,0.3,IF(rekap!I18=1,0.5,0.7)))</f>
        <v>0.1</v>
      </c>
      <c r="E19" s="164">
        <f>IF(rekap!J18=5,0.8,IF(rekap!J18=3,0.6,IF(rekap!J18=1,0.4,0.2)))</f>
        <v>0.8</v>
      </c>
      <c r="F19" s="164">
        <f>IF(rekap!J18=5,0.1,IF(rekap!J18=3,0.3,IF(rekap!J18=1,0.5,0.7)))</f>
        <v>0.1</v>
      </c>
      <c r="G19" s="164">
        <f>IF(rekap!K18=5,0.8,IF(rekap!K18=3,0.6,IF(rekap!K18=1,0.4,0.2)))</f>
        <v>0.8</v>
      </c>
      <c r="H19" s="164">
        <f>IF(rekap!K18=5,0.1,IF(rekap!K18=3,0.3,IF(rekap!K18=1,0.5,0.7)))</f>
        <v>0.1</v>
      </c>
      <c r="I19" s="164">
        <f>IF(rekap!L18=5,0.8,IF(rekap!L18=3,0.6,IF(rekap!L18=1,0.4,0.2)))</f>
        <v>0.8</v>
      </c>
      <c r="J19" s="164">
        <f>IF(rekap!L18=5,0.1,IF(rekap!L18=3,0.3,IF(rekap!L18=1,0.5,0.7)))</f>
        <v>0.1</v>
      </c>
      <c r="K19" s="164">
        <f>IF(rekap!M18=5,0.8,IF(rekap!M18=3,0.6,IF(rekap!M18=1,0.4,0.2)))</f>
        <v>0.8</v>
      </c>
      <c r="L19" s="164">
        <f>IF(rekap!M18=5,0.1,IF(rekap!M18=3,0.3,IF(rekap!M18=1,0.5,0.7)))</f>
        <v>0.1</v>
      </c>
      <c r="M19" s="164">
        <f>IF(rekap!N18=5,0.8,IF(rekap!N18=3,0.6,IF(rekap!N18=1,0.4,0.2)))</f>
        <v>0.4</v>
      </c>
      <c r="N19" s="164">
        <f>IF(rekap!N18=5,0.1,IF(rekap!N18=3,0.3,IF(rekap!N18=1,0.5,0.7)))</f>
        <v>0.5</v>
      </c>
    </row>
    <row r="20" spans="1:14" ht="30" x14ac:dyDescent="0.25">
      <c r="A20" s="166" t="s">
        <v>56</v>
      </c>
      <c r="B20" s="168" t="s">
        <v>57</v>
      </c>
      <c r="C20" s="164">
        <f>IF(rekap!I19=5,0.8,IF(rekap!I19=3,0.6,IF(rekap!I19=1,0.4,0.2)))</f>
        <v>0.4</v>
      </c>
      <c r="D20" s="164">
        <f>IF(rekap!I19=5,0.1,IF(rekap!I19=3,0.3,IF(rekap!I19=1,0.5,0.7)))</f>
        <v>0.5</v>
      </c>
      <c r="E20" s="164">
        <f>IF(rekap!J19=5,0.8,IF(rekap!J19=3,0.6,IF(rekap!J19=1,0.4,0.2)))</f>
        <v>0.6</v>
      </c>
      <c r="F20" s="164">
        <f>IF(rekap!J19=5,0.1,IF(rekap!J19=3,0.3,IF(rekap!J19=1,0.5,0.7)))</f>
        <v>0.3</v>
      </c>
      <c r="G20" s="164">
        <f>IF(rekap!K19=5,0.8,IF(rekap!K19=3,0.6,IF(rekap!K19=1,0.4,0.2)))</f>
        <v>0.8</v>
      </c>
      <c r="H20" s="164">
        <f>IF(rekap!K19=5,0.1,IF(rekap!K19=3,0.3,IF(rekap!K19=1,0.5,0.7)))</f>
        <v>0.1</v>
      </c>
      <c r="I20" s="164">
        <f>IF(rekap!L19=5,0.8,IF(rekap!L19=3,0.6,IF(rekap!L19=1,0.4,0.2)))</f>
        <v>0.8</v>
      </c>
      <c r="J20" s="164">
        <f>IF(rekap!L19=5,0.1,IF(rekap!L19=3,0.3,IF(rekap!L19=1,0.5,0.7)))</f>
        <v>0.1</v>
      </c>
      <c r="K20" s="164">
        <f>IF(rekap!M19=5,0.8,IF(rekap!M19=3,0.6,IF(rekap!M19=1,0.4,0.2)))</f>
        <v>0.6</v>
      </c>
      <c r="L20" s="164">
        <f>IF(rekap!M19=5,0.1,IF(rekap!M19=3,0.3,IF(rekap!M19=1,0.5,0.7)))</f>
        <v>0.3</v>
      </c>
      <c r="M20" s="164">
        <f>IF(rekap!N19=5,0.8,IF(rekap!N19=3,0.6,IF(rekap!N19=1,0.4,0.2)))</f>
        <v>0.6</v>
      </c>
      <c r="N20" s="164">
        <f>IF(rekap!N19=5,0.1,IF(rekap!N19=3,0.3,IF(rekap!N19=1,0.5,0.7)))</f>
        <v>0.3</v>
      </c>
    </row>
    <row r="21" spans="1:14" x14ac:dyDescent="0.25">
      <c r="A21" s="166"/>
      <c r="B21" s="168" t="s">
        <v>58</v>
      </c>
      <c r="C21" s="164">
        <f>IF(rekap!I20=5,0.8,IF(rekap!I20=3,0.6,IF(rekap!I20=1,0.4,0.2)))</f>
        <v>0.8</v>
      </c>
      <c r="D21" s="164">
        <f>IF(rekap!I20=5,0.1,IF(rekap!I20=3,0.3,IF(rekap!I20=1,0.5,0.7)))</f>
        <v>0.1</v>
      </c>
      <c r="E21" s="164">
        <f>IF(rekap!J20=5,0.8,IF(rekap!J20=3,0.6,IF(rekap!J20=1,0.4,0.2)))</f>
        <v>0.8</v>
      </c>
      <c r="F21" s="164">
        <f>IF(rekap!J20=5,0.1,IF(rekap!J20=3,0.3,IF(rekap!J20=1,0.5,0.7)))</f>
        <v>0.1</v>
      </c>
      <c r="G21" s="164">
        <f>IF(rekap!K20=5,0.8,IF(rekap!K20=3,0.6,IF(rekap!K20=1,0.4,0.2)))</f>
        <v>0.8</v>
      </c>
      <c r="H21" s="164">
        <f>IF(rekap!K20=5,0.1,IF(rekap!K20=3,0.3,IF(rekap!K20=1,0.5,0.7)))</f>
        <v>0.1</v>
      </c>
      <c r="I21" s="164">
        <f>IF(rekap!L20=5,0.8,IF(rekap!L20=3,0.6,IF(rekap!L20=1,0.4,0.2)))</f>
        <v>0.8</v>
      </c>
      <c r="J21" s="164">
        <f>IF(rekap!L20=5,0.1,IF(rekap!L20=3,0.3,IF(rekap!L20=1,0.5,0.7)))</f>
        <v>0.1</v>
      </c>
      <c r="K21" s="164">
        <f>IF(rekap!M20=5,0.8,IF(rekap!M20=3,0.6,IF(rekap!M20=1,0.4,0.2)))</f>
        <v>0.8</v>
      </c>
      <c r="L21" s="164">
        <f>IF(rekap!M20=5,0.1,IF(rekap!M20=3,0.3,IF(rekap!M20=1,0.5,0.7)))</f>
        <v>0.1</v>
      </c>
      <c r="M21" s="164">
        <f>IF(rekap!N20=5,0.8,IF(rekap!N20=3,0.6,IF(rekap!N20=1,0.4,0.2)))</f>
        <v>0.8</v>
      </c>
      <c r="N21" s="164">
        <f>IF(rekap!N20=5,0.1,IF(rekap!N20=3,0.3,IF(rekap!N20=1,0.5,0.7)))</f>
        <v>0.1</v>
      </c>
    </row>
    <row r="22" spans="1:14" ht="15.75" thickBot="1" x14ac:dyDescent="0.3">
      <c r="A22" s="162"/>
      <c r="B22" s="163"/>
      <c r="C22">
        <f>SUM(C3:C21)</f>
        <v>8.2000000000000011</v>
      </c>
      <c r="E22">
        <f t="shared" ref="E22:N22" si="0">SUM(E3:E21)</f>
        <v>8.2000000000000011</v>
      </c>
      <c r="G22">
        <f t="shared" si="0"/>
        <v>6.8</v>
      </c>
      <c r="I22">
        <f t="shared" si="0"/>
        <v>7</v>
      </c>
      <c r="K22">
        <f t="shared" si="0"/>
        <v>7.7999999999999989</v>
      </c>
      <c r="M22">
        <f t="shared" si="0"/>
        <v>7.2000000000000011</v>
      </c>
      <c r="N22">
        <f t="shared" si="0"/>
        <v>9.9</v>
      </c>
    </row>
  </sheetData>
  <mergeCells count="6">
    <mergeCell ref="M1:N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F6A69-8928-488F-9409-8F3B93759A72}">
  <sheetPr>
    <tabColor rgb="FF0070C0"/>
  </sheetPr>
  <dimension ref="A1:N22"/>
  <sheetViews>
    <sheetView topLeftCell="A10" workbookViewId="0">
      <selection activeCell="C3" sqref="C3:N21"/>
    </sheetView>
  </sheetViews>
  <sheetFormatPr defaultRowHeight="15" x14ac:dyDescent="0.25"/>
  <cols>
    <col min="1" max="1" width="24" customWidth="1"/>
    <col min="2" max="2" width="45.85546875" customWidth="1"/>
    <col min="3" max="4" width="10.7109375" customWidth="1"/>
  </cols>
  <sheetData>
    <row r="1" spans="1:14" x14ac:dyDescent="0.25">
      <c r="A1" s="165" t="s">
        <v>13</v>
      </c>
      <c r="B1" s="165" t="s">
        <v>14</v>
      </c>
      <c r="C1" s="186" t="s">
        <v>69</v>
      </c>
      <c r="D1" s="187"/>
      <c r="E1" s="186" t="s">
        <v>70</v>
      </c>
      <c r="F1" s="187"/>
      <c r="G1" s="186" t="s">
        <v>71</v>
      </c>
      <c r="H1" s="187"/>
      <c r="I1" s="186" t="s">
        <v>72</v>
      </c>
      <c r="J1" s="187"/>
      <c r="K1" s="186" t="s">
        <v>73</v>
      </c>
      <c r="L1" s="187"/>
      <c r="M1" s="186" t="s">
        <v>74</v>
      </c>
      <c r="N1" s="187"/>
    </row>
    <row r="2" spans="1:14" x14ac:dyDescent="0.25">
      <c r="A2" s="165"/>
      <c r="B2" s="165"/>
      <c r="C2" s="164" t="s">
        <v>212</v>
      </c>
      <c r="D2" s="164" t="s">
        <v>214</v>
      </c>
      <c r="E2" s="164" t="s">
        <v>212</v>
      </c>
      <c r="F2" s="164" t="s">
        <v>214</v>
      </c>
      <c r="G2" s="164" t="s">
        <v>212</v>
      </c>
      <c r="H2" s="164" t="s">
        <v>214</v>
      </c>
      <c r="I2" s="164" t="s">
        <v>212</v>
      </c>
      <c r="J2" s="164" t="s">
        <v>214</v>
      </c>
      <c r="K2" s="164" t="s">
        <v>212</v>
      </c>
      <c r="L2" s="164" t="s">
        <v>214</v>
      </c>
      <c r="M2" s="164" t="s">
        <v>212</v>
      </c>
      <c r="N2" s="164" t="s">
        <v>214</v>
      </c>
    </row>
    <row r="3" spans="1:14" ht="30" x14ac:dyDescent="0.25">
      <c r="A3" s="166" t="s">
        <v>26</v>
      </c>
      <c r="B3" s="167" t="s">
        <v>27</v>
      </c>
      <c r="C3" s="164">
        <f>IF(rekap!C2=5,0.8,IF(rekap!C2=3,0.6,IF(rekap!C2=1,0.4,0.2)))</f>
        <v>0.4</v>
      </c>
      <c r="D3" s="164">
        <f>IF(rekap!C2=5,0.1,IF(rekap!C2=3,0.3,IF(rekap!C2=1,0.5,0.7)))</f>
        <v>0.5</v>
      </c>
      <c r="E3" s="164">
        <f>IF(rekap!D2=5,0.8,IF(rekap!D2=3,0.6,IF(rekap!D2=1,0.4,0.2)))</f>
        <v>0.4</v>
      </c>
      <c r="F3" s="164">
        <f>IF(rekap!D2=5,0.1,IF(rekap!D2=3,0.3,IF(rekap!D2=1,0.5,0.7)))</f>
        <v>0.5</v>
      </c>
      <c r="G3" s="164">
        <f>IF(rekap!E2=5,0.8,IF(rekap!E2=3,0.6,IF(rekap!E2=1,0.4,0.2)))</f>
        <v>0.4</v>
      </c>
      <c r="H3" s="164">
        <f>IF(rekap!E2=5,0.1,IF(rekap!E2=3,0.3,IF(rekap!E2=1,0.5,0.7)))</f>
        <v>0.5</v>
      </c>
      <c r="I3" s="164">
        <f>IF(rekap!F2=5,0.8,IF(rekap!F2=3,0.6,IF(rekap!F2=1,0.4,0.2)))</f>
        <v>0.2</v>
      </c>
      <c r="J3" s="164">
        <f>IF(rekap!F2=5,0.1,IF(rekap!F2=3,0.3,IF(rekap!F2=1,0.5,0.7)))</f>
        <v>0.7</v>
      </c>
      <c r="K3" s="164">
        <f>IF(rekap!G2=5,0.8,IF(rekap!G2=3,0.6,IF(rekap!G2=1,0.4,0.2)))</f>
        <v>0.2</v>
      </c>
      <c r="L3" s="164">
        <f>IF(rekap!G2=5,0.1,IF(rekap!G2=3,0.3,IF(rekap!G2=1,0.5,0.7)))</f>
        <v>0.7</v>
      </c>
      <c r="M3" s="164">
        <f>IF(rekap!H2=5,0.8,IF(rekap!H2=3,0.6,IF(rekap!H2=1,0.4,0.2)))</f>
        <v>0.4</v>
      </c>
      <c r="N3" s="164">
        <f>IF(rekap!H2=5,0.1,IF(rekap!H2=3,0.3,IF(rekap!H2=1,0.5,0.7)))</f>
        <v>0.5</v>
      </c>
    </row>
    <row r="4" spans="1:14" x14ac:dyDescent="0.25">
      <c r="A4" s="166"/>
      <c r="B4" s="167" t="s">
        <v>28</v>
      </c>
      <c r="C4" s="164">
        <f>IF(rekap!C3=5,0.8,IF(rekap!C3=3,0.6,IF(rekap!C3=1,0.4,0.2)))</f>
        <v>0.2</v>
      </c>
      <c r="D4" s="164">
        <f>IF(rekap!C3=5,0.1,IF(rekap!C3=3,0.3,IF(rekap!C3=1,0.5,0.7)))</f>
        <v>0.7</v>
      </c>
      <c r="E4" s="164">
        <f>IF(rekap!D3=5,0.8,IF(rekap!D3=3,0.6,IF(rekap!D3=1,0.4,0.2)))</f>
        <v>0.2</v>
      </c>
      <c r="F4" s="164">
        <f>IF(rekap!D3=5,0.1,IF(rekap!D3=3,0.3,IF(rekap!D3=1,0.5,0.7)))</f>
        <v>0.7</v>
      </c>
      <c r="G4" s="164">
        <f>IF(rekap!E3=5,0.8,IF(rekap!E3=3,0.6,IF(rekap!E3=1,0.4,0.2)))</f>
        <v>0.2</v>
      </c>
      <c r="H4" s="164">
        <f>IF(rekap!E3=5,0.1,IF(rekap!E3=3,0.3,IF(rekap!E3=1,0.5,0.7)))</f>
        <v>0.7</v>
      </c>
      <c r="I4" s="164">
        <f>IF(rekap!F3=5,0.8,IF(rekap!F3=3,0.6,IF(rekap!F3=1,0.4,0.2)))</f>
        <v>0.2</v>
      </c>
      <c r="J4" s="164">
        <f>IF(rekap!F3=5,0.1,IF(rekap!F3=3,0.3,IF(rekap!F3=1,0.5,0.7)))</f>
        <v>0.7</v>
      </c>
      <c r="K4" s="164">
        <f>IF(rekap!G3=5,0.8,IF(rekap!G3=3,0.6,IF(rekap!G3=1,0.4,0.2)))</f>
        <v>0.2</v>
      </c>
      <c r="L4" s="164">
        <f>IF(rekap!G3=5,0.1,IF(rekap!G3=3,0.3,IF(rekap!G3=1,0.5,0.7)))</f>
        <v>0.7</v>
      </c>
      <c r="M4" s="164">
        <f>IF(rekap!H3=5,0.8,IF(rekap!H3=3,0.6,IF(rekap!H3=1,0.4,0.2)))</f>
        <v>0.2</v>
      </c>
      <c r="N4" s="164">
        <f>IF(rekap!H3=5,0.1,IF(rekap!H3=3,0.3,IF(rekap!H3=1,0.5,0.7)))</f>
        <v>0.7</v>
      </c>
    </row>
    <row r="5" spans="1:14" ht="30" x14ac:dyDescent="0.25">
      <c r="A5" s="166"/>
      <c r="B5" s="167" t="s">
        <v>29</v>
      </c>
      <c r="C5" s="164">
        <f>IF(rekap!C4=5,0.8,IF(rekap!C4=3,0.6,IF(rekap!C4=1,0.4,0.2)))</f>
        <v>0.2</v>
      </c>
      <c r="D5" s="164">
        <f>IF(rekap!C4=5,0.1,IF(rekap!C4=3,0.3,IF(rekap!C4=1,0.5,0.7)))</f>
        <v>0.7</v>
      </c>
      <c r="E5" s="164">
        <f>IF(rekap!D4=5,0.8,IF(rekap!D4=3,0.6,IF(rekap!D4=1,0.4,0.2)))</f>
        <v>0.2</v>
      </c>
      <c r="F5" s="164">
        <f>IF(rekap!D4=5,0.1,IF(rekap!D4=3,0.3,IF(rekap!D4=1,0.5,0.7)))</f>
        <v>0.7</v>
      </c>
      <c r="G5" s="164">
        <f>IF(rekap!E4=5,0.8,IF(rekap!E4=3,0.6,IF(rekap!E4=1,0.4,0.2)))</f>
        <v>0.2</v>
      </c>
      <c r="H5" s="164">
        <f>IF(rekap!E4=5,0.1,IF(rekap!E4=3,0.3,IF(rekap!E4=1,0.5,0.7)))</f>
        <v>0.7</v>
      </c>
      <c r="I5" s="164">
        <f>IF(rekap!F4=5,0.8,IF(rekap!F4=3,0.6,IF(rekap!F4=1,0.4,0.2)))</f>
        <v>0.2</v>
      </c>
      <c r="J5" s="164">
        <f>IF(rekap!F4=5,0.1,IF(rekap!F4=3,0.3,IF(rekap!F4=1,0.5,0.7)))</f>
        <v>0.7</v>
      </c>
      <c r="K5" s="164">
        <f>IF(rekap!G4=5,0.8,IF(rekap!G4=3,0.6,IF(rekap!G4=1,0.4,0.2)))</f>
        <v>0.2</v>
      </c>
      <c r="L5" s="164">
        <f>IF(rekap!G4=5,0.1,IF(rekap!G4=3,0.3,IF(rekap!G4=1,0.5,0.7)))</f>
        <v>0.7</v>
      </c>
      <c r="M5" s="164">
        <f>IF(rekap!H4=5,0.8,IF(rekap!H4=3,0.6,IF(rekap!H4=1,0.4,0.2)))</f>
        <v>0.2</v>
      </c>
      <c r="N5" s="164">
        <f>IF(rekap!H4=5,0.1,IF(rekap!H4=3,0.3,IF(rekap!H4=1,0.5,0.7)))</f>
        <v>0.7</v>
      </c>
    </row>
    <row r="6" spans="1:14" ht="30" x14ac:dyDescent="0.25">
      <c r="A6" s="166" t="s">
        <v>31</v>
      </c>
      <c r="B6" s="167" t="s">
        <v>32</v>
      </c>
      <c r="C6" s="164">
        <f>IF(rekap!C5=5,0.8,IF(rekap!C5=3,0.6,IF(rekap!C5=1,0.4,0.2)))</f>
        <v>0.2</v>
      </c>
      <c r="D6" s="164">
        <f>IF(rekap!C5=5,0.1,IF(rekap!C5=3,0.3,IF(rekap!C5=1,0.5,0.7)))</f>
        <v>0.7</v>
      </c>
      <c r="E6" s="164">
        <f>IF(rekap!D5=5,0.8,IF(rekap!D5=3,0.6,IF(rekap!D5=1,0.4,0.2)))</f>
        <v>0.2</v>
      </c>
      <c r="F6" s="164">
        <f>IF(rekap!D5=5,0.1,IF(rekap!D5=3,0.3,IF(rekap!D5=1,0.5,0.7)))</f>
        <v>0.7</v>
      </c>
      <c r="G6" s="164">
        <f>IF(rekap!E5=5,0.8,IF(rekap!E5=3,0.6,IF(rekap!E5=1,0.4,0.2)))</f>
        <v>0.2</v>
      </c>
      <c r="H6" s="164">
        <f>IF(rekap!E5=5,0.1,IF(rekap!E5=3,0.3,IF(rekap!E5=1,0.5,0.7)))</f>
        <v>0.7</v>
      </c>
      <c r="I6" s="164">
        <f>IF(rekap!F5=5,0.8,IF(rekap!F5=3,0.6,IF(rekap!F5=1,0.4,0.2)))</f>
        <v>0.2</v>
      </c>
      <c r="J6" s="164">
        <f>IF(rekap!F5=5,0.1,IF(rekap!F5=3,0.3,IF(rekap!F5=1,0.5,0.7)))</f>
        <v>0.7</v>
      </c>
      <c r="K6" s="164">
        <f>IF(rekap!G5=5,0.8,IF(rekap!G5=3,0.6,IF(rekap!G5=1,0.4,0.2)))</f>
        <v>0.2</v>
      </c>
      <c r="L6" s="164">
        <f>IF(rekap!G5=5,0.1,IF(rekap!G5=3,0.3,IF(rekap!G5=1,0.5,0.7)))</f>
        <v>0.7</v>
      </c>
      <c r="M6" s="164">
        <f>IF(rekap!H5=5,0.8,IF(rekap!H5=3,0.6,IF(rekap!H5=1,0.4,0.2)))</f>
        <v>0.2</v>
      </c>
      <c r="N6" s="164">
        <f>IF(rekap!H5=5,0.1,IF(rekap!H5=3,0.3,IF(rekap!H5=1,0.5,0.7)))</f>
        <v>0.7</v>
      </c>
    </row>
    <row r="7" spans="1:14" x14ac:dyDescent="0.25">
      <c r="A7" s="166"/>
      <c r="B7" s="167" t="s">
        <v>34</v>
      </c>
      <c r="C7" s="164">
        <f>IF(rekap!C6=5,0.8,IF(rekap!C6=3,0.6,IF(rekap!C6=1,0.4,0.2)))</f>
        <v>0.2</v>
      </c>
      <c r="D7" s="164">
        <f>IF(rekap!C6=5,0.1,IF(rekap!C6=3,0.3,IF(rekap!C6=1,0.5,0.7)))</f>
        <v>0.7</v>
      </c>
      <c r="E7" s="164">
        <f>IF(rekap!D6=5,0.8,IF(rekap!D6=3,0.6,IF(rekap!D6=1,0.4,0.2)))</f>
        <v>0.2</v>
      </c>
      <c r="F7" s="164">
        <f>IF(rekap!D6=5,0.1,IF(rekap!D6=3,0.3,IF(rekap!D6=1,0.5,0.7)))</f>
        <v>0.7</v>
      </c>
      <c r="G7" s="164">
        <f>IF(rekap!E6=5,0.8,IF(rekap!E6=3,0.6,IF(rekap!E6=1,0.4,0.2)))</f>
        <v>0.2</v>
      </c>
      <c r="H7" s="164">
        <f>IF(rekap!E6=5,0.1,IF(rekap!E6=3,0.3,IF(rekap!E6=1,0.5,0.7)))</f>
        <v>0.7</v>
      </c>
      <c r="I7" s="164">
        <f>IF(rekap!F6=5,0.8,IF(rekap!F6=3,0.6,IF(rekap!F6=1,0.4,0.2)))</f>
        <v>0.2</v>
      </c>
      <c r="J7" s="164">
        <f>IF(rekap!F6=5,0.1,IF(rekap!F6=3,0.3,IF(rekap!F6=1,0.5,0.7)))</f>
        <v>0.7</v>
      </c>
      <c r="K7" s="164">
        <f>IF(rekap!G6=5,0.8,IF(rekap!G6=3,0.6,IF(rekap!G6=1,0.4,0.2)))</f>
        <v>0.2</v>
      </c>
      <c r="L7" s="164">
        <f>IF(rekap!G6=5,0.1,IF(rekap!G6=3,0.3,IF(rekap!G6=1,0.5,0.7)))</f>
        <v>0.7</v>
      </c>
      <c r="M7" s="164">
        <f>IF(rekap!H6=5,0.8,IF(rekap!H6=3,0.6,IF(rekap!H6=1,0.4,0.2)))</f>
        <v>0.2</v>
      </c>
      <c r="N7" s="164">
        <f>IF(rekap!H6=5,0.1,IF(rekap!H6=3,0.3,IF(rekap!H6=1,0.5,0.7)))</f>
        <v>0.7</v>
      </c>
    </row>
    <row r="8" spans="1:14" ht="30" x14ac:dyDescent="0.25">
      <c r="A8" s="166" t="s">
        <v>36</v>
      </c>
      <c r="B8" s="167" t="s">
        <v>37</v>
      </c>
      <c r="C8" s="164">
        <f>IF(rekap!C7=5,0.8,IF(rekap!C7=3,0.6,IF(rekap!C7=1,0.4,0.2)))</f>
        <v>0.4</v>
      </c>
      <c r="D8" s="164">
        <f>IF(rekap!C7=5,0.1,IF(rekap!C7=3,0.3,IF(rekap!C7=1,0.5,0.7)))</f>
        <v>0.5</v>
      </c>
      <c r="E8" s="164">
        <f>IF(rekap!D7=5,0.8,IF(rekap!D7=3,0.6,IF(rekap!D7=1,0.4,0.2)))</f>
        <v>0.2</v>
      </c>
      <c r="F8" s="164">
        <f>IF(rekap!D7=5,0.1,IF(rekap!D7=3,0.3,IF(rekap!D7=1,0.5,0.7)))</f>
        <v>0.7</v>
      </c>
      <c r="G8" s="164">
        <f>IF(rekap!E7=5,0.8,IF(rekap!E7=3,0.6,IF(rekap!E7=1,0.4,0.2)))</f>
        <v>0.2</v>
      </c>
      <c r="H8" s="164">
        <f>IF(rekap!E7=5,0.1,IF(rekap!E7=3,0.3,IF(rekap!E7=1,0.5,0.7)))</f>
        <v>0.7</v>
      </c>
      <c r="I8" s="164">
        <f>IF(rekap!F7=5,0.8,IF(rekap!F7=3,0.6,IF(rekap!F7=1,0.4,0.2)))</f>
        <v>0.2</v>
      </c>
      <c r="J8" s="164">
        <f>IF(rekap!F7=5,0.1,IF(rekap!F7=3,0.3,IF(rekap!F7=1,0.5,0.7)))</f>
        <v>0.7</v>
      </c>
      <c r="K8" s="164">
        <f>IF(rekap!G7=5,0.8,IF(rekap!G7=3,0.6,IF(rekap!G7=1,0.4,0.2)))</f>
        <v>0.6</v>
      </c>
      <c r="L8" s="164">
        <f>IF(rekap!G7=5,0.1,IF(rekap!G7=3,0.3,IF(rekap!G7=1,0.5,0.7)))</f>
        <v>0.3</v>
      </c>
      <c r="M8" s="164">
        <f>IF(rekap!H7=5,0.8,IF(rekap!H7=3,0.6,IF(rekap!H7=1,0.4,0.2)))</f>
        <v>0.2</v>
      </c>
      <c r="N8" s="164">
        <f>IF(rekap!H7=5,0.1,IF(rekap!H7=3,0.3,IF(rekap!H7=1,0.5,0.7)))</f>
        <v>0.7</v>
      </c>
    </row>
    <row r="9" spans="1:14" x14ac:dyDescent="0.25">
      <c r="A9" s="166"/>
      <c r="B9" s="167" t="s">
        <v>38</v>
      </c>
      <c r="C9" s="164">
        <f>IF(rekap!C8=5,0.8,IF(rekap!C8=3,0.6,IF(rekap!C8=1,0.4,0.2)))</f>
        <v>0.2</v>
      </c>
      <c r="D9" s="164">
        <f>IF(rekap!C8=5,0.1,IF(rekap!C8=3,0.3,IF(rekap!C8=1,0.5,0.7)))</f>
        <v>0.7</v>
      </c>
      <c r="E9" s="164">
        <f>IF(rekap!D8=5,0.8,IF(rekap!D8=3,0.6,IF(rekap!D8=1,0.4,0.2)))</f>
        <v>0.2</v>
      </c>
      <c r="F9" s="164">
        <f>IF(rekap!D8=5,0.1,IF(rekap!D8=3,0.3,IF(rekap!D8=1,0.5,0.7)))</f>
        <v>0.7</v>
      </c>
      <c r="G9" s="164">
        <f>IF(rekap!E8=5,0.8,IF(rekap!E8=3,0.6,IF(rekap!E8=1,0.4,0.2)))</f>
        <v>0.2</v>
      </c>
      <c r="H9" s="164">
        <f>IF(rekap!E8=5,0.1,IF(rekap!E8=3,0.3,IF(rekap!E8=1,0.5,0.7)))</f>
        <v>0.7</v>
      </c>
      <c r="I9" s="164">
        <f>IF(rekap!F8=5,0.8,IF(rekap!F8=3,0.6,IF(rekap!F8=1,0.4,0.2)))</f>
        <v>0.2</v>
      </c>
      <c r="J9" s="164">
        <f>IF(rekap!F8=5,0.1,IF(rekap!F8=3,0.3,IF(rekap!F8=1,0.5,0.7)))</f>
        <v>0.7</v>
      </c>
      <c r="K9" s="164">
        <f>IF(rekap!G8=5,0.8,IF(rekap!G8=3,0.6,IF(rekap!G8=1,0.4,0.2)))</f>
        <v>0.2</v>
      </c>
      <c r="L9" s="164">
        <f>IF(rekap!G8=5,0.1,IF(rekap!G8=3,0.3,IF(rekap!G8=1,0.5,0.7)))</f>
        <v>0.7</v>
      </c>
      <c r="M9" s="164">
        <f>IF(rekap!H8=5,0.8,IF(rekap!H8=3,0.6,IF(rekap!H8=1,0.4,0.2)))</f>
        <v>0.2</v>
      </c>
      <c r="N9" s="164">
        <f>IF(rekap!H8=5,0.1,IF(rekap!H8=3,0.3,IF(rekap!H8=1,0.5,0.7)))</f>
        <v>0.7</v>
      </c>
    </row>
    <row r="10" spans="1:14" ht="30" x14ac:dyDescent="0.25">
      <c r="A10" s="166" t="s">
        <v>40</v>
      </c>
      <c r="B10" s="167" t="s">
        <v>41</v>
      </c>
      <c r="C10" s="164">
        <f>IF(rekap!C9=5,0.8,IF(rekap!C9=3,0.6,IF(rekap!C9=1,0.4,0.2)))</f>
        <v>0.2</v>
      </c>
      <c r="D10" s="164">
        <f>IF(rekap!C9=5,0.1,IF(rekap!C9=3,0.3,IF(rekap!C9=1,0.5,0.7)))</f>
        <v>0.7</v>
      </c>
      <c r="E10" s="164">
        <f>IF(rekap!D9=5,0.8,IF(rekap!D9=3,0.6,IF(rekap!D9=1,0.4,0.2)))</f>
        <v>0.2</v>
      </c>
      <c r="F10" s="164">
        <f>IF(rekap!D9=5,0.1,IF(rekap!D9=3,0.3,IF(rekap!D9=1,0.5,0.7)))</f>
        <v>0.7</v>
      </c>
      <c r="G10" s="164">
        <f>IF(rekap!E9=5,0.8,IF(rekap!E9=3,0.6,IF(rekap!E9=1,0.4,0.2)))</f>
        <v>0.2</v>
      </c>
      <c r="H10" s="164">
        <f>IF(rekap!E9=5,0.1,IF(rekap!E9=3,0.3,IF(rekap!E9=1,0.5,0.7)))</f>
        <v>0.7</v>
      </c>
      <c r="I10" s="164">
        <f>IF(rekap!F9=5,0.8,IF(rekap!F9=3,0.6,IF(rekap!F9=1,0.4,0.2)))</f>
        <v>0.2</v>
      </c>
      <c r="J10" s="164">
        <f>IF(rekap!F9=5,0.1,IF(rekap!F9=3,0.3,IF(rekap!F9=1,0.5,0.7)))</f>
        <v>0.7</v>
      </c>
      <c r="K10" s="164">
        <f>IF(rekap!G9=5,0.8,IF(rekap!G9=3,0.6,IF(rekap!G9=1,0.4,0.2)))</f>
        <v>0.2</v>
      </c>
      <c r="L10" s="164">
        <f>IF(rekap!G9=5,0.1,IF(rekap!G9=3,0.3,IF(rekap!G9=1,0.5,0.7)))</f>
        <v>0.7</v>
      </c>
      <c r="M10" s="164">
        <f>IF(rekap!H9=5,0.8,IF(rekap!H9=3,0.6,IF(rekap!H9=1,0.4,0.2)))</f>
        <v>0.2</v>
      </c>
      <c r="N10" s="164">
        <f>IF(rekap!H9=5,0.1,IF(rekap!H9=3,0.3,IF(rekap!H9=1,0.5,0.7)))</f>
        <v>0.7</v>
      </c>
    </row>
    <row r="11" spans="1:14" x14ac:dyDescent="0.25">
      <c r="A11" s="166"/>
      <c r="B11" s="167" t="s">
        <v>42</v>
      </c>
      <c r="C11" s="164">
        <f>IF(rekap!C10=5,0.8,IF(rekap!C10=3,0.6,IF(rekap!C10=1,0.4,0.2)))</f>
        <v>0.4</v>
      </c>
      <c r="D11" s="164">
        <f>IF(rekap!C10=5,0.1,IF(rekap!C10=3,0.3,IF(rekap!C10=1,0.5,0.7)))</f>
        <v>0.5</v>
      </c>
      <c r="E11" s="164">
        <f>IF(rekap!D10=5,0.8,IF(rekap!D10=3,0.6,IF(rekap!D10=1,0.4,0.2)))</f>
        <v>0.2</v>
      </c>
      <c r="F11" s="164">
        <f>IF(rekap!D10=5,0.1,IF(rekap!D10=3,0.3,IF(rekap!D10=1,0.5,0.7)))</f>
        <v>0.7</v>
      </c>
      <c r="G11" s="164">
        <f>IF(rekap!E10=5,0.8,IF(rekap!E10=3,0.6,IF(rekap!E10=1,0.4,0.2)))</f>
        <v>0.2</v>
      </c>
      <c r="H11" s="164">
        <f>IF(rekap!E10=5,0.1,IF(rekap!E10=3,0.3,IF(rekap!E10=1,0.5,0.7)))</f>
        <v>0.7</v>
      </c>
      <c r="I11" s="164">
        <f>IF(rekap!F10=5,0.8,IF(rekap!F10=3,0.6,IF(rekap!F10=1,0.4,0.2)))</f>
        <v>0.2</v>
      </c>
      <c r="J11" s="164">
        <f>IF(rekap!F10=5,0.1,IF(rekap!F10=3,0.3,IF(rekap!F10=1,0.5,0.7)))</f>
        <v>0.7</v>
      </c>
      <c r="K11" s="164">
        <f>IF(rekap!G10=5,0.8,IF(rekap!G10=3,0.6,IF(rekap!G10=1,0.4,0.2)))</f>
        <v>0.2</v>
      </c>
      <c r="L11" s="164">
        <f>IF(rekap!G10=5,0.1,IF(rekap!G10=3,0.3,IF(rekap!G10=1,0.5,0.7)))</f>
        <v>0.7</v>
      </c>
      <c r="M11" s="164">
        <f>IF(rekap!H10=5,0.8,IF(rekap!H10=3,0.6,IF(rekap!H10=1,0.4,0.2)))</f>
        <v>0.2</v>
      </c>
      <c r="N11" s="164">
        <f>IF(rekap!H10=5,0.1,IF(rekap!H10=3,0.3,IF(rekap!H10=1,0.5,0.7)))</f>
        <v>0.7</v>
      </c>
    </row>
    <row r="12" spans="1:14" x14ac:dyDescent="0.25">
      <c r="A12" s="166"/>
      <c r="B12" s="167" t="s">
        <v>43</v>
      </c>
      <c r="C12" s="164">
        <f>IF(rekap!C11=5,0.8,IF(rekap!C11=3,0.6,IF(rekap!C11=1,0.4,0.2)))</f>
        <v>0.2</v>
      </c>
      <c r="D12" s="164">
        <f>IF(rekap!C11=5,0.1,IF(rekap!C11=3,0.3,IF(rekap!C11=1,0.5,0.7)))</f>
        <v>0.7</v>
      </c>
      <c r="E12" s="164">
        <f>IF(rekap!D11=5,0.8,IF(rekap!D11=3,0.6,IF(rekap!D11=1,0.4,0.2)))</f>
        <v>0.2</v>
      </c>
      <c r="F12" s="164">
        <f>IF(rekap!D11=5,0.1,IF(rekap!D11=3,0.3,IF(rekap!D11=1,0.5,0.7)))</f>
        <v>0.7</v>
      </c>
      <c r="G12" s="164">
        <f>IF(rekap!E11=5,0.8,IF(rekap!E11=3,0.6,IF(rekap!E11=1,0.4,0.2)))</f>
        <v>0.2</v>
      </c>
      <c r="H12" s="164">
        <f>IF(rekap!E11=5,0.1,IF(rekap!E11=3,0.3,IF(rekap!E11=1,0.5,0.7)))</f>
        <v>0.7</v>
      </c>
      <c r="I12" s="164">
        <f>IF(rekap!F11=5,0.8,IF(rekap!F11=3,0.6,IF(rekap!F11=1,0.4,0.2)))</f>
        <v>0.2</v>
      </c>
      <c r="J12" s="164">
        <f>IF(rekap!F11=5,0.1,IF(rekap!F11=3,0.3,IF(rekap!F11=1,0.5,0.7)))</f>
        <v>0.7</v>
      </c>
      <c r="K12" s="164">
        <f>IF(rekap!G11=5,0.8,IF(rekap!G11=3,0.6,IF(rekap!G11=1,0.4,0.2)))</f>
        <v>0.2</v>
      </c>
      <c r="L12" s="164">
        <f>IF(rekap!G11=5,0.1,IF(rekap!G11=3,0.3,IF(rekap!G11=1,0.5,0.7)))</f>
        <v>0.7</v>
      </c>
      <c r="M12" s="164">
        <f>IF(rekap!H11=5,0.8,IF(rekap!H11=3,0.6,IF(rekap!H11=1,0.4,0.2)))</f>
        <v>0.2</v>
      </c>
      <c r="N12" s="164">
        <f>IF(rekap!H11=5,0.1,IF(rekap!H11=3,0.3,IF(rekap!H11=1,0.5,0.7)))</f>
        <v>0.7</v>
      </c>
    </row>
    <row r="13" spans="1:14" x14ac:dyDescent="0.25">
      <c r="A13" s="166"/>
      <c r="B13" s="167" t="s">
        <v>44</v>
      </c>
      <c r="C13" s="164">
        <f>IF(rekap!C12=5,0.8,IF(rekap!C12=3,0.6,IF(rekap!C12=1,0.4,0.2)))</f>
        <v>0.4</v>
      </c>
      <c r="D13" s="164">
        <f>IF(rekap!C12=5,0.1,IF(rekap!C12=3,0.3,IF(rekap!C12=1,0.5,0.7)))</f>
        <v>0.5</v>
      </c>
      <c r="E13" s="164">
        <f>IF(rekap!D12=5,0.8,IF(rekap!D12=3,0.6,IF(rekap!D12=1,0.4,0.2)))</f>
        <v>0.4</v>
      </c>
      <c r="F13" s="164">
        <f>IF(rekap!D12=5,0.1,IF(rekap!D12=3,0.3,IF(rekap!D12=1,0.5,0.7)))</f>
        <v>0.5</v>
      </c>
      <c r="G13" s="164">
        <f>IF(rekap!E12=5,0.8,IF(rekap!E12=3,0.6,IF(rekap!E12=1,0.4,0.2)))</f>
        <v>0.6</v>
      </c>
      <c r="H13" s="164">
        <f>IF(rekap!E12=5,0.1,IF(rekap!E12=3,0.3,IF(rekap!E12=1,0.5,0.7)))</f>
        <v>0.3</v>
      </c>
      <c r="I13" s="164">
        <f>IF(rekap!F12=5,0.8,IF(rekap!F12=3,0.6,IF(rekap!F12=1,0.4,0.2)))</f>
        <v>0.8</v>
      </c>
      <c r="J13" s="164">
        <f>IF(rekap!F12=5,0.1,IF(rekap!F12=3,0.3,IF(rekap!F12=1,0.5,0.7)))</f>
        <v>0.1</v>
      </c>
      <c r="K13" s="164">
        <f>IF(rekap!G12=5,0.8,IF(rekap!G12=3,0.6,IF(rekap!G12=1,0.4,0.2)))</f>
        <v>0.8</v>
      </c>
      <c r="L13" s="164">
        <f>IF(rekap!G12=5,0.1,IF(rekap!G12=3,0.3,IF(rekap!G12=1,0.5,0.7)))</f>
        <v>0.1</v>
      </c>
      <c r="M13" s="164">
        <f>IF(rekap!H12=5,0.8,IF(rekap!H12=3,0.6,IF(rekap!H12=1,0.4,0.2)))</f>
        <v>0.6</v>
      </c>
      <c r="N13" s="164">
        <f>IF(rekap!H12=5,0.1,IF(rekap!H12=3,0.3,IF(rekap!H12=1,0.5,0.7)))</f>
        <v>0.3</v>
      </c>
    </row>
    <row r="14" spans="1:14" x14ac:dyDescent="0.25">
      <c r="A14" s="166"/>
      <c r="B14" s="167" t="s">
        <v>45</v>
      </c>
      <c r="C14" s="164">
        <f>IF(rekap!C13=5,0.8,IF(rekap!C13=3,0.6,IF(rekap!C13=1,0.4,0.2)))</f>
        <v>0.2</v>
      </c>
      <c r="D14" s="164">
        <f>IF(rekap!C13=5,0.1,IF(rekap!C13=3,0.3,IF(rekap!C13=1,0.5,0.7)))</f>
        <v>0.7</v>
      </c>
      <c r="E14" s="164">
        <f>IF(rekap!D13=5,0.8,IF(rekap!D13=3,0.6,IF(rekap!D13=1,0.4,0.2)))</f>
        <v>0.2</v>
      </c>
      <c r="F14" s="164">
        <f>IF(rekap!D13=5,0.1,IF(rekap!D13=3,0.3,IF(rekap!D13=1,0.5,0.7)))</f>
        <v>0.7</v>
      </c>
      <c r="G14" s="164">
        <f>IF(rekap!E13=5,0.8,IF(rekap!E13=3,0.6,IF(rekap!E13=1,0.4,0.2)))</f>
        <v>0.4</v>
      </c>
      <c r="H14" s="164">
        <f>IF(rekap!E13=5,0.1,IF(rekap!E13=3,0.3,IF(rekap!E13=1,0.5,0.7)))</f>
        <v>0.5</v>
      </c>
      <c r="I14" s="164">
        <f>IF(rekap!F13=5,0.8,IF(rekap!F13=3,0.6,IF(rekap!F13=1,0.4,0.2)))</f>
        <v>0.2</v>
      </c>
      <c r="J14" s="164">
        <f>IF(rekap!F13=5,0.1,IF(rekap!F13=3,0.3,IF(rekap!F13=1,0.5,0.7)))</f>
        <v>0.7</v>
      </c>
      <c r="K14" s="164">
        <f>IF(rekap!G13=5,0.8,IF(rekap!G13=3,0.6,IF(rekap!G13=1,0.4,0.2)))</f>
        <v>0.2</v>
      </c>
      <c r="L14" s="164">
        <f>IF(rekap!G13=5,0.1,IF(rekap!G13=3,0.3,IF(rekap!G13=1,0.5,0.7)))</f>
        <v>0.7</v>
      </c>
      <c r="M14" s="164">
        <f>IF(rekap!H13=5,0.8,IF(rekap!H13=3,0.6,IF(rekap!H13=1,0.4,0.2)))</f>
        <v>0.2</v>
      </c>
      <c r="N14" s="164">
        <f>IF(rekap!H13=5,0.1,IF(rekap!H13=3,0.3,IF(rekap!H13=1,0.5,0.7)))</f>
        <v>0.7</v>
      </c>
    </row>
    <row r="15" spans="1:14" ht="30" x14ac:dyDescent="0.25">
      <c r="A15" s="166" t="s">
        <v>47</v>
      </c>
      <c r="B15" s="167" t="s">
        <v>48</v>
      </c>
      <c r="C15" s="164">
        <f>IF(rekap!C14=5,0.8,IF(rekap!C14=3,0.6,IF(rekap!C14=1,0.4,0.2)))</f>
        <v>0.2</v>
      </c>
      <c r="D15" s="164">
        <f>IF(rekap!C14=5,0.1,IF(rekap!C14=3,0.3,IF(rekap!C14=1,0.5,0.7)))</f>
        <v>0.7</v>
      </c>
      <c r="E15" s="164">
        <f>IF(rekap!D14=5,0.8,IF(rekap!D14=3,0.6,IF(rekap!D14=1,0.4,0.2)))</f>
        <v>0.2</v>
      </c>
      <c r="F15" s="164">
        <f>IF(rekap!D14=5,0.1,IF(rekap!D14=3,0.3,IF(rekap!D14=1,0.5,0.7)))</f>
        <v>0.7</v>
      </c>
      <c r="G15" s="164">
        <f>IF(rekap!E14=5,0.8,IF(rekap!E14=3,0.6,IF(rekap!E14=1,0.4,0.2)))</f>
        <v>0.2</v>
      </c>
      <c r="H15" s="164">
        <f>IF(rekap!E14=5,0.1,IF(rekap!E14=3,0.3,IF(rekap!E14=1,0.5,0.7)))</f>
        <v>0.7</v>
      </c>
      <c r="I15" s="164">
        <f>IF(rekap!F14=5,0.8,IF(rekap!F14=3,0.6,IF(rekap!F14=1,0.4,0.2)))</f>
        <v>0.2</v>
      </c>
      <c r="J15" s="164">
        <f>IF(rekap!F14=5,0.1,IF(rekap!F14=3,0.3,IF(rekap!F14=1,0.5,0.7)))</f>
        <v>0.7</v>
      </c>
      <c r="K15" s="164">
        <f>IF(rekap!G14=5,0.8,IF(rekap!G14=3,0.6,IF(rekap!G14=1,0.4,0.2)))</f>
        <v>0.2</v>
      </c>
      <c r="L15" s="164">
        <f>IF(rekap!G14=5,0.1,IF(rekap!G14=3,0.3,IF(rekap!G14=1,0.5,0.7)))</f>
        <v>0.7</v>
      </c>
      <c r="M15" s="164">
        <f>IF(rekap!H14=5,0.8,IF(rekap!H14=3,0.6,IF(rekap!H14=1,0.4,0.2)))</f>
        <v>0.2</v>
      </c>
      <c r="N15" s="164">
        <f>IF(rekap!H14=5,0.1,IF(rekap!H14=3,0.3,IF(rekap!H14=1,0.5,0.7)))</f>
        <v>0.7</v>
      </c>
    </row>
    <row r="16" spans="1:14" ht="30" x14ac:dyDescent="0.25">
      <c r="A16" s="166"/>
      <c r="B16" s="167" t="s">
        <v>49</v>
      </c>
      <c r="C16" s="164">
        <f>IF(rekap!C15=5,0.8,IF(rekap!C15=3,0.6,IF(rekap!C15=1,0.4,0.2)))</f>
        <v>0.2</v>
      </c>
      <c r="D16" s="164">
        <f>IF(rekap!C15=5,0.1,IF(rekap!C15=3,0.3,IF(rekap!C15=1,0.5,0.7)))</f>
        <v>0.7</v>
      </c>
      <c r="E16" s="164">
        <f>IF(rekap!D15=5,0.8,IF(rekap!D15=3,0.6,IF(rekap!D15=1,0.4,0.2)))</f>
        <v>0.2</v>
      </c>
      <c r="F16" s="164">
        <f>IF(rekap!D15=5,0.1,IF(rekap!D15=3,0.3,IF(rekap!D15=1,0.5,0.7)))</f>
        <v>0.7</v>
      </c>
      <c r="G16" s="164">
        <f>IF(rekap!E15=5,0.8,IF(rekap!E15=3,0.6,IF(rekap!E15=1,0.4,0.2)))</f>
        <v>0.2</v>
      </c>
      <c r="H16" s="164">
        <f>IF(rekap!E15=5,0.1,IF(rekap!E15=3,0.3,IF(rekap!E15=1,0.5,0.7)))</f>
        <v>0.7</v>
      </c>
      <c r="I16" s="164">
        <f>IF(rekap!F15=5,0.8,IF(rekap!F15=3,0.6,IF(rekap!F15=1,0.4,0.2)))</f>
        <v>0.2</v>
      </c>
      <c r="J16" s="164">
        <f>IF(rekap!F15=5,0.1,IF(rekap!F15=3,0.3,IF(rekap!F15=1,0.5,0.7)))</f>
        <v>0.7</v>
      </c>
      <c r="K16" s="164">
        <f>IF(rekap!G15=5,0.8,IF(rekap!G15=3,0.6,IF(rekap!G15=1,0.4,0.2)))</f>
        <v>0.2</v>
      </c>
      <c r="L16" s="164">
        <f>IF(rekap!G15=5,0.1,IF(rekap!G15=3,0.3,IF(rekap!G15=1,0.5,0.7)))</f>
        <v>0.7</v>
      </c>
      <c r="M16" s="164">
        <f>IF(rekap!H15=5,0.8,IF(rekap!H15=3,0.6,IF(rekap!H15=1,0.4,0.2)))</f>
        <v>0.2</v>
      </c>
      <c r="N16" s="164">
        <f>IF(rekap!H15=5,0.1,IF(rekap!H15=3,0.3,IF(rekap!H15=1,0.5,0.7)))</f>
        <v>0.7</v>
      </c>
    </row>
    <row r="17" spans="1:14" ht="30" x14ac:dyDescent="0.25">
      <c r="A17" s="166" t="s">
        <v>51</v>
      </c>
      <c r="B17" s="167" t="s">
        <v>52</v>
      </c>
      <c r="C17" s="164">
        <f>IF(rekap!C16=5,0.8,IF(rekap!C16=3,0.6,IF(rekap!C16=1,0.4,0.2)))</f>
        <v>0.4</v>
      </c>
      <c r="D17" s="164">
        <f>IF(rekap!C16=5,0.1,IF(rekap!C16=3,0.3,IF(rekap!C16=1,0.5,0.7)))</f>
        <v>0.5</v>
      </c>
      <c r="E17" s="164">
        <f>IF(rekap!D16=5,0.8,IF(rekap!D16=3,0.6,IF(rekap!D16=1,0.4,0.2)))</f>
        <v>0.8</v>
      </c>
      <c r="F17" s="164">
        <f>IF(rekap!D16=5,0.1,IF(rekap!D16=3,0.3,IF(rekap!D16=1,0.5,0.7)))</f>
        <v>0.1</v>
      </c>
      <c r="G17" s="164">
        <f>IF(rekap!E16=5,0.8,IF(rekap!E16=3,0.6,IF(rekap!E16=1,0.4,0.2)))</f>
        <v>0.4</v>
      </c>
      <c r="H17" s="164">
        <f>IF(rekap!E16=5,0.1,IF(rekap!E16=3,0.3,IF(rekap!E16=1,0.5,0.7)))</f>
        <v>0.5</v>
      </c>
      <c r="I17" s="164">
        <f>IF(rekap!F16=5,0.8,IF(rekap!F16=3,0.6,IF(rekap!F16=1,0.4,0.2)))</f>
        <v>0.6</v>
      </c>
      <c r="J17" s="164">
        <f>IF(rekap!F16=5,0.1,IF(rekap!F16=3,0.3,IF(rekap!F16=1,0.5,0.7)))</f>
        <v>0.3</v>
      </c>
      <c r="K17" s="164">
        <f>IF(rekap!G16=5,0.8,IF(rekap!G16=3,0.6,IF(rekap!G16=1,0.4,0.2)))</f>
        <v>0.2</v>
      </c>
      <c r="L17" s="164">
        <f>IF(rekap!G16=5,0.1,IF(rekap!G16=3,0.3,IF(rekap!G16=1,0.5,0.7)))</f>
        <v>0.7</v>
      </c>
      <c r="M17" s="164">
        <f>IF(rekap!H16=5,0.8,IF(rekap!H16=3,0.6,IF(rekap!H16=1,0.4,0.2)))</f>
        <v>0.6</v>
      </c>
      <c r="N17" s="164">
        <f>IF(rekap!H16=5,0.1,IF(rekap!H16=3,0.3,IF(rekap!H16=1,0.5,0.7)))</f>
        <v>0.3</v>
      </c>
    </row>
    <row r="18" spans="1:14" ht="30" x14ac:dyDescent="0.25">
      <c r="A18" s="166"/>
      <c r="B18" s="167" t="s">
        <v>53</v>
      </c>
      <c r="C18" s="164">
        <f>IF(rekap!C17=5,0.8,IF(rekap!C17=3,0.6,IF(rekap!C17=1,0.4,0.2)))</f>
        <v>0.2</v>
      </c>
      <c r="D18" s="164">
        <f>IF(rekap!C17=5,0.1,IF(rekap!C17=3,0.3,IF(rekap!C17=1,0.5,0.7)))</f>
        <v>0.7</v>
      </c>
      <c r="E18" s="164">
        <f>IF(rekap!D17=5,0.8,IF(rekap!D17=3,0.6,IF(rekap!D17=1,0.4,0.2)))</f>
        <v>0.6</v>
      </c>
      <c r="F18" s="164">
        <f>IF(rekap!D17=5,0.1,IF(rekap!D17=3,0.3,IF(rekap!D17=1,0.5,0.7)))</f>
        <v>0.3</v>
      </c>
      <c r="G18" s="164">
        <f>IF(rekap!E17=5,0.8,IF(rekap!E17=3,0.6,IF(rekap!E17=1,0.4,0.2)))</f>
        <v>0.6</v>
      </c>
      <c r="H18" s="164">
        <f>IF(rekap!E17=5,0.1,IF(rekap!E17=3,0.3,IF(rekap!E17=1,0.5,0.7)))</f>
        <v>0.3</v>
      </c>
      <c r="I18" s="164">
        <f>IF(rekap!F17=5,0.8,IF(rekap!F17=3,0.6,IF(rekap!F17=1,0.4,0.2)))</f>
        <v>0.2</v>
      </c>
      <c r="J18" s="164">
        <f>IF(rekap!F17=5,0.1,IF(rekap!F17=3,0.3,IF(rekap!F17=1,0.5,0.7)))</f>
        <v>0.7</v>
      </c>
      <c r="K18" s="164">
        <f>IF(rekap!G17=5,0.8,IF(rekap!G17=3,0.6,IF(rekap!G17=1,0.4,0.2)))</f>
        <v>0.2</v>
      </c>
      <c r="L18" s="164">
        <f>IF(rekap!G17=5,0.1,IF(rekap!G17=3,0.3,IF(rekap!G17=1,0.5,0.7)))</f>
        <v>0.7</v>
      </c>
      <c r="M18" s="164">
        <f>IF(rekap!H17=5,0.8,IF(rekap!H17=3,0.6,IF(rekap!H17=1,0.4,0.2)))</f>
        <v>0.6</v>
      </c>
      <c r="N18" s="164">
        <f>IF(rekap!H17=5,0.1,IF(rekap!H17=3,0.3,IF(rekap!H17=1,0.5,0.7)))</f>
        <v>0.3</v>
      </c>
    </row>
    <row r="19" spans="1:14" ht="30" x14ac:dyDescent="0.25">
      <c r="A19" s="166"/>
      <c r="B19" s="167" t="s">
        <v>54</v>
      </c>
      <c r="C19" s="164">
        <f>IF(rekap!C18=5,0.8,IF(rekap!C18=3,0.6,IF(rekap!C18=1,0.4,0.2)))</f>
        <v>0.8</v>
      </c>
      <c r="D19" s="164">
        <f>IF(rekap!C18=5,0.1,IF(rekap!C18=3,0.3,IF(rekap!C18=1,0.5,0.7)))</f>
        <v>0.1</v>
      </c>
      <c r="E19" s="164">
        <f>IF(rekap!D18=5,0.8,IF(rekap!D18=3,0.6,IF(rekap!D18=1,0.4,0.2)))</f>
        <v>0.8</v>
      </c>
      <c r="F19" s="164">
        <f>IF(rekap!D18=5,0.1,IF(rekap!D18=3,0.3,IF(rekap!D18=1,0.5,0.7)))</f>
        <v>0.1</v>
      </c>
      <c r="G19" s="164">
        <f>IF(rekap!E18=5,0.8,IF(rekap!E18=3,0.6,IF(rekap!E18=1,0.4,0.2)))</f>
        <v>0.4</v>
      </c>
      <c r="H19" s="164">
        <f>IF(rekap!E18=5,0.1,IF(rekap!E18=3,0.3,IF(rekap!E18=1,0.5,0.7)))</f>
        <v>0.5</v>
      </c>
      <c r="I19" s="164">
        <f>IF(rekap!F18=5,0.8,IF(rekap!F18=3,0.6,IF(rekap!F18=1,0.4,0.2)))</f>
        <v>0.4</v>
      </c>
      <c r="J19" s="164">
        <f>IF(rekap!F18=5,0.1,IF(rekap!F18=3,0.3,IF(rekap!F18=1,0.5,0.7)))</f>
        <v>0.5</v>
      </c>
      <c r="K19" s="164">
        <f>IF(rekap!G18=5,0.8,IF(rekap!G18=3,0.6,IF(rekap!G18=1,0.4,0.2)))</f>
        <v>0.2</v>
      </c>
      <c r="L19" s="164">
        <f>IF(rekap!G18=5,0.1,IF(rekap!G18=3,0.3,IF(rekap!G18=1,0.5,0.7)))</f>
        <v>0.7</v>
      </c>
      <c r="M19" s="164">
        <f>IF(rekap!H18=5,0.8,IF(rekap!H18=3,0.6,IF(rekap!H18=1,0.4,0.2)))</f>
        <v>0.4</v>
      </c>
      <c r="N19" s="164">
        <f>IF(rekap!H18=5,0.1,IF(rekap!H18=3,0.3,IF(rekap!H18=1,0.5,0.7)))</f>
        <v>0.5</v>
      </c>
    </row>
    <row r="20" spans="1:14" ht="30" x14ac:dyDescent="0.25">
      <c r="A20" s="166" t="s">
        <v>56</v>
      </c>
      <c r="B20" s="168" t="s">
        <v>57</v>
      </c>
      <c r="C20" s="164">
        <f>IF(rekap!C19=5,0.8,IF(rekap!C19=3,0.6,IF(rekap!C19=1,0.4,0.2)))</f>
        <v>0.2</v>
      </c>
      <c r="D20" s="164">
        <f>IF(rekap!C19=5,0.1,IF(rekap!C19=3,0.3,IF(rekap!C19=1,0.5,0.7)))</f>
        <v>0.7</v>
      </c>
      <c r="E20" s="164">
        <f>IF(rekap!D19=5,0.8,IF(rekap!D19=3,0.6,IF(rekap!D19=1,0.4,0.2)))</f>
        <v>0.2</v>
      </c>
      <c r="F20" s="164">
        <f>IF(rekap!D19=5,0.1,IF(rekap!D19=3,0.3,IF(rekap!D19=1,0.5,0.7)))</f>
        <v>0.7</v>
      </c>
      <c r="G20" s="164">
        <f>IF(rekap!E19=5,0.8,IF(rekap!E19=3,0.6,IF(rekap!E19=1,0.4,0.2)))</f>
        <v>0.2</v>
      </c>
      <c r="H20" s="164">
        <f>IF(rekap!E19=5,0.1,IF(rekap!E19=3,0.3,IF(rekap!E19=1,0.5,0.7)))</f>
        <v>0.7</v>
      </c>
      <c r="I20" s="164">
        <f>IF(rekap!F19=5,0.8,IF(rekap!F19=3,0.6,IF(rekap!F19=1,0.4,0.2)))</f>
        <v>0.2</v>
      </c>
      <c r="J20" s="164">
        <f>IF(rekap!F19=5,0.1,IF(rekap!F19=3,0.3,IF(rekap!F19=1,0.5,0.7)))</f>
        <v>0.7</v>
      </c>
      <c r="K20" s="164">
        <f>IF(rekap!G19=5,0.8,IF(rekap!G19=3,0.6,IF(rekap!G19=1,0.4,0.2)))</f>
        <v>0.2</v>
      </c>
      <c r="L20" s="164">
        <f>IF(rekap!G19=5,0.1,IF(rekap!G19=3,0.3,IF(rekap!G19=1,0.5,0.7)))</f>
        <v>0.7</v>
      </c>
      <c r="M20" s="164">
        <f>IF(rekap!H19=5,0.8,IF(rekap!H19=3,0.6,IF(rekap!H19=1,0.4,0.2)))</f>
        <v>0.2</v>
      </c>
      <c r="N20" s="164">
        <f>IF(rekap!H19=5,0.1,IF(rekap!H19=3,0.3,IF(rekap!H19=1,0.5,0.7)))</f>
        <v>0.7</v>
      </c>
    </row>
    <row r="21" spans="1:14" x14ac:dyDescent="0.25">
      <c r="A21" s="166"/>
      <c r="B21" s="168" t="s">
        <v>58</v>
      </c>
      <c r="C21" s="164">
        <f>IF(rekap!C20=5,0.8,IF(rekap!C20=3,0.6,IF(rekap!C20=1,0.4,0.2)))</f>
        <v>0.6</v>
      </c>
      <c r="D21" s="164">
        <f>IF(rekap!C20=5,0.1,IF(rekap!C20=3,0.3,IF(rekap!C20=1,0.5,0.7)))</f>
        <v>0.3</v>
      </c>
      <c r="E21" s="164">
        <f>IF(rekap!D20=5,0.8,IF(rekap!D20=3,0.6,IF(rekap!D20=1,0.4,0.2)))</f>
        <v>0.8</v>
      </c>
      <c r="F21" s="164">
        <f>IF(rekap!D20=5,0.1,IF(rekap!D20=3,0.3,IF(rekap!D20=1,0.5,0.7)))</f>
        <v>0.1</v>
      </c>
      <c r="G21" s="164">
        <f>IF(rekap!E20=5,0.8,IF(rekap!E20=3,0.6,IF(rekap!E20=1,0.4,0.2)))</f>
        <v>0.2</v>
      </c>
      <c r="H21" s="164">
        <f>IF(rekap!E20=5,0.1,IF(rekap!E20=3,0.3,IF(rekap!E20=1,0.5,0.7)))</f>
        <v>0.7</v>
      </c>
      <c r="I21" s="164">
        <f>IF(rekap!F20=5,0.8,IF(rekap!F20=3,0.6,IF(rekap!F20=1,0.4,0.2)))</f>
        <v>0.8</v>
      </c>
      <c r="J21" s="164">
        <f>IF(rekap!F20=5,0.1,IF(rekap!F20=3,0.3,IF(rekap!F20=1,0.5,0.7)))</f>
        <v>0.1</v>
      </c>
      <c r="K21" s="164">
        <f>IF(rekap!G20=5,0.8,IF(rekap!G20=3,0.6,IF(rekap!G20=1,0.4,0.2)))</f>
        <v>0.2</v>
      </c>
      <c r="L21" s="164">
        <f>IF(rekap!G20=5,0.1,IF(rekap!G20=3,0.3,IF(rekap!G20=1,0.5,0.7)))</f>
        <v>0.7</v>
      </c>
      <c r="M21" s="164">
        <f>IF(rekap!H20=5,0.8,IF(rekap!H20=3,0.6,IF(rekap!H20=1,0.4,0.2)))</f>
        <v>0.8</v>
      </c>
      <c r="N21" s="164">
        <f>IF(rekap!H20=5,0.1,IF(rekap!H20=3,0.3,IF(rekap!H20=1,0.5,0.7)))</f>
        <v>0.1</v>
      </c>
    </row>
    <row r="22" spans="1:14" ht="15.75" thickBot="1" x14ac:dyDescent="0.3">
      <c r="A22" s="162"/>
      <c r="B22" s="163"/>
      <c r="C22">
        <f>SUM(C3:C21)</f>
        <v>5.8000000000000007</v>
      </c>
      <c r="E22">
        <f t="shared" ref="E22:N22" si="0">SUM(E3:E21)</f>
        <v>6.3999999999999995</v>
      </c>
      <c r="G22">
        <f t="shared" si="0"/>
        <v>5.4</v>
      </c>
      <c r="I22">
        <f t="shared" si="0"/>
        <v>5.6000000000000005</v>
      </c>
      <c r="K22">
        <f t="shared" si="0"/>
        <v>4.8000000000000016</v>
      </c>
      <c r="M22">
        <f t="shared" si="0"/>
        <v>6</v>
      </c>
      <c r="N22">
        <f t="shared" si="0"/>
        <v>11.1</v>
      </c>
    </row>
  </sheetData>
  <mergeCells count="6">
    <mergeCell ref="M1:N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E9711-2DEF-4222-8FB5-E5DDBBE8B332}">
  <sheetPr>
    <tabColor rgb="FF0070C0"/>
  </sheetPr>
  <dimension ref="A1:T33"/>
  <sheetViews>
    <sheetView workbookViewId="0">
      <selection activeCell="C2" sqref="C2"/>
    </sheetView>
  </sheetViews>
  <sheetFormatPr defaultRowHeight="15" x14ac:dyDescent="0.25"/>
  <cols>
    <col min="1" max="1" width="24" customWidth="1"/>
    <col min="2" max="2" width="45.85546875" customWidth="1"/>
    <col min="3" max="3" width="10.7109375" customWidth="1"/>
  </cols>
  <sheetData>
    <row r="1" spans="1:20" x14ac:dyDescent="0.25">
      <c r="A1" s="165" t="s">
        <v>13</v>
      </c>
      <c r="B1" s="165" t="s">
        <v>14</v>
      </c>
      <c r="C1" s="164" t="s">
        <v>69</v>
      </c>
      <c r="D1" s="164" t="s">
        <v>70</v>
      </c>
      <c r="E1" s="164" t="s">
        <v>71</v>
      </c>
      <c r="F1" s="164" t="s">
        <v>72</v>
      </c>
      <c r="G1" s="164" t="s">
        <v>73</v>
      </c>
      <c r="H1" s="164" t="s">
        <v>74</v>
      </c>
      <c r="I1" s="164" t="s">
        <v>75</v>
      </c>
      <c r="J1" s="164" t="s">
        <v>76</v>
      </c>
      <c r="K1" s="164" t="s">
        <v>77</v>
      </c>
      <c r="L1" s="164" t="s">
        <v>78</v>
      </c>
      <c r="M1" s="164" t="s">
        <v>79</v>
      </c>
      <c r="N1" s="164" t="s">
        <v>80</v>
      </c>
      <c r="O1" s="164" t="s">
        <v>81</v>
      </c>
      <c r="P1" s="164" t="s">
        <v>82</v>
      </c>
      <c r="Q1" s="164" t="s">
        <v>83</v>
      </c>
      <c r="R1" s="164" t="s">
        <v>84</v>
      </c>
      <c r="S1" s="164" t="s">
        <v>85</v>
      </c>
      <c r="T1" s="164" t="s">
        <v>86</v>
      </c>
    </row>
    <row r="2" spans="1:20" ht="30" x14ac:dyDescent="0.25">
      <c r="A2" s="166" t="s">
        <v>26</v>
      </c>
      <c r="B2" s="167" t="s">
        <v>27</v>
      </c>
      <c r="C2" s="164">
        <v>1</v>
      </c>
      <c r="D2" s="183">
        <v>1</v>
      </c>
      <c r="E2" s="164">
        <v>1</v>
      </c>
      <c r="F2" s="164">
        <v>0</v>
      </c>
      <c r="G2" s="164">
        <v>0</v>
      </c>
      <c r="H2" s="164">
        <v>1</v>
      </c>
      <c r="I2">
        <v>1</v>
      </c>
      <c r="J2" s="164">
        <v>1</v>
      </c>
      <c r="K2" s="164">
        <v>0</v>
      </c>
      <c r="L2" s="164">
        <v>0</v>
      </c>
      <c r="M2" s="164">
        <v>0</v>
      </c>
      <c r="N2" s="164">
        <v>1</v>
      </c>
      <c r="O2" s="184">
        <v>0</v>
      </c>
      <c r="P2" s="164">
        <v>1</v>
      </c>
      <c r="Q2" s="164">
        <v>0</v>
      </c>
      <c r="R2" s="164">
        <v>0</v>
      </c>
      <c r="S2" s="164">
        <v>0</v>
      </c>
      <c r="T2" s="164">
        <v>1</v>
      </c>
    </row>
    <row r="3" spans="1:20" x14ac:dyDescent="0.25">
      <c r="A3" s="166"/>
      <c r="B3" s="167" t="s">
        <v>28</v>
      </c>
      <c r="C3" s="164">
        <v>0</v>
      </c>
      <c r="D3" s="183">
        <v>0</v>
      </c>
      <c r="E3" s="164">
        <v>0</v>
      </c>
      <c r="F3" s="164">
        <v>0</v>
      </c>
      <c r="G3" s="164">
        <v>0</v>
      </c>
      <c r="H3" s="164">
        <v>0</v>
      </c>
      <c r="I3">
        <v>3</v>
      </c>
      <c r="J3" s="164">
        <v>5</v>
      </c>
      <c r="K3" s="164">
        <v>0</v>
      </c>
      <c r="L3" s="164">
        <v>0</v>
      </c>
      <c r="M3" s="164">
        <v>3</v>
      </c>
      <c r="N3" s="164">
        <v>5</v>
      </c>
      <c r="O3" s="184">
        <v>0</v>
      </c>
      <c r="P3" s="164">
        <v>5</v>
      </c>
      <c r="Q3" s="164">
        <v>0</v>
      </c>
      <c r="R3" s="164">
        <v>0</v>
      </c>
      <c r="S3" s="164">
        <v>3</v>
      </c>
      <c r="T3" s="164">
        <v>5</v>
      </c>
    </row>
    <row r="4" spans="1:20" ht="30" x14ac:dyDescent="0.25">
      <c r="A4" s="166"/>
      <c r="B4" s="167" t="s">
        <v>29</v>
      </c>
      <c r="C4" s="164">
        <v>0</v>
      </c>
      <c r="D4" s="183">
        <v>0</v>
      </c>
      <c r="E4" s="164">
        <v>0</v>
      </c>
      <c r="F4" s="164">
        <v>0</v>
      </c>
      <c r="G4" s="164">
        <v>0</v>
      </c>
      <c r="H4" s="164">
        <v>0</v>
      </c>
      <c r="I4">
        <v>0</v>
      </c>
      <c r="J4" s="164">
        <v>0</v>
      </c>
      <c r="K4" s="164">
        <v>0</v>
      </c>
      <c r="L4" s="164">
        <v>0</v>
      </c>
      <c r="M4" s="164">
        <v>0</v>
      </c>
      <c r="N4" s="164">
        <v>0</v>
      </c>
      <c r="O4" s="184">
        <v>0</v>
      </c>
      <c r="P4" s="164">
        <v>0</v>
      </c>
      <c r="Q4" s="164">
        <v>0</v>
      </c>
      <c r="R4" s="164">
        <v>0</v>
      </c>
      <c r="S4" s="164">
        <v>0</v>
      </c>
      <c r="T4" s="164">
        <v>0</v>
      </c>
    </row>
    <row r="5" spans="1:20" ht="30" x14ac:dyDescent="0.25">
      <c r="A5" s="166" t="s">
        <v>31</v>
      </c>
      <c r="B5" s="167" t="s">
        <v>32</v>
      </c>
      <c r="C5" s="164">
        <v>0</v>
      </c>
      <c r="D5" s="183">
        <v>0</v>
      </c>
      <c r="E5" s="164">
        <v>0</v>
      </c>
      <c r="F5" s="164">
        <v>0</v>
      </c>
      <c r="G5" s="164">
        <v>0</v>
      </c>
      <c r="H5" s="164">
        <v>0</v>
      </c>
      <c r="I5">
        <v>0</v>
      </c>
      <c r="J5" s="164">
        <v>0</v>
      </c>
      <c r="K5" s="164">
        <v>0</v>
      </c>
      <c r="L5" s="164">
        <v>0</v>
      </c>
      <c r="M5" s="164">
        <v>0</v>
      </c>
      <c r="N5" s="164">
        <v>0</v>
      </c>
      <c r="O5" s="184">
        <v>0</v>
      </c>
      <c r="P5" s="164">
        <v>0</v>
      </c>
      <c r="Q5" s="164">
        <v>0</v>
      </c>
      <c r="R5" s="164">
        <v>0</v>
      </c>
      <c r="S5" s="164">
        <v>0</v>
      </c>
      <c r="T5" s="164">
        <v>0</v>
      </c>
    </row>
    <row r="6" spans="1:20" x14ac:dyDescent="0.25">
      <c r="A6" s="166"/>
      <c r="B6" s="167" t="s">
        <v>34</v>
      </c>
      <c r="C6" s="164">
        <v>0</v>
      </c>
      <c r="D6" s="183">
        <v>0</v>
      </c>
      <c r="E6" s="164">
        <v>0</v>
      </c>
      <c r="F6" s="164">
        <v>0</v>
      </c>
      <c r="G6" s="164">
        <v>0</v>
      </c>
      <c r="H6" s="164">
        <v>0</v>
      </c>
      <c r="I6">
        <v>1</v>
      </c>
      <c r="J6" s="164">
        <v>0</v>
      </c>
      <c r="K6" s="164">
        <v>0</v>
      </c>
      <c r="L6" s="164">
        <v>0</v>
      </c>
      <c r="M6" s="164">
        <v>0</v>
      </c>
      <c r="N6" s="164">
        <v>1</v>
      </c>
      <c r="O6" s="184">
        <v>0</v>
      </c>
      <c r="P6" s="164">
        <v>0</v>
      </c>
      <c r="Q6" s="164">
        <v>0</v>
      </c>
      <c r="R6" s="164">
        <v>0</v>
      </c>
      <c r="S6" s="164">
        <v>0</v>
      </c>
      <c r="T6" s="164">
        <v>1</v>
      </c>
    </row>
    <row r="7" spans="1:20" ht="30" x14ac:dyDescent="0.25">
      <c r="A7" s="166" t="s">
        <v>36</v>
      </c>
      <c r="B7" s="167" t="s">
        <v>37</v>
      </c>
      <c r="C7" s="164">
        <v>1</v>
      </c>
      <c r="D7" s="183">
        <v>0</v>
      </c>
      <c r="E7" s="164">
        <v>0</v>
      </c>
      <c r="F7" s="164">
        <v>0</v>
      </c>
      <c r="G7" s="164">
        <v>3</v>
      </c>
      <c r="H7" s="164">
        <v>0</v>
      </c>
      <c r="I7">
        <v>3</v>
      </c>
      <c r="J7" s="164">
        <v>0</v>
      </c>
      <c r="K7" s="164">
        <v>0</v>
      </c>
      <c r="L7" s="164">
        <v>0</v>
      </c>
      <c r="M7" s="164">
        <v>1</v>
      </c>
      <c r="N7" s="164">
        <v>0</v>
      </c>
      <c r="O7" s="184">
        <v>0</v>
      </c>
      <c r="P7" s="164">
        <v>0</v>
      </c>
      <c r="Q7" s="164">
        <v>0</v>
      </c>
      <c r="R7" s="164">
        <v>0</v>
      </c>
      <c r="S7" s="164">
        <v>1</v>
      </c>
      <c r="T7" s="164">
        <v>0</v>
      </c>
    </row>
    <row r="8" spans="1:20" x14ac:dyDescent="0.25">
      <c r="A8" s="166"/>
      <c r="B8" s="167" t="s">
        <v>38</v>
      </c>
      <c r="C8" s="164">
        <v>0</v>
      </c>
      <c r="D8" s="183">
        <v>0</v>
      </c>
      <c r="E8" s="164">
        <v>0</v>
      </c>
      <c r="F8" s="164">
        <v>0</v>
      </c>
      <c r="G8" s="164">
        <v>0</v>
      </c>
      <c r="H8" s="164">
        <v>0</v>
      </c>
      <c r="I8">
        <v>0</v>
      </c>
      <c r="J8" s="164">
        <v>0</v>
      </c>
      <c r="K8" s="164">
        <v>0</v>
      </c>
      <c r="L8" s="164">
        <v>0</v>
      </c>
      <c r="M8" s="164">
        <v>0</v>
      </c>
      <c r="N8" s="164">
        <v>3</v>
      </c>
      <c r="O8" s="184">
        <v>0</v>
      </c>
      <c r="P8" s="164">
        <v>0</v>
      </c>
      <c r="Q8" s="164">
        <v>0</v>
      </c>
      <c r="R8" s="164">
        <v>0</v>
      </c>
      <c r="S8" s="164">
        <v>0</v>
      </c>
      <c r="T8" s="164">
        <v>3</v>
      </c>
    </row>
    <row r="9" spans="1:20" ht="30" x14ac:dyDescent="0.25">
      <c r="A9" s="166" t="s">
        <v>40</v>
      </c>
      <c r="B9" s="167" t="s">
        <v>41</v>
      </c>
      <c r="C9" s="164">
        <v>0</v>
      </c>
      <c r="D9" s="183">
        <v>0</v>
      </c>
      <c r="E9" s="164">
        <v>0</v>
      </c>
      <c r="F9" s="164">
        <v>0</v>
      </c>
      <c r="G9" s="164">
        <v>0</v>
      </c>
      <c r="H9" s="164">
        <v>0</v>
      </c>
      <c r="I9">
        <v>0</v>
      </c>
      <c r="J9" s="164">
        <v>5</v>
      </c>
      <c r="K9" s="164">
        <v>0</v>
      </c>
      <c r="L9" s="164">
        <v>0</v>
      </c>
      <c r="M9" s="164">
        <v>1</v>
      </c>
      <c r="N9" s="164">
        <v>0</v>
      </c>
      <c r="O9" s="184">
        <v>0</v>
      </c>
      <c r="P9" s="164">
        <v>5</v>
      </c>
      <c r="Q9" s="164">
        <v>0</v>
      </c>
      <c r="R9" s="164">
        <v>0</v>
      </c>
      <c r="S9" s="164">
        <v>1</v>
      </c>
      <c r="T9" s="164">
        <v>0</v>
      </c>
    </row>
    <row r="10" spans="1:20" x14ac:dyDescent="0.25">
      <c r="A10" s="166"/>
      <c r="B10" s="167" t="s">
        <v>42</v>
      </c>
      <c r="C10" s="164">
        <v>1</v>
      </c>
      <c r="D10" s="183">
        <v>0</v>
      </c>
      <c r="E10" s="164">
        <v>0</v>
      </c>
      <c r="F10" s="164">
        <v>0</v>
      </c>
      <c r="G10" s="164">
        <v>0</v>
      </c>
      <c r="H10" s="164">
        <v>0</v>
      </c>
      <c r="I10">
        <v>1</v>
      </c>
      <c r="J10" s="164">
        <v>0</v>
      </c>
      <c r="K10" s="164">
        <v>3</v>
      </c>
      <c r="L10" s="164">
        <v>0</v>
      </c>
      <c r="M10" s="164">
        <v>1</v>
      </c>
      <c r="N10" s="164">
        <v>1</v>
      </c>
      <c r="O10" s="184">
        <v>0</v>
      </c>
      <c r="P10" s="164">
        <v>0</v>
      </c>
      <c r="Q10" s="164">
        <v>3</v>
      </c>
      <c r="R10" s="164">
        <v>0</v>
      </c>
      <c r="S10" s="164">
        <v>1</v>
      </c>
      <c r="T10" s="164">
        <v>1</v>
      </c>
    </row>
    <row r="11" spans="1:20" x14ac:dyDescent="0.25">
      <c r="A11" s="166"/>
      <c r="B11" s="167" t="s">
        <v>43</v>
      </c>
      <c r="C11" s="164">
        <v>0</v>
      </c>
      <c r="D11" s="183">
        <v>0</v>
      </c>
      <c r="E11" s="164">
        <v>0</v>
      </c>
      <c r="F11" s="164">
        <v>0</v>
      </c>
      <c r="G11" s="164">
        <v>0</v>
      </c>
      <c r="H11" s="164">
        <v>0</v>
      </c>
      <c r="I11">
        <v>0</v>
      </c>
      <c r="J11" s="164">
        <v>0</v>
      </c>
      <c r="K11" s="164">
        <v>0</v>
      </c>
      <c r="L11" s="164">
        <v>0</v>
      </c>
      <c r="M11" s="164">
        <v>0</v>
      </c>
      <c r="N11" s="164">
        <v>0</v>
      </c>
      <c r="O11" s="184">
        <v>0</v>
      </c>
      <c r="P11" s="164">
        <v>0</v>
      </c>
      <c r="Q11" s="164">
        <v>0</v>
      </c>
      <c r="R11" s="164">
        <v>0</v>
      </c>
      <c r="S11" s="164">
        <v>0</v>
      </c>
      <c r="T11" s="164">
        <v>0</v>
      </c>
    </row>
    <row r="12" spans="1:20" x14ac:dyDescent="0.25">
      <c r="A12" s="166"/>
      <c r="B12" s="167" t="s">
        <v>44</v>
      </c>
      <c r="C12" s="164">
        <v>1</v>
      </c>
      <c r="D12" s="183">
        <v>1</v>
      </c>
      <c r="E12" s="164">
        <v>3</v>
      </c>
      <c r="F12" s="164">
        <v>5</v>
      </c>
      <c r="G12" s="164">
        <v>5</v>
      </c>
      <c r="H12" s="164">
        <v>3</v>
      </c>
      <c r="I12">
        <v>3</v>
      </c>
      <c r="J12" s="164">
        <v>5</v>
      </c>
      <c r="K12" s="164">
        <v>1</v>
      </c>
      <c r="L12" s="164">
        <v>1</v>
      </c>
      <c r="M12" s="164">
        <v>3</v>
      </c>
      <c r="N12" s="164">
        <v>3</v>
      </c>
      <c r="O12" s="184">
        <v>3</v>
      </c>
      <c r="P12" s="164">
        <v>5</v>
      </c>
      <c r="Q12" s="164">
        <v>1</v>
      </c>
      <c r="R12" s="164">
        <v>1</v>
      </c>
      <c r="S12" s="164">
        <v>3</v>
      </c>
      <c r="T12" s="164">
        <v>3</v>
      </c>
    </row>
    <row r="13" spans="1:20" x14ac:dyDescent="0.25">
      <c r="A13" s="166"/>
      <c r="B13" s="167" t="s">
        <v>45</v>
      </c>
      <c r="C13" s="164">
        <v>0</v>
      </c>
      <c r="D13" s="183">
        <v>0</v>
      </c>
      <c r="E13" s="164">
        <v>1</v>
      </c>
      <c r="F13" s="164">
        <v>0</v>
      </c>
      <c r="G13" s="164">
        <v>0</v>
      </c>
      <c r="H13" s="164">
        <v>0</v>
      </c>
      <c r="I13">
        <v>0</v>
      </c>
      <c r="J13" s="164">
        <v>0</v>
      </c>
      <c r="K13" s="164">
        <v>0</v>
      </c>
      <c r="L13" s="164">
        <v>0</v>
      </c>
      <c r="M13" s="164">
        <v>0</v>
      </c>
      <c r="N13" s="164">
        <v>0</v>
      </c>
      <c r="O13" s="184">
        <v>0</v>
      </c>
      <c r="P13" s="164">
        <v>0</v>
      </c>
      <c r="Q13" s="164">
        <v>0</v>
      </c>
      <c r="R13" s="164">
        <v>0</v>
      </c>
      <c r="S13" s="164">
        <v>0</v>
      </c>
      <c r="T13" s="164">
        <v>0</v>
      </c>
    </row>
    <row r="14" spans="1:20" ht="30" x14ac:dyDescent="0.25">
      <c r="A14" s="166" t="s">
        <v>47</v>
      </c>
      <c r="B14" s="167" t="s">
        <v>48</v>
      </c>
      <c r="C14" s="164">
        <v>0</v>
      </c>
      <c r="D14" s="183">
        <v>0</v>
      </c>
      <c r="E14" s="164">
        <v>0</v>
      </c>
      <c r="F14" s="164">
        <v>0</v>
      </c>
      <c r="G14" s="164">
        <v>0</v>
      </c>
      <c r="H14" s="164">
        <v>0</v>
      </c>
      <c r="I14">
        <v>0</v>
      </c>
      <c r="J14" s="164">
        <v>0</v>
      </c>
      <c r="K14" s="164">
        <v>0</v>
      </c>
      <c r="L14" s="164">
        <v>0</v>
      </c>
      <c r="M14" s="164">
        <v>0</v>
      </c>
      <c r="N14" s="164">
        <v>0</v>
      </c>
      <c r="O14" s="184">
        <v>0</v>
      </c>
      <c r="P14" s="164">
        <v>0</v>
      </c>
      <c r="Q14" s="164">
        <v>0</v>
      </c>
      <c r="R14" s="164">
        <v>0</v>
      </c>
      <c r="S14" s="164">
        <v>0</v>
      </c>
      <c r="T14" s="164">
        <v>0</v>
      </c>
    </row>
    <row r="15" spans="1:20" ht="30" x14ac:dyDescent="0.25">
      <c r="A15" s="166"/>
      <c r="B15" s="167" t="s">
        <v>49</v>
      </c>
      <c r="C15" s="164">
        <v>0</v>
      </c>
      <c r="D15" s="183">
        <v>0</v>
      </c>
      <c r="E15" s="164">
        <v>0</v>
      </c>
      <c r="F15" s="164">
        <v>0</v>
      </c>
      <c r="G15" s="164">
        <v>0</v>
      </c>
      <c r="H15" s="164">
        <v>0</v>
      </c>
      <c r="I15">
        <v>0</v>
      </c>
      <c r="J15" s="164">
        <v>0</v>
      </c>
      <c r="K15" s="164">
        <v>0</v>
      </c>
      <c r="L15" s="164">
        <v>0</v>
      </c>
      <c r="M15" s="164">
        <v>0</v>
      </c>
      <c r="N15" s="164">
        <v>0</v>
      </c>
      <c r="O15" s="184">
        <v>0</v>
      </c>
      <c r="P15" s="164">
        <v>0</v>
      </c>
      <c r="Q15" s="164">
        <v>0</v>
      </c>
      <c r="R15" s="164">
        <v>0</v>
      </c>
      <c r="S15" s="164">
        <v>0</v>
      </c>
      <c r="T15" s="164">
        <v>0</v>
      </c>
    </row>
    <row r="16" spans="1:20" ht="30" x14ac:dyDescent="0.25">
      <c r="A16" s="166" t="s">
        <v>51</v>
      </c>
      <c r="B16" s="167" t="s">
        <v>52</v>
      </c>
      <c r="C16" s="164">
        <v>1</v>
      </c>
      <c r="D16" s="183">
        <v>5</v>
      </c>
      <c r="E16" s="164">
        <v>1</v>
      </c>
      <c r="F16" s="164">
        <v>3</v>
      </c>
      <c r="G16" s="164">
        <v>0</v>
      </c>
      <c r="H16" s="164">
        <v>3</v>
      </c>
      <c r="I16">
        <v>5</v>
      </c>
      <c r="J16" s="164">
        <v>5</v>
      </c>
      <c r="K16" s="164">
        <v>5</v>
      </c>
      <c r="L16" s="164">
        <v>5</v>
      </c>
      <c r="M16" s="164">
        <v>5</v>
      </c>
      <c r="N16" s="164">
        <v>1</v>
      </c>
      <c r="O16" s="184">
        <v>5</v>
      </c>
      <c r="P16" s="164">
        <v>5</v>
      </c>
      <c r="Q16" s="164">
        <v>5</v>
      </c>
      <c r="R16" s="164">
        <v>5</v>
      </c>
      <c r="S16" s="164">
        <v>5</v>
      </c>
      <c r="T16" s="164">
        <v>1</v>
      </c>
    </row>
    <row r="17" spans="1:20" ht="30" x14ac:dyDescent="0.25">
      <c r="A17" s="166"/>
      <c r="B17" s="167" t="s">
        <v>53</v>
      </c>
      <c r="C17" s="164">
        <v>0</v>
      </c>
      <c r="D17" s="183">
        <v>3</v>
      </c>
      <c r="E17" s="164">
        <v>3</v>
      </c>
      <c r="F17" s="164">
        <v>0</v>
      </c>
      <c r="G17" s="164">
        <v>0</v>
      </c>
      <c r="H17" s="164">
        <v>3</v>
      </c>
      <c r="I17">
        <v>5</v>
      </c>
      <c r="J17" s="164">
        <v>1</v>
      </c>
      <c r="K17" s="164">
        <v>0</v>
      </c>
      <c r="L17" s="164">
        <v>5</v>
      </c>
      <c r="M17" s="164">
        <v>3</v>
      </c>
      <c r="N17" s="164">
        <v>0</v>
      </c>
      <c r="O17" s="184">
        <v>5</v>
      </c>
      <c r="P17" s="164">
        <v>1</v>
      </c>
      <c r="Q17" s="164">
        <v>0</v>
      </c>
      <c r="R17" s="164">
        <v>5</v>
      </c>
      <c r="S17" s="164">
        <v>3</v>
      </c>
      <c r="T17" s="164">
        <v>0</v>
      </c>
    </row>
    <row r="18" spans="1:20" ht="30" x14ac:dyDescent="0.25">
      <c r="A18" s="166"/>
      <c r="B18" s="167" t="s">
        <v>54</v>
      </c>
      <c r="C18" s="164">
        <v>5</v>
      </c>
      <c r="D18" s="183">
        <v>5</v>
      </c>
      <c r="E18" s="164">
        <v>1</v>
      </c>
      <c r="F18" s="164">
        <v>1</v>
      </c>
      <c r="G18" s="164">
        <v>0</v>
      </c>
      <c r="H18" s="164">
        <v>1</v>
      </c>
      <c r="I18">
        <v>5</v>
      </c>
      <c r="J18" s="164">
        <v>5</v>
      </c>
      <c r="K18" s="164">
        <v>5</v>
      </c>
      <c r="L18" s="164">
        <v>5</v>
      </c>
      <c r="M18" s="164">
        <v>5</v>
      </c>
      <c r="N18" s="164">
        <v>1</v>
      </c>
      <c r="O18" s="184">
        <v>5</v>
      </c>
      <c r="P18" s="164">
        <v>5</v>
      </c>
      <c r="Q18" s="164">
        <v>5</v>
      </c>
      <c r="R18" s="164">
        <v>5</v>
      </c>
      <c r="S18" s="164">
        <v>5</v>
      </c>
      <c r="T18" s="164">
        <v>1</v>
      </c>
    </row>
    <row r="19" spans="1:20" ht="30" x14ac:dyDescent="0.25">
      <c r="A19" s="166" t="s">
        <v>56</v>
      </c>
      <c r="B19" s="168" t="s">
        <v>57</v>
      </c>
      <c r="C19" s="164">
        <v>0</v>
      </c>
      <c r="D19" s="183">
        <v>0</v>
      </c>
      <c r="E19" s="164">
        <v>0</v>
      </c>
      <c r="F19" s="164">
        <v>0</v>
      </c>
      <c r="G19" s="164">
        <v>0</v>
      </c>
      <c r="H19" s="164">
        <v>0</v>
      </c>
      <c r="I19">
        <v>1</v>
      </c>
      <c r="J19" s="164">
        <v>3</v>
      </c>
      <c r="K19" s="164">
        <v>5</v>
      </c>
      <c r="L19" s="164">
        <v>5</v>
      </c>
      <c r="M19" s="164">
        <v>3</v>
      </c>
      <c r="N19" s="164">
        <v>3</v>
      </c>
      <c r="O19" s="184">
        <v>0</v>
      </c>
      <c r="P19" s="164">
        <v>3</v>
      </c>
      <c r="Q19" s="164">
        <v>5</v>
      </c>
      <c r="R19" s="164">
        <v>5</v>
      </c>
      <c r="S19" s="164">
        <v>3</v>
      </c>
      <c r="T19" s="164">
        <v>3</v>
      </c>
    </row>
    <row r="20" spans="1:20" x14ac:dyDescent="0.25">
      <c r="A20" s="166"/>
      <c r="B20" s="168" t="s">
        <v>58</v>
      </c>
      <c r="C20" s="164">
        <v>3</v>
      </c>
      <c r="D20" s="183">
        <v>5</v>
      </c>
      <c r="E20" s="164">
        <v>0</v>
      </c>
      <c r="F20" s="164">
        <v>5</v>
      </c>
      <c r="G20" s="164">
        <v>0</v>
      </c>
      <c r="H20" s="164">
        <v>5</v>
      </c>
      <c r="I20">
        <v>5</v>
      </c>
      <c r="J20" s="164">
        <v>5</v>
      </c>
      <c r="K20" s="164">
        <v>5</v>
      </c>
      <c r="L20" s="164">
        <v>5</v>
      </c>
      <c r="M20" s="164">
        <v>5</v>
      </c>
      <c r="N20" s="164">
        <v>5</v>
      </c>
      <c r="O20" s="184">
        <v>5</v>
      </c>
      <c r="P20" s="164">
        <v>5</v>
      </c>
      <c r="Q20" s="164">
        <v>5</v>
      </c>
      <c r="R20" s="164">
        <v>5</v>
      </c>
      <c r="S20" s="164">
        <v>5</v>
      </c>
      <c r="T20" s="164">
        <v>5</v>
      </c>
    </row>
    <row r="21" spans="1:20" ht="15.75" thickBot="1" x14ac:dyDescent="0.3">
      <c r="A21" s="162"/>
      <c r="B21" s="163"/>
      <c r="C21">
        <f>SUM(C2:C20)</f>
        <v>13</v>
      </c>
      <c r="D21">
        <f t="shared" ref="D21:T21" si="0">SUM(D2:D20)</f>
        <v>20</v>
      </c>
      <c r="E21">
        <f t="shared" si="0"/>
        <v>10</v>
      </c>
      <c r="F21">
        <f t="shared" si="0"/>
        <v>14</v>
      </c>
      <c r="G21">
        <f t="shared" si="0"/>
        <v>8</v>
      </c>
      <c r="H21">
        <f t="shared" si="0"/>
        <v>16</v>
      </c>
      <c r="I21" s="185">
        <f t="shared" si="0"/>
        <v>33</v>
      </c>
      <c r="J21">
        <f t="shared" si="0"/>
        <v>35</v>
      </c>
      <c r="K21">
        <f t="shared" si="0"/>
        <v>24</v>
      </c>
      <c r="L21">
        <f t="shared" si="0"/>
        <v>26</v>
      </c>
      <c r="M21">
        <f t="shared" si="0"/>
        <v>30</v>
      </c>
      <c r="N21">
        <f t="shared" si="0"/>
        <v>24</v>
      </c>
      <c r="O21" s="185">
        <f t="shared" si="0"/>
        <v>23</v>
      </c>
      <c r="P21">
        <f t="shared" si="0"/>
        <v>35</v>
      </c>
      <c r="Q21">
        <f t="shared" si="0"/>
        <v>24</v>
      </c>
      <c r="R21">
        <f t="shared" si="0"/>
        <v>26</v>
      </c>
      <c r="S21">
        <f t="shared" si="0"/>
        <v>30</v>
      </c>
      <c r="T21">
        <f t="shared" si="0"/>
        <v>24</v>
      </c>
    </row>
    <row r="22" spans="1:20" x14ac:dyDescent="0.25">
      <c r="A22" s="110"/>
      <c r="B22" s="111" t="s">
        <v>60</v>
      </c>
      <c r="C22" t="str">
        <f>IF(C21&lt;19,"TK",IF(19&lt;=C21&lt;=44,"KR",IF(45&lt;=C21&lt;=70,"KS","KB")))</f>
        <v>TK</v>
      </c>
      <c r="D22" t="s">
        <v>87</v>
      </c>
      <c r="E22" t="s">
        <v>88</v>
      </c>
      <c r="F22" t="s">
        <v>88</v>
      </c>
      <c r="G22" t="s">
        <v>88</v>
      </c>
      <c r="H22" t="s">
        <v>88</v>
      </c>
      <c r="I22" s="185" t="s">
        <v>87</v>
      </c>
      <c r="J22" t="s">
        <v>87</v>
      </c>
      <c r="K22" t="s">
        <v>87</v>
      </c>
      <c r="L22" t="s">
        <v>87</v>
      </c>
      <c r="M22" t="s">
        <v>87</v>
      </c>
      <c r="N22" t="s">
        <v>87</v>
      </c>
      <c r="O22" s="185" t="s">
        <v>87</v>
      </c>
      <c r="P22" t="s">
        <v>87</v>
      </c>
      <c r="Q22" t="s">
        <v>87</v>
      </c>
      <c r="R22" t="s">
        <v>87</v>
      </c>
      <c r="S22" t="s">
        <v>87</v>
      </c>
      <c r="T22" t="s">
        <v>87</v>
      </c>
    </row>
    <row r="23" spans="1:20" x14ac:dyDescent="0.25">
      <c r="A23" s="110"/>
      <c r="B23" s="113" t="s">
        <v>62</v>
      </c>
    </row>
    <row r="24" spans="1:20" x14ac:dyDescent="0.25">
      <c r="A24" s="110"/>
      <c r="B24" s="115" t="s">
        <v>63</v>
      </c>
    </row>
    <row r="25" spans="1:20" x14ac:dyDescent="0.25">
      <c r="A25" s="110"/>
      <c r="B25" s="117" t="s">
        <v>65</v>
      </c>
    </row>
    <row r="26" spans="1:20" x14ac:dyDescent="0.25">
      <c r="B26" s="118" t="s">
        <v>66</v>
      </c>
      <c r="C26" s="169" t="s">
        <v>69</v>
      </c>
      <c r="D26" s="169" t="s">
        <v>70</v>
      </c>
      <c r="E26" s="169" t="s">
        <v>71</v>
      </c>
      <c r="F26" s="169" t="s">
        <v>72</v>
      </c>
      <c r="G26" s="169" t="s">
        <v>73</v>
      </c>
      <c r="H26" s="169" t="s">
        <v>74</v>
      </c>
      <c r="I26" s="170" t="s">
        <v>75</v>
      </c>
      <c r="J26" s="170" t="s">
        <v>76</v>
      </c>
      <c r="K26" s="170" t="s">
        <v>77</v>
      </c>
      <c r="L26" s="170" t="s">
        <v>78</v>
      </c>
      <c r="M26" s="170" t="s">
        <v>79</v>
      </c>
      <c r="N26" s="170" t="s">
        <v>80</v>
      </c>
      <c r="O26" s="170" t="s">
        <v>81</v>
      </c>
      <c r="P26" s="170" t="s">
        <v>82</v>
      </c>
      <c r="Q26" s="170" t="s">
        <v>83</v>
      </c>
      <c r="R26" s="170" t="s">
        <v>84</v>
      </c>
      <c r="S26" s="170" t="s">
        <v>85</v>
      </c>
      <c r="T26" s="170" t="s">
        <v>86</v>
      </c>
    </row>
    <row r="27" spans="1:20" x14ac:dyDescent="0.25">
      <c r="B27" s="127"/>
    </row>
    <row r="28" spans="1:20" x14ac:dyDescent="0.25">
      <c r="C28">
        <f>SUM(C21:H21)/6</f>
        <v>13.5</v>
      </c>
      <c r="D28">
        <f>SUM(I21:N21)/6</f>
        <v>28.666666666666668</v>
      </c>
    </row>
    <row r="30" spans="1:20" x14ac:dyDescent="0.25">
      <c r="A30">
        <v>5</v>
      </c>
    </row>
    <row r="31" spans="1:20" x14ac:dyDescent="0.25">
      <c r="A31">
        <v>3</v>
      </c>
    </row>
    <row r="32" spans="1:20" x14ac:dyDescent="0.25">
      <c r="A32">
        <v>1</v>
      </c>
    </row>
    <row r="33" spans="1:1" x14ac:dyDescent="0.25">
      <c r="A3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129D2-F31C-401C-A0BA-2CDF3C267336}">
  <sheetPr>
    <tabColor rgb="FF0070C0"/>
  </sheetPr>
  <dimension ref="A1:F77"/>
  <sheetViews>
    <sheetView topLeftCell="A24" workbookViewId="0">
      <selection activeCell="L6" sqref="L6"/>
    </sheetView>
  </sheetViews>
  <sheetFormatPr defaultRowHeight="15" x14ac:dyDescent="0.25"/>
  <cols>
    <col min="1" max="1" width="18.85546875" customWidth="1"/>
    <col min="2" max="2" width="20.28515625" customWidth="1"/>
    <col min="3" max="3" width="10.85546875" customWidth="1"/>
    <col min="4" max="4" width="17.140625" customWidth="1"/>
  </cols>
  <sheetData>
    <row r="1" spans="1:6" x14ac:dyDescent="0.25">
      <c r="E1" t="s">
        <v>212</v>
      </c>
      <c r="F1" t="s">
        <v>213</v>
      </c>
    </row>
    <row r="2" spans="1:6" ht="25.5" x14ac:dyDescent="0.25">
      <c r="A2" s="188" t="s">
        <v>27</v>
      </c>
      <c r="B2" s="171" t="s">
        <v>89</v>
      </c>
      <c r="C2" s="172">
        <v>5</v>
      </c>
      <c r="D2" s="164" t="s">
        <v>154</v>
      </c>
      <c r="E2">
        <v>0.8</v>
      </c>
      <c r="F2">
        <v>0.1</v>
      </c>
    </row>
    <row r="3" spans="1:6" ht="25.5" x14ac:dyDescent="0.25">
      <c r="A3" s="188"/>
      <c r="B3" s="171" t="s">
        <v>90</v>
      </c>
      <c r="C3" s="172">
        <v>3</v>
      </c>
      <c r="D3" s="164" t="s">
        <v>148</v>
      </c>
      <c r="E3">
        <v>0.6</v>
      </c>
      <c r="F3">
        <v>0.3</v>
      </c>
    </row>
    <row r="4" spans="1:6" ht="26.25" x14ac:dyDescent="0.25">
      <c r="A4" s="188"/>
      <c r="B4" s="173" t="s">
        <v>91</v>
      </c>
      <c r="C4" s="172">
        <v>1</v>
      </c>
      <c r="D4" s="164" t="s">
        <v>149</v>
      </c>
      <c r="E4">
        <v>0.4</v>
      </c>
      <c r="F4">
        <v>0.5</v>
      </c>
    </row>
    <row r="5" spans="1:6" ht="26.25" x14ac:dyDescent="0.25">
      <c r="A5" s="188"/>
      <c r="B5" s="173" t="s">
        <v>151</v>
      </c>
      <c r="C5" s="172">
        <v>0</v>
      </c>
      <c r="D5" s="164" t="s">
        <v>150</v>
      </c>
      <c r="E5">
        <v>0.2</v>
      </c>
      <c r="F5">
        <v>0.7</v>
      </c>
    </row>
    <row r="6" spans="1:6" ht="26.25" x14ac:dyDescent="0.25">
      <c r="A6" s="188" t="s">
        <v>28</v>
      </c>
      <c r="B6" s="173" t="s">
        <v>92</v>
      </c>
      <c r="C6" s="172">
        <v>5</v>
      </c>
      <c r="D6" s="164" t="s">
        <v>155</v>
      </c>
      <c r="E6">
        <v>0.8</v>
      </c>
      <c r="F6">
        <v>0.1</v>
      </c>
    </row>
    <row r="7" spans="1:6" ht="26.25" x14ac:dyDescent="0.25">
      <c r="A7" s="188"/>
      <c r="B7" s="173" t="s">
        <v>93</v>
      </c>
      <c r="C7" s="172">
        <v>3</v>
      </c>
      <c r="D7" s="164" t="s">
        <v>152</v>
      </c>
      <c r="E7">
        <v>0.6</v>
      </c>
      <c r="F7">
        <v>0.3</v>
      </c>
    </row>
    <row r="8" spans="1:6" ht="25.5" x14ac:dyDescent="0.25">
      <c r="A8" s="188"/>
      <c r="B8" s="175" t="s">
        <v>94</v>
      </c>
      <c r="C8" s="172">
        <v>1</v>
      </c>
      <c r="D8" s="164" t="s">
        <v>153</v>
      </c>
      <c r="E8">
        <v>0.4</v>
      </c>
      <c r="F8">
        <v>0.5</v>
      </c>
    </row>
    <row r="9" spans="1:6" ht="30.75" customHeight="1" x14ac:dyDescent="0.25">
      <c r="A9" s="188"/>
      <c r="B9" s="175" t="s">
        <v>156</v>
      </c>
      <c r="C9" s="172">
        <v>0</v>
      </c>
      <c r="D9" s="164" t="s">
        <v>157</v>
      </c>
      <c r="E9">
        <v>0.2</v>
      </c>
      <c r="F9">
        <v>0.7</v>
      </c>
    </row>
    <row r="10" spans="1:6" ht="26.25" customHeight="1" x14ac:dyDescent="0.25">
      <c r="A10" s="190" t="s">
        <v>95</v>
      </c>
      <c r="B10" s="173" t="s">
        <v>96</v>
      </c>
      <c r="C10" s="172">
        <v>5</v>
      </c>
      <c r="D10" s="164" t="s">
        <v>158</v>
      </c>
      <c r="E10">
        <v>0.8</v>
      </c>
      <c r="F10">
        <v>0.1</v>
      </c>
    </row>
    <row r="11" spans="1:6" ht="26.25" x14ac:dyDescent="0.25">
      <c r="A11" s="190"/>
      <c r="B11" s="173" t="s">
        <v>97</v>
      </c>
      <c r="C11" s="172">
        <v>3</v>
      </c>
      <c r="D11" s="164" t="s">
        <v>159</v>
      </c>
      <c r="E11">
        <v>0.6</v>
      </c>
      <c r="F11">
        <v>0.3</v>
      </c>
    </row>
    <row r="12" spans="1:6" ht="25.5" x14ac:dyDescent="0.25">
      <c r="A12" s="190"/>
      <c r="B12" s="175" t="s">
        <v>98</v>
      </c>
      <c r="C12" s="172">
        <v>1</v>
      </c>
      <c r="D12" s="164" t="s">
        <v>160</v>
      </c>
      <c r="E12">
        <v>0.4</v>
      </c>
      <c r="F12">
        <v>0.5</v>
      </c>
    </row>
    <row r="13" spans="1:6" ht="29.25" customHeight="1" x14ac:dyDescent="0.25">
      <c r="A13" s="190"/>
      <c r="B13" s="175" t="s">
        <v>98</v>
      </c>
      <c r="C13" s="172">
        <v>0</v>
      </c>
      <c r="D13" s="164" t="s">
        <v>161</v>
      </c>
      <c r="E13">
        <v>0.2</v>
      </c>
      <c r="F13">
        <v>0.7</v>
      </c>
    </row>
    <row r="14" spans="1:6" ht="26.25" customHeight="1" x14ac:dyDescent="0.25">
      <c r="A14" s="188" t="s">
        <v>32</v>
      </c>
      <c r="B14" s="173" t="s">
        <v>99</v>
      </c>
      <c r="C14" s="172">
        <v>5</v>
      </c>
      <c r="D14" s="164" t="s">
        <v>163</v>
      </c>
      <c r="E14">
        <v>0.8</v>
      </c>
      <c r="F14">
        <v>0.1</v>
      </c>
    </row>
    <row r="15" spans="1:6" ht="26.25" x14ac:dyDescent="0.25">
      <c r="A15" s="188"/>
      <c r="B15" s="173" t="s">
        <v>100</v>
      </c>
      <c r="C15" s="172">
        <v>3</v>
      </c>
      <c r="D15" s="164" t="s">
        <v>164</v>
      </c>
      <c r="E15">
        <v>0.6</v>
      </c>
      <c r="F15">
        <v>0.3</v>
      </c>
    </row>
    <row r="16" spans="1:6" ht="26.25" x14ac:dyDescent="0.25">
      <c r="A16" s="188"/>
      <c r="B16" s="173" t="s">
        <v>101</v>
      </c>
      <c r="C16" s="172">
        <v>1</v>
      </c>
      <c r="D16" s="164" t="s">
        <v>165</v>
      </c>
      <c r="E16">
        <v>0.4</v>
      </c>
      <c r="F16">
        <v>0.5</v>
      </c>
    </row>
    <row r="17" spans="1:6" ht="26.25" x14ac:dyDescent="0.25">
      <c r="A17" s="188"/>
      <c r="B17" s="173" t="s">
        <v>162</v>
      </c>
      <c r="C17" s="172">
        <v>0</v>
      </c>
      <c r="D17" s="164" t="s">
        <v>166</v>
      </c>
      <c r="E17">
        <v>0.2</v>
      </c>
      <c r="F17">
        <v>0.7</v>
      </c>
    </row>
    <row r="18" spans="1:6" ht="26.25" customHeight="1" x14ac:dyDescent="0.25">
      <c r="A18" s="188" t="s">
        <v>34</v>
      </c>
      <c r="B18" s="173" t="s">
        <v>102</v>
      </c>
      <c r="C18" s="172">
        <v>5</v>
      </c>
      <c r="D18" s="164" t="s">
        <v>168</v>
      </c>
      <c r="E18">
        <v>0.8</v>
      </c>
      <c r="F18">
        <v>0.1</v>
      </c>
    </row>
    <row r="19" spans="1:6" ht="26.25" x14ac:dyDescent="0.25">
      <c r="A19" s="188"/>
      <c r="B19" s="173" t="s">
        <v>103</v>
      </c>
      <c r="C19" s="172">
        <v>3</v>
      </c>
      <c r="D19" s="164" t="s">
        <v>169</v>
      </c>
      <c r="E19">
        <v>0.6</v>
      </c>
      <c r="F19">
        <v>0.3</v>
      </c>
    </row>
    <row r="20" spans="1:6" ht="26.25" x14ac:dyDescent="0.25">
      <c r="A20" s="188"/>
      <c r="B20" s="173" t="s">
        <v>104</v>
      </c>
      <c r="C20" s="172">
        <v>1</v>
      </c>
      <c r="D20" s="164" t="s">
        <v>170</v>
      </c>
      <c r="E20">
        <v>0.4</v>
      </c>
      <c r="F20">
        <v>0.5</v>
      </c>
    </row>
    <row r="21" spans="1:6" ht="26.25" x14ac:dyDescent="0.25">
      <c r="A21" s="188"/>
      <c r="B21" s="173" t="s">
        <v>167</v>
      </c>
      <c r="C21" s="172">
        <v>0</v>
      </c>
      <c r="D21" s="164" t="s">
        <v>171</v>
      </c>
      <c r="E21">
        <v>0.2</v>
      </c>
      <c r="F21">
        <v>0.7</v>
      </c>
    </row>
    <row r="22" spans="1:6" ht="26.25" customHeight="1" x14ac:dyDescent="0.25">
      <c r="A22" s="188" t="s">
        <v>37</v>
      </c>
      <c r="B22" s="173" t="s">
        <v>105</v>
      </c>
      <c r="C22" s="172">
        <v>5</v>
      </c>
      <c r="D22" s="164" t="s">
        <v>173</v>
      </c>
      <c r="E22">
        <v>0.8</v>
      </c>
      <c r="F22">
        <v>0.1</v>
      </c>
    </row>
    <row r="23" spans="1:6" ht="26.25" x14ac:dyDescent="0.25">
      <c r="A23" s="188"/>
      <c r="B23" s="173" t="s">
        <v>106</v>
      </c>
      <c r="C23" s="172">
        <v>3</v>
      </c>
      <c r="D23" s="164" t="s">
        <v>174</v>
      </c>
      <c r="E23">
        <v>0.6</v>
      </c>
      <c r="F23">
        <v>0.3</v>
      </c>
    </row>
    <row r="24" spans="1:6" ht="26.25" x14ac:dyDescent="0.25">
      <c r="A24" s="188"/>
      <c r="B24" s="173" t="s">
        <v>107</v>
      </c>
      <c r="C24" s="172">
        <v>1</v>
      </c>
      <c r="D24" s="164" t="s">
        <v>175</v>
      </c>
      <c r="E24">
        <v>0.4</v>
      </c>
      <c r="F24">
        <v>0.5</v>
      </c>
    </row>
    <row r="25" spans="1:6" ht="26.25" x14ac:dyDescent="0.25">
      <c r="A25" s="188"/>
      <c r="B25" s="173" t="s">
        <v>172</v>
      </c>
      <c r="C25" s="172">
        <v>0</v>
      </c>
      <c r="D25" s="164" t="s">
        <v>176</v>
      </c>
      <c r="E25">
        <v>0.2</v>
      </c>
      <c r="F25">
        <v>0.7</v>
      </c>
    </row>
    <row r="26" spans="1:6" ht="26.25" customHeight="1" x14ac:dyDescent="0.25">
      <c r="A26" s="188" t="s">
        <v>38</v>
      </c>
      <c r="B26" s="173" t="s">
        <v>108</v>
      </c>
      <c r="C26" s="172">
        <v>5</v>
      </c>
      <c r="D26" s="164" t="s">
        <v>178</v>
      </c>
      <c r="E26">
        <v>0.8</v>
      </c>
      <c r="F26">
        <v>0.1</v>
      </c>
    </row>
    <row r="27" spans="1:6" ht="26.25" x14ac:dyDescent="0.25">
      <c r="A27" s="188"/>
      <c r="B27" s="173" t="s">
        <v>109</v>
      </c>
      <c r="C27" s="172">
        <v>3</v>
      </c>
      <c r="D27" s="164" t="s">
        <v>179</v>
      </c>
      <c r="E27">
        <v>0.6</v>
      </c>
      <c r="F27">
        <v>0.3</v>
      </c>
    </row>
    <row r="28" spans="1:6" ht="26.25" x14ac:dyDescent="0.25">
      <c r="A28" s="188"/>
      <c r="B28" s="173" t="s">
        <v>110</v>
      </c>
      <c r="C28" s="172">
        <v>1</v>
      </c>
      <c r="D28" s="164" t="s">
        <v>180</v>
      </c>
      <c r="E28">
        <v>0.4</v>
      </c>
      <c r="F28">
        <v>0.5</v>
      </c>
    </row>
    <row r="29" spans="1:6" ht="26.25" x14ac:dyDescent="0.25">
      <c r="A29" s="188"/>
      <c r="B29" s="173" t="s">
        <v>177</v>
      </c>
      <c r="C29" s="172">
        <v>0</v>
      </c>
      <c r="D29" s="164" t="s">
        <v>181</v>
      </c>
      <c r="E29">
        <v>0.2</v>
      </c>
      <c r="F29">
        <v>0.7</v>
      </c>
    </row>
    <row r="30" spans="1:6" ht="26.25" customHeight="1" x14ac:dyDescent="0.25">
      <c r="A30" s="188" t="s">
        <v>41</v>
      </c>
      <c r="B30" s="174" t="s">
        <v>111</v>
      </c>
      <c r="C30" s="172">
        <v>5</v>
      </c>
      <c r="D30" s="164" t="s">
        <v>183</v>
      </c>
      <c r="E30">
        <v>0.8</v>
      </c>
      <c r="F30">
        <v>0.1</v>
      </c>
    </row>
    <row r="31" spans="1:6" ht="26.25" x14ac:dyDescent="0.25">
      <c r="A31" s="188"/>
      <c r="B31" s="173" t="s">
        <v>112</v>
      </c>
      <c r="C31" s="172">
        <v>3</v>
      </c>
      <c r="D31" s="164" t="s">
        <v>184</v>
      </c>
      <c r="E31">
        <v>0.6</v>
      </c>
      <c r="F31">
        <v>0.3</v>
      </c>
    </row>
    <row r="32" spans="1:6" ht="26.25" x14ac:dyDescent="0.25">
      <c r="A32" s="188"/>
      <c r="B32" s="173" t="s">
        <v>113</v>
      </c>
      <c r="C32" s="172">
        <v>1</v>
      </c>
      <c r="D32" s="164" t="s">
        <v>185</v>
      </c>
      <c r="E32">
        <v>0.4</v>
      </c>
      <c r="F32">
        <v>0.5</v>
      </c>
    </row>
    <row r="33" spans="1:6" ht="26.25" x14ac:dyDescent="0.25">
      <c r="A33" s="188"/>
      <c r="B33" s="173" t="s">
        <v>182</v>
      </c>
      <c r="C33" s="172">
        <v>0</v>
      </c>
      <c r="D33" s="164" t="s">
        <v>186</v>
      </c>
      <c r="E33">
        <v>0.2</v>
      </c>
      <c r="F33">
        <v>0.7</v>
      </c>
    </row>
    <row r="34" spans="1:6" ht="26.25" x14ac:dyDescent="0.25">
      <c r="A34" s="189" t="s">
        <v>42</v>
      </c>
      <c r="B34" s="173" t="s">
        <v>114</v>
      </c>
      <c r="C34" s="172">
        <v>5</v>
      </c>
      <c r="D34" s="164" t="s">
        <v>188</v>
      </c>
      <c r="E34">
        <v>0.8</v>
      </c>
      <c r="F34">
        <v>0.1</v>
      </c>
    </row>
    <row r="35" spans="1:6" ht="26.25" x14ac:dyDescent="0.25">
      <c r="A35" s="189"/>
      <c r="B35" s="173" t="s">
        <v>115</v>
      </c>
      <c r="C35" s="172">
        <v>3</v>
      </c>
      <c r="D35" s="164" t="s">
        <v>189</v>
      </c>
      <c r="E35">
        <v>0.6</v>
      </c>
      <c r="F35">
        <v>0.3</v>
      </c>
    </row>
    <row r="36" spans="1:6" ht="26.25" x14ac:dyDescent="0.25">
      <c r="A36" s="189"/>
      <c r="B36" s="173" t="s">
        <v>116</v>
      </c>
      <c r="C36" s="172">
        <v>1</v>
      </c>
      <c r="D36" s="164" t="s">
        <v>190</v>
      </c>
      <c r="E36">
        <v>0.4</v>
      </c>
      <c r="F36">
        <v>0.5</v>
      </c>
    </row>
    <row r="37" spans="1:6" ht="15.75" x14ac:dyDescent="0.25">
      <c r="A37" s="189"/>
      <c r="B37" s="173" t="s">
        <v>187</v>
      </c>
      <c r="C37" s="172">
        <v>0</v>
      </c>
      <c r="D37" s="164" t="s">
        <v>191</v>
      </c>
      <c r="E37">
        <v>0.2</v>
      </c>
      <c r="F37">
        <v>0.7</v>
      </c>
    </row>
    <row r="38" spans="1:6" ht="26.25" customHeight="1" x14ac:dyDescent="0.25">
      <c r="A38" s="189" t="s">
        <v>117</v>
      </c>
      <c r="B38" s="173" t="s">
        <v>118</v>
      </c>
      <c r="C38" s="172">
        <v>5</v>
      </c>
      <c r="D38" s="164" t="s">
        <v>193</v>
      </c>
      <c r="E38">
        <v>0.8</v>
      </c>
      <c r="F38">
        <v>0.1</v>
      </c>
    </row>
    <row r="39" spans="1:6" ht="26.25" x14ac:dyDescent="0.25">
      <c r="A39" s="189"/>
      <c r="B39" s="173" t="s">
        <v>119</v>
      </c>
      <c r="C39" s="172">
        <v>3</v>
      </c>
      <c r="D39" s="164" t="s">
        <v>194</v>
      </c>
      <c r="E39">
        <v>0.6</v>
      </c>
      <c r="F39">
        <v>0.3</v>
      </c>
    </row>
    <row r="40" spans="1:6" ht="26.25" x14ac:dyDescent="0.25">
      <c r="A40" s="189"/>
      <c r="B40" s="173" t="s">
        <v>120</v>
      </c>
      <c r="C40" s="172">
        <v>1</v>
      </c>
      <c r="D40" s="164" t="s">
        <v>195</v>
      </c>
      <c r="E40">
        <v>0.4</v>
      </c>
      <c r="F40">
        <v>0.5</v>
      </c>
    </row>
    <row r="41" spans="1:6" ht="26.25" x14ac:dyDescent="0.25">
      <c r="A41" s="189"/>
      <c r="B41" s="173" t="s">
        <v>192</v>
      </c>
      <c r="C41" s="172">
        <v>0</v>
      </c>
      <c r="D41" s="164" t="s">
        <v>196</v>
      </c>
      <c r="E41">
        <v>0.2</v>
      </c>
      <c r="F41">
        <v>0.7</v>
      </c>
    </row>
    <row r="42" spans="1:6" ht="26.25" x14ac:dyDescent="0.25">
      <c r="A42" s="189" t="s">
        <v>44</v>
      </c>
      <c r="B42" s="173" t="s">
        <v>121</v>
      </c>
      <c r="C42" s="172">
        <v>5</v>
      </c>
      <c r="D42" s="164" t="s">
        <v>198</v>
      </c>
      <c r="E42">
        <v>0.8</v>
      </c>
      <c r="F42">
        <v>0.1</v>
      </c>
    </row>
    <row r="43" spans="1:6" ht="26.25" x14ac:dyDescent="0.25">
      <c r="A43" s="189"/>
      <c r="B43" s="173" t="s">
        <v>122</v>
      </c>
      <c r="C43" s="172">
        <v>3</v>
      </c>
      <c r="D43" s="164" t="s">
        <v>199</v>
      </c>
      <c r="E43">
        <v>0.6</v>
      </c>
      <c r="F43">
        <v>0.3</v>
      </c>
    </row>
    <row r="44" spans="1:6" ht="26.25" x14ac:dyDescent="0.25">
      <c r="A44" s="189"/>
      <c r="B44" s="173" t="s">
        <v>123</v>
      </c>
      <c r="C44" s="172">
        <v>1</v>
      </c>
      <c r="D44" s="164" t="s">
        <v>200</v>
      </c>
      <c r="E44">
        <v>0.4</v>
      </c>
      <c r="F44">
        <v>0.5</v>
      </c>
    </row>
    <row r="45" spans="1:6" ht="26.25" x14ac:dyDescent="0.25">
      <c r="A45" s="189"/>
      <c r="B45" s="173" t="s">
        <v>197</v>
      </c>
      <c r="C45" s="172">
        <v>0</v>
      </c>
      <c r="D45" s="164" t="s">
        <v>201</v>
      </c>
      <c r="E45">
        <v>0.2</v>
      </c>
      <c r="F45">
        <v>0.7</v>
      </c>
    </row>
    <row r="46" spans="1:6" ht="26.25" x14ac:dyDescent="0.25">
      <c r="A46" s="188" t="s">
        <v>45</v>
      </c>
      <c r="B46" s="173" t="s">
        <v>124</v>
      </c>
      <c r="C46" s="172">
        <v>5</v>
      </c>
      <c r="D46" s="164" t="s">
        <v>168</v>
      </c>
      <c r="E46">
        <v>0.8</v>
      </c>
      <c r="F46">
        <v>0.1</v>
      </c>
    </row>
    <row r="47" spans="1:6" ht="26.25" x14ac:dyDescent="0.25">
      <c r="A47" s="188"/>
      <c r="B47" s="173" t="s">
        <v>125</v>
      </c>
      <c r="C47" s="172">
        <v>3</v>
      </c>
      <c r="D47" s="164" t="s">
        <v>169</v>
      </c>
      <c r="E47">
        <v>0.6</v>
      </c>
      <c r="F47">
        <v>0.3</v>
      </c>
    </row>
    <row r="48" spans="1:6" ht="26.25" x14ac:dyDescent="0.25">
      <c r="A48" s="188"/>
      <c r="B48" s="173" t="s">
        <v>126</v>
      </c>
      <c r="C48" s="172">
        <v>1</v>
      </c>
      <c r="D48" s="164" t="s">
        <v>170</v>
      </c>
      <c r="E48">
        <v>0.4</v>
      </c>
      <c r="F48">
        <v>0.5</v>
      </c>
    </row>
    <row r="49" spans="1:6" ht="26.25" x14ac:dyDescent="0.25">
      <c r="A49" s="188"/>
      <c r="B49" s="173" t="s">
        <v>209</v>
      </c>
      <c r="C49" s="172">
        <v>0</v>
      </c>
      <c r="D49" s="164" t="s">
        <v>171</v>
      </c>
      <c r="E49">
        <v>0.2</v>
      </c>
      <c r="F49">
        <v>0.7</v>
      </c>
    </row>
    <row r="50" spans="1:6" ht="26.25" customHeight="1" x14ac:dyDescent="0.25">
      <c r="A50" s="188" t="s">
        <v>48</v>
      </c>
      <c r="B50" s="173" t="s">
        <v>127</v>
      </c>
      <c r="C50" s="172">
        <v>5</v>
      </c>
      <c r="D50" s="164" t="s">
        <v>158</v>
      </c>
      <c r="E50">
        <v>0.8</v>
      </c>
      <c r="F50">
        <v>0.1</v>
      </c>
    </row>
    <row r="51" spans="1:6" ht="26.25" x14ac:dyDescent="0.25">
      <c r="A51" s="188"/>
      <c r="B51" s="173" t="s">
        <v>128</v>
      </c>
      <c r="C51" s="172">
        <v>3</v>
      </c>
      <c r="D51" s="164" t="s">
        <v>159</v>
      </c>
      <c r="E51">
        <v>0.6</v>
      </c>
      <c r="F51">
        <v>0.3</v>
      </c>
    </row>
    <row r="52" spans="1:6" ht="26.25" x14ac:dyDescent="0.25">
      <c r="A52" s="188"/>
      <c r="B52" s="173" t="s">
        <v>129</v>
      </c>
      <c r="C52" s="172">
        <v>1</v>
      </c>
      <c r="D52" s="164" t="s">
        <v>160</v>
      </c>
      <c r="E52">
        <v>0.4</v>
      </c>
      <c r="F52">
        <v>0.5</v>
      </c>
    </row>
    <row r="53" spans="1:6" ht="26.25" x14ac:dyDescent="0.25">
      <c r="A53" s="188"/>
      <c r="B53" s="173" t="s">
        <v>208</v>
      </c>
      <c r="C53" s="172">
        <v>0</v>
      </c>
      <c r="D53" s="164" t="s">
        <v>161</v>
      </c>
      <c r="E53">
        <v>0.2</v>
      </c>
      <c r="F53">
        <v>0.7</v>
      </c>
    </row>
    <row r="54" spans="1:6" ht="26.25" customHeight="1" x14ac:dyDescent="0.25">
      <c r="A54" s="188" t="s">
        <v>49</v>
      </c>
      <c r="B54" s="173" t="s">
        <v>130</v>
      </c>
      <c r="C54" s="172">
        <v>5</v>
      </c>
      <c r="D54" s="164" t="s">
        <v>158</v>
      </c>
      <c r="E54">
        <v>0.8</v>
      </c>
      <c r="F54">
        <v>0.1</v>
      </c>
    </row>
    <row r="55" spans="1:6" ht="26.25" x14ac:dyDescent="0.25">
      <c r="A55" s="188"/>
      <c r="B55" s="173" t="s">
        <v>131</v>
      </c>
      <c r="C55" s="172">
        <v>3</v>
      </c>
      <c r="D55" s="164" t="s">
        <v>159</v>
      </c>
      <c r="E55">
        <v>0.6</v>
      </c>
      <c r="F55">
        <v>0.3</v>
      </c>
    </row>
    <row r="56" spans="1:6" ht="26.25" x14ac:dyDescent="0.25">
      <c r="A56" s="188"/>
      <c r="B56" s="173" t="s">
        <v>132</v>
      </c>
      <c r="C56" s="172">
        <v>1</v>
      </c>
      <c r="D56" s="164" t="s">
        <v>160</v>
      </c>
      <c r="E56">
        <v>0.4</v>
      </c>
      <c r="F56">
        <v>0.5</v>
      </c>
    </row>
    <row r="57" spans="1:6" ht="26.25" x14ac:dyDescent="0.25">
      <c r="A57" s="188"/>
      <c r="B57" s="173" t="s">
        <v>207</v>
      </c>
      <c r="C57" s="172">
        <v>0</v>
      </c>
      <c r="D57" s="164" t="s">
        <v>161</v>
      </c>
      <c r="E57">
        <v>0.2</v>
      </c>
      <c r="F57">
        <v>0.7</v>
      </c>
    </row>
    <row r="58" spans="1:6" ht="39" customHeight="1" x14ac:dyDescent="0.25">
      <c r="A58" s="189" t="s">
        <v>52</v>
      </c>
      <c r="B58" s="173" t="s">
        <v>133</v>
      </c>
      <c r="C58" s="172">
        <v>5</v>
      </c>
      <c r="D58" s="164" t="s">
        <v>158</v>
      </c>
      <c r="E58">
        <v>0.8</v>
      </c>
      <c r="F58">
        <v>0.1</v>
      </c>
    </row>
    <row r="59" spans="1:6" ht="39" x14ac:dyDescent="0.25">
      <c r="A59" s="189"/>
      <c r="B59" s="173" t="s">
        <v>134</v>
      </c>
      <c r="C59" s="172">
        <v>3</v>
      </c>
      <c r="D59" s="164" t="s">
        <v>159</v>
      </c>
      <c r="E59">
        <v>0.6</v>
      </c>
      <c r="F59">
        <v>0.3</v>
      </c>
    </row>
    <row r="60" spans="1:6" ht="38.25" x14ac:dyDescent="0.25">
      <c r="A60" s="189"/>
      <c r="B60" s="175" t="s">
        <v>135</v>
      </c>
      <c r="C60" s="172">
        <v>1</v>
      </c>
      <c r="D60" s="164" t="s">
        <v>160</v>
      </c>
      <c r="E60">
        <v>0.4</v>
      </c>
      <c r="F60">
        <v>0.5</v>
      </c>
    </row>
    <row r="61" spans="1:6" ht="38.25" x14ac:dyDescent="0.25">
      <c r="A61" s="189"/>
      <c r="B61" s="175" t="s">
        <v>206</v>
      </c>
      <c r="C61" s="172">
        <v>0</v>
      </c>
      <c r="D61" s="164" t="s">
        <v>161</v>
      </c>
      <c r="E61">
        <v>0.2</v>
      </c>
      <c r="F61">
        <v>0.7</v>
      </c>
    </row>
    <row r="62" spans="1:6" ht="26.25" customHeight="1" x14ac:dyDescent="0.25">
      <c r="A62" s="189" t="s">
        <v>53</v>
      </c>
      <c r="B62" s="173" t="s">
        <v>136</v>
      </c>
      <c r="C62" s="172">
        <v>5</v>
      </c>
      <c r="D62" s="164" t="s">
        <v>158</v>
      </c>
      <c r="E62">
        <v>0.8</v>
      </c>
      <c r="F62">
        <v>0.1</v>
      </c>
    </row>
    <row r="63" spans="1:6" ht="26.25" x14ac:dyDescent="0.25">
      <c r="A63" s="189"/>
      <c r="B63" s="173" t="s">
        <v>137</v>
      </c>
      <c r="C63" s="172">
        <v>3</v>
      </c>
      <c r="D63" s="164" t="s">
        <v>159</v>
      </c>
      <c r="E63">
        <v>0.6</v>
      </c>
      <c r="F63">
        <v>0.3</v>
      </c>
    </row>
    <row r="64" spans="1:6" ht="26.25" x14ac:dyDescent="0.25">
      <c r="A64" s="189"/>
      <c r="B64" s="176" t="s">
        <v>138</v>
      </c>
      <c r="C64" s="172">
        <v>1</v>
      </c>
      <c r="D64" s="164" t="s">
        <v>160</v>
      </c>
      <c r="E64">
        <v>0.4</v>
      </c>
      <c r="F64">
        <v>0.5</v>
      </c>
    </row>
    <row r="65" spans="1:6" ht="33" customHeight="1" x14ac:dyDescent="0.25">
      <c r="A65" s="189"/>
      <c r="B65" s="176" t="s">
        <v>205</v>
      </c>
      <c r="C65" s="172">
        <v>0</v>
      </c>
      <c r="D65" s="164" t="s">
        <v>161</v>
      </c>
      <c r="E65">
        <v>0.2</v>
      </c>
      <c r="F65">
        <v>0.7</v>
      </c>
    </row>
    <row r="66" spans="1:6" ht="26.25" customHeight="1" x14ac:dyDescent="0.25">
      <c r="A66" s="189" t="s">
        <v>54</v>
      </c>
      <c r="B66" s="173" t="s">
        <v>139</v>
      </c>
      <c r="C66" s="172">
        <v>5</v>
      </c>
      <c r="D66" s="164" t="s">
        <v>198</v>
      </c>
      <c r="E66">
        <v>0.8</v>
      </c>
      <c r="F66">
        <v>0.1</v>
      </c>
    </row>
    <row r="67" spans="1:6" ht="26.25" x14ac:dyDescent="0.25">
      <c r="A67" s="189"/>
      <c r="B67" s="173" t="s">
        <v>140</v>
      </c>
      <c r="C67" s="172">
        <v>3</v>
      </c>
      <c r="D67" s="164" t="s">
        <v>210</v>
      </c>
      <c r="E67">
        <v>0.6</v>
      </c>
      <c r="F67">
        <v>0.3</v>
      </c>
    </row>
    <row r="68" spans="1:6" ht="26.25" x14ac:dyDescent="0.25">
      <c r="A68" s="189"/>
      <c r="B68" s="173" t="s">
        <v>141</v>
      </c>
      <c r="C68" s="172">
        <v>1</v>
      </c>
      <c r="D68" s="164" t="s">
        <v>200</v>
      </c>
      <c r="E68">
        <v>0.4</v>
      </c>
      <c r="F68">
        <v>0.5</v>
      </c>
    </row>
    <row r="69" spans="1:6" ht="26.25" x14ac:dyDescent="0.25">
      <c r="A69" s="189"/>
      <c r="B69" s="173" t="s">
        <v>204</v>
      </c>
      <c r="C69" s="172">
        <v>0</v>
      </c>
      <c r="D69" s="164" t="s">
        <v>201</v>
      </c>
      <c r="E69">
        <v>0.2</v>
      </c>
      <c r="F69">
        <v>0.7</v>
      </c>
    </row>
    <row r="70" spans="1:6" ht="26.25" customHeight="1" x14ac:dyDescent="0.25">
      <c r="A70" s="191" t="s">
        <v>57</v>
      </c>
      <c r="B70" s="173" t="s">
        <v>142</v>
      </c>
      <c r="C70" s="172">
        <v>5</v>
      </c>
      <c r="D70" s="164" t="s">
        <v>188</v>
      </c>
      <c r="E70">
        <v>0.8</v>
      </c>
      <c r="F70">
        <v>0.1</v>
      </c>
    </row>
    <row r="71" spans="1:6" ht="26.25" x14ac:dyDescent="0.25">
      <c r="A71" s="191"/>
      <c r="B71" s="173" t="s">
        <v>143</v>
      </c>
      <c r="C71" s="172">
        <v>3</v>
      </c>
      <c r="D71" s="164" t="s">
        <v>211</v>
      </c>
      <c r="E71">
        <v>0.6</v>
      </c>
      <c r="F71">
        <v>0.3</v>
      </c>
    </row>
    <row r="72" spans="1:6" ht="25.5" x14ac:dyDescent="0.25">
      <c r="A72" s="191"/>
      <c r="B72" s="175" t="s">
        <v>144</v>
      </c>
      <c r="C72" s="172">
        <v>1</v>
      </c>
      <c r="D72" s="164" t="s">
        <v>190</v>
      </c>
      <c r="E72">
        <v>0.4</v>
      </c>
      <c r="F72">
        <v>0.5</v>
      </c>
    </row>
    <row r="73" spans="1:6" ht="25.5" x14ac:dyDescent="0.25">
      <c r="A73" s="191"/>
      <c r="B73" s="175" t="s">
        <v>203</v>
      </c>
      <c r="C73" s="172">
        <v>0</v>
      </c>
      <c r="D73" s="164" t="s">
        <v>191</v>
      </c>
      <c r="E73">
        <v>0.2</v>
      </c>
      <c r="F73">
        <v>0.7</v>
      </c>
    </row>
    <row r="74" spans="1:6" ht="26.25" customHeight="1" x14ac:dyDescent="0.25">
      <c r="A74" s="191" t="s">
        <v>58</v>
      </c>
      <c r="B74" s="173" t="s">
        <v>145</v>
      </c>
      <c r="C74" s="172">
        <v>5</v>
      </c>
      <c r="D74" s="164" t="s">
        <v>188</v>
      </c>
      <c r="E74">
        <v>0.8</v>
      </c>
      <c r="F74">
        <v>0.1</v>
      </c>
    </row>
    <row r="75" spans="1:6" ht="26.25" x14ac:dyDescent="0.25">
      <c r="A75" s="191"/>
      <c r="B75" s="173" t="s">
        <v>146</v>
      </c>
      <c r="C75" s="172">
        <v>3</v>
      </c>
      <c r="D75" s="164" t="s">
        <v>211</v>
      </c>
      <c r="E75">
        <v>0.6</v>
      </c>
      <c r="F75">
        <v>0.3</v>
      </c>
    </row>
    <row r="76" spans="1:6" ht="25.5" x14ac:dyDescent="0.25">
      <c r="A76" s="191"/>
      <c r="B76" s="175" t="s">
        <v>147</v>
      </c>
      <c r="C76" s="172">
        <v>1</v>
      </c>
      <c r="D76" s="164" t="s">
        <v>190</v>
      </c>
      <c r="E76">
        <v>0.4</v>
      </c>
      <c r="F76">
        <v>0.5</v>
      </c>
    </row>
    <row r="77" spans="1:6" ht="25.5" x14ac:dyDescent="0.25">
      <c r="A77" s="191"/>
      <c r="B77" s="175" t="s">
        <v>202</v>
      </c>
      <c r="C77" s="172">
        <v>0</v>
      </c>
      <c r="D77" s="164" t="s">
        <v>191</v>
      </c>
      <c r="E77">
        <v>0.2</v>
      </c>
      <c r="F77">
        <v>0.7</v>
      </c>
    </row>
  </sheetData>
  <mergeCells count="19">
    <mergeCell ref="A74:A77"/>
    <mergeCell ref="A70:A73"/>
    <mergeCell ref="A66:A69"/>
    <mergeCell ref="A62:A65"/>
    <mergeCell ref="A58:A61"/>
    <mergeCell ref="A2:A5"/>
    <mergeCell ref="A6:A9"/>
    <mergeCell ref="A10:A13"/>
    <mergeCell ref="A14:A17"/>
    <mergeCell ref="A18:A21"/>
    <mergeCell ref="A22:A25"/>
    <mergeCell ref="A26:A29"/>
    <mergeCell ref="A38:A41"/>
    <mergeCell ref="A42:A45"/>
    <mergeCell ref="A54:A57"/>
    <mergeCell ref="A50:A53"/>
    <mergeCell ref="A30:A33"/>
    <mergeCell ref="A34:A37"/>
    <mergeCell ref="A46:A4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E77E5-E0D5-4123-A6DC-88F1C2B95C01}">
  <sheetPr>
    <tabColor rgb="FF0070C0"/>
  </sheetPr>
  <dimension ref="A1:O55"/>
  <sheetViews>
    <sheetView showGridLines="0" zoomScale="50" zoomScaleNormal="50" zoomScaleSheetLayoutView="75" zoomScalePageLayoutView="9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B6" sqref="B6"/>
    </sheetView>
  </sheetViews>
  <sheetFormatPr defaultColWidth="8.85546875" defaultRowHeight="15" x14ac:dyDescent="0.25"/>
  <cols>
    <col min="1" max="1" width="24" customWidth="1"/>
    <col min="2" max="2" width="45.85546875" customWidth="1"/>
    <col min="3" max="3" width="12.42578125" customWidth="1"/>
    <col min="4" max="4" width="9.140625" customWidth="1"/>
    <col min="5" max="5" width="12.140625" customWidth="1"/>
    <col min="6" max="6" width="9.140625" customWidth="1"/>
    <col min="7" max="7" width="36.42578125" customWidth="1"/>
    <col min="8" max="9" width="9.140625" customWidth="1"/>
    <col min="10" max="10" width="10" bestFit="1" customWidth="1"/>
    <col min="11" max="12" width="9.140625" customWidth="1"/>
    <col min="13" max="13" width="11.28515625" customWidth="1"/>
    <col min="14" max="14" width="2.28515625" style="3" customWidth="1"/>
  </cols>
  <sheetData>
    <row r="1" spans="1:14" ht="18.75" customHeight="1" x14ac:dyDescent="0.3">
      <c r="A1" s="193" t="s">
        <v>0</v>
      </c>
      <c r="B1" s="193"/>
      <c r="C1" s="193"/>
      <c r="D1" s="193"/>
      <c r="E1" s="193"/>
      <c r="F1" s="193"/>
      <c r="G1" s="1"/>
      <c r="H1" s="1"/>
      <c r="I1" s="1"/>
      <c r="J1" s="1"/>
      <c r="K1" s="1"/>
      <c r="L1" s="1"/>
      <c r="M1" s="2"/>
    </row>
    <row r="2" spans="1:14" ht="3.75" customHeight="1" x14ac:dyDescent="0.25">
      <c r="A2" s="194"/>
      <c r="B2" s="194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4" ht="15.75" customHeight="1" x14ac:dyDescent="0.25">
      <c r="A3" s="6" t="s">
        <v>1</v>
      </c>
      <c r="B3" s="6" t="str">
        <f>": "&amp;[19]NUMERIK!E14</f>
        <v>: JAWA TIMUR</v>
      </c>
      <c r="C3" s="7" t="s">
        <v>2</v>
      </c>
      <c r="D3" s="8"/>
      <c r="E3" s="9">
        <f>[19]NUMERIK!K6</f>
        <v>43.8</v>
      </c>
      <c r="F3" t="s">
        <v>3</v>
      </c>
    </row>
    <row r="4" spans="1:14" ht="15.75" customHeight="1" x14ac:dyDescent="0.25">
      <c r="A4" s="6" t="s">
        <v>4</v>
      </c>
      <c r="B4" s="6" t="str">
        <f>": "&amp;[19]NUMERIK!E12</f>
        <v>: KAB. MAGETAN</v>
      </c>
      <c r="C4" s="7" t="s">
        <v>5</v>
      </c>
      <c r="D4" s="8"/>
      <c r="E4" s="9">
        <f>[19]NUMERIK!K8</f>
        <v>43.8</v>
      </c>
      <c r="F4" t="s">
        <v>3</v>
      </c>
    </row>
    <row r="5" spans="1:14" ht="15.75" customHeight="1" x14ac:dyDescent="0.25">
      <c r="A5" s="10" t="s">
        <v>6</v>
      </c>
      <c r="B5" s="10" t="str">
        <f>": "&amp;[19]NUMERIK!E10</f>
        <v>: MAGETAN</v>
      </c>
      <c r="C5" s="7" t="s">
        <v>7</v>
      </c>
      <c r="D5" s="8"/>
      <c r="E5" s="11">
        <f>[19]NUMERIK!K10</f>
        <v>414</v>
      </c>
      <c r="F5" t="s">
        <v>8</v>
      </c>
    </row>
    <row r="6" spans="1:14" ht="15.75" customHeight="1" x14ac:dyDescent="0.25">
      <c r="A6" s="10" t="s">
        <v>9</v>
      </c>
      <c r="B6" s="10" t="str">
        <f>": "&amp;[19]NUMERIK!E6</f>
        <v>: SELOSARI</v>
      </c>
      <c r="C6" s="7" t="s">
        <v>10</v>
      </c>
      <c r="D6" s="8"/>
      <c r="E6" s="12">
        <f>[19]NUMERIK!K12</f>
        <v>1552</v>
      </c>
      <c r="F6" t="s">
        <v>11</v>
      </c>
    </row>
    <row r="7" spans="1:14" ht="15.75" customHeight="1" x14ac:dyDescent="0.25">
      <c r="A7" s="4"/>
      <c r="B7" s="13"/>
      <c r="C7" s="7" t="s">
        <v>7</v>
      </c>
      <c r="D7" s="5"/>
      <c r="E7" s="12">
        <f>[19]NUMERIK!K14</f>
        <v>491</v>
      </c>
      <c r="F7" t="s">
        <v>12</v>
      </c>
    </row>
    <row r="8" spans="1:14" ht="5.25" customHeight="1" thickBot="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4" ht="12" customHeight="1" x14ac:dyDescent="0.25">
      <c r="A9" s="195" t="s">
        <v>13</v>
      </c>
      <c r="B9" s="197" t="s">
        <v>14</v>
      </c>
      <c r="C9" s="199" t="s">
        <v>15</v>
      </c>
      <c r="D9" s="200"/>
      <c r="E9" s="200"/>
      <c r="F9" s="201"/>
      <c r="G9" s="216" t="s">
        <v>16</v>
      </c>
      <c r="H9" s="217"/>
      <c r="I9" s="217"/>
      <c r="J9" s="205" t="s">
        <v>17</v>
      </c>
      <c r="K9" s="206"/>
      <c r="L9" s="206"/>
      <c r="M9" s="207"/>
    </row>
    <row r="10" spans="1:14" ht="9.75" customHeight="1" x14ac:dyDescent="0.25">
      <c r="A10" s="196"/>
      <c r="B10" s="198"/>
      <c r="C10" s="202"/>
      <c r="D10" s="203"/>
      <c r="E10" s="203"/>
      <c r="F10" s="204"/>
      <c r="G10" s="211" t="s">
        <v>18</v>
      </c>
      <c r="H10" s="212"/>
      <c r="I10" s="212"/>
      <c r="J10" s="208"/>
      <c r="K10" s="209"/>
      <c r="L10" s="209"/>
      <c r="M10" s="210"/>
    </row>
    <row r="11" spans="1:14" ht="15.75" thickBot="1" x14ac:dyDescent="0.3">
      <c r="A11" s="196"/>
      <c r="B11" s="198"/>
      <c r="C11" s="14" t="s">
        <v>19</v>
      </c>
      <c r="D11" s="14" t="s">
        <v>20</v>
      </c>
      <c r="E11" s="14" t="s">
        <v>21</v>
      </c>
      <c r="F11" s="15" t="s">
        <v>22</v>
      </c>
      <c r="G11" s="16" t="s">
        <v>23</v>
      </c>
      <c r="H11" s="17" t="s">
        <v>24</v>
      </c>
      <c r="I11" s="17" t="s">
        <v>20</v>
      </c>
      <c r="J11" s="18" t="s">
        <v>19</v>
      </c>
      <c r="K11" s="19" t="s">
        <v>20</v>
      </c>
      <c r="L11" s="19" t="s">
        <v>25</v>
      </c>
      <c r="M11" s="20" t="s">
        <v>22</v>
      </c>
    </row>
    <row r="12" spans="1:14" s="34" customFormat="1" ht="24.95" customHeight="1" x14ac:dyDescent="0.25">
      <c r="A12" s="213" t="s">
        <v>26</v>
      </c>
      <c r="B12" s="21" t="s">
        <v>27</v>
      </c>
      <c r="C12" s="22">
        <f>[19]NUMERIK!K18</f>
        <v>147</v>
      </c>
      <c r="D12" s="23" t="s">
        <v>8</v>
      </c>
      <c r="E12" s="24">
        <f>C12/E5*100%</f>
        <v>0.35507246376811596</v>
      </c>
      <c r="F12" s="25">
        <f t="shared" ref="F12:F36" si="0">IF(AND(E12&gt;=24.995%,E12&lt;50.995%),1,IF(AND(E12&gt;=50.995%,E12&lt;75.995%),3,IF(E12&gt;=75.995%,5,0)))</f>
        <v>1</v>
      </c>
      <c r="G12" s="26" t="str">
        <f>[19]Outcome!Q6</f>
        <v xml:space="preserve">, , , , , , , , , , , , , , , , , , , , , , , , , , , , , , , , , , , , , , , , , , , , </v>
      </c>
      <c r="H12" s="27">
        <f>[19]Outcome!M6</f>
        <v>0</v>
      </c>
      <c r="I12" s="28" t="s">
        <v>8</v>
      </c>
      <c r="J12" s="29">
        <f>IF(H12&gt;C12,0,C12-H12)</f>
        <v>147</v>
      </c>
      <c r="K12" s="30" t="s">
        <v>8</v>
      </c>
      <c r="L12" s="31">
        <f>J12/E$5*100%</f>
        <v>0.35507246376811596</v>
      </c>
      <c r="M12" s="32">
        <f t="shared" ref="M12:M36" si="1">IF(AND(L12&gt;=24.995%,L12&lt;50.995%),1,IF(AND(L12&gt;=50.995%,L12&lt;75.995%),3,IF(L12&gt;=75.995%,5,0)))</f>
        <v>1</v>
      </c>
      <c r="N12" s="33"/>
    </row>
    <row r="13" spans="1:14" s="34" customFormat="1" ht="24.95" customHeight="1" x14ac:dyDescent="0.25">
      <c r="A13" s="213"/>
      <c r="B13" s="21" t="s">
        <v>28</v>
      </c>
      <c r="C13" s="35">
        <f>[19]NUMERIK!K20</f>
        <v>0</v>
      </c>
      <c r="D13" s="23" t="s">
        <v>3</v>
      </c>
      <c r="E13" s="24">
        <f>C13/E4*100%</f>
        <v>0</v>
      </c>
      <c r="F13" s="25">
        <f t="shared" si="0"/>
        <v>0</v>
      </c>
      <c r="G13" s="36" t="str">
        <f>[19]Outcome!Q51</f>
        <v xml:space="preserve">, , , , , , , , , , , , , , , , , , , </v>
      </c>
      <c r="H13" s="37">
        <f>[19]Outcome!M51</f>
        <v>0</v>
      </c>
      <c r="I13" s="38" t="s">
        <v>3</v>
      </c>
      <c r="J13" s="39">
        <f>IF(H13&gt;C13,0,C13-H13)</f>
        <v>0</v>
      </c>
      <c r="K13" s="40" t="s">
        <v>3</v>
      </c>
      <c r="L13" s="41">
        <f>J13/E$4*100%</f>
        <v>0</v>
      </c>
      <c r="M13" s="42">
        <f t="shared" si="1"/>
        <v>0</v>
      </c>
      <c r="N13" s="33"/>
    </row>
    <row r="14" spans="1:14" s="34" customFormat="1" ht="24.95" customHeight="1" thickBot="1" x14ac:dyDescent="0.3">
      <c r="A14" s="214"/>
      <c r="B14" s="43" t="s">
        <v>29</v>
      </c>
      <c r="C14" s="35">
        <f>[19]NUMERIK!K22</f>
        <v>136</v>
      </c>
      <c r="D14" s="23" t="s">
        <v>8</v>
      </c>
      <c r="E14" s="24">
        <f>C14/E5*100%</f>
        <v>0.32850241545893721</v>
      </c>
      <c r="F14" s="44">
        <f t="shared" si="0"/>
        <v>1</v>
      </c>
      <c r="G14" s="45" t="str">
        <f>[19]Outcome!Q71</f>
        <v xml:space="preserve">Bangunan Gedung RT002-RW006, Bangunan Gedung RT002-RW004, Bangunan Gedung RT002-RW006, Bangunan Gedung RT003-RW002, Bangunan Gedung RT001-RW005, Bangunan Gedung RT004-RW005, , , , , , , , , , , , , , , , , , , , , , , , , , , , , , , , , , , , , , , </v>
      </c>
      <c r="H14" s="46">
        <f>[19]Outcome!M71</f>
        <v>18</v>
      </c>
      <c r="I14" s="47" t="s">
        <v>8</v>
      </c>
      <c r="J14" s="48">
        <f>IF(H14&gt;C14,0,C14-H14)</f>
        <v>118</v>
      </c>
      <c r="K14" s="49" t="s">
        <v>8</v>
      </c>
      <c r="L14" s="50">
        <f>J14/E$5*100%</f>
        <v>0.28502415458937197</v>
      </c>
      <c r="M14" s="51">
        <f t="shared" si="1"/>
        <v>1</v>
      </c>
      <c r="N14" s="33"/>
    </row>
    <row r="15" spans="1:14" s="34" customFormat="1" ht="30" customHeight="1" thickBot="1" x14ac:dyDescent="0.3">
      <c r="A15" s="52" t="s">
        <v>30</v>
      </c>
      <c r="B15" s="53"/>
      <c r="C15" s="54"/>
      <c r="D15" s="55"/>
      <c r="E15" s="56">
        <f>IF(SUM(F12:F14)&gt;0,(SUMIF(F12:F14,"&gt;0",E12:E14)/3),0)</f>
        <v>0.22785829307568439</v>
      </c>
      <c r="F15" s="57"/>
      <c r="G15" s="58"/>
      <c r="H15" s="59"/>
      <c r="I15" s="59"/>
      <c r="J15" s="60"/>
      <c r="K15" s="61"/>
      <c r="L15" s="56">
        <f>IF(SUM(M12:M14)&gt;0,(SUMIF(M12:M14,"&gt;0",L12:L14)/3),0)</f>
        <v>0.21336553945249595</v>
      </c>
      <c r="M15" s="62"/>
      <c r="N15" s="33"/>
    </row>
    <row r="16" spans="1:14" s="34" customFormat="1" ht="24.95" customHeight="1" x14ac:dyDescent="0.25">
      <c r="A16" s="215" t="s">
        <v>31</v>
      </c>
      <c r="B16" s="63" t="s">
        <v>32</v>
      </c>
      <c r="C16" s="64">
        <f>[19]NUMERIK!K25-[19]NUMERIK!K26</f>
        <v>0</v>
      </c>
      <c r="D16" s="65" t="s">
        <v>33</v>
      </c>
      <c r="E16" s="66">
        <f>C16/[19]NUMERIK!K$25*100%</f>
        <v>0</v>
      </c>
      <c r="F16" s="67">
        <f t="shared" si="0"/>
        <v>0</v>
      </c>
      <c r="G16" s="36" t="str">
        <f>[19]Outcome!Q116</f>
        <v xml:space="preserve">, , , , , , , , , , , , , , , , , , , </v>
      </c>
      <c r="H16" s="27">
        <f>[19]Outcome!M116</f>
        <v>0</v>
      </c>
      <c r="I16" s="68" t="s">
        <v>33</v>
      </c>
      <c r="J16" s="69">
        <f>IF(H16&gt;C16,0,C16-H16)</f>
        <v>0</v>
      </c>
      <c r="K16" s="70" t="s">
        <v>33</v>
      </c>
      <c r="L16" s="71">
        <f>J16/[19]NUMERIK!K$25*100%</f>
        <v>0</v>
      </c>
      <c r="M16" s="72">
        <f t="shared" si="1"/>
        <v>0</v>
      </c>
      <c r="N16" s="33"/>
    </row>
    <row r="17" spans="1:15" s="34" customFormat="1" ht="24.95" customHeight="1" thickBot="1" x14ac:dyDescent="0.3">
      <c r="A17" s="192"/>
      <c r="B17" s="21" t="s">
        <v>34</v>
      </c>
      <c r="C17" s="22">
        <f>[19]NUMERIK!K28</f>
        <v>1814</v>
      </c>
      <c r="D17" s="73" t="s">
        <v>33</v>
      </c>
      <c r="E17" s="24">
        <f>C17/[19]NUMERIK!K$25*100%</f>
        <v>0.34097744360902255</v>
      </c>
      <c r="F17" s="25">
        <f t="shared" si="0"/>
        <v>1</v>
      </c>
      <c r="G17" s="45" t="str">
        <f>[19]Outcome!Q136</f>
        <v xml:space="preserve">Jln.buras (Leburan Aspal) RT004-RW002, Jln.buras (Leburan Aspal) RT001-RW003, , , , , , , , , , , , , , , , , , , , , , , , , , , , , , , , , , , , , , , , , , , </v>
      </c>
      <c r="H17" s="37">
        <f>[19]Outcome!M136</f>
        <v>400</v>
      </c>
      <c r="I17" s="38" t="s">
        <v>33</v>
      </c>
      <c r="J17" s="39">
        <f>IF(H17&gt;C17,0,C17-H17)</f>
        <v>1414</v>
      </c>
      <c r="K17" s="40" t="s">
        <v>33</v>
      </c>
      <c r="L17" s="41">
        <f>J17/[19]NUMERIK!K$25*100%</f>
        <v>0.26578947368421052</v>
      </c>
      <c r="M17" s="42">
        <f t="shared" si="1"/>
        <v>1</v>
      </c>
      <c r="N17" s="33"/>
    </row>
    <row r="18" spans="1:15" s="34" customFormat="1" ht="30" customHeight="1" thickBot="1" x14ac:dyDescent="0.3">
      <c r="A18" s="52" t="s">
        <v>35</v>
      </c>
      <c r="B18" s="53"/>
      <c r="C18" s="54"/>
      <c r="D18" s="55"/>
      <c r="E18" s="56">
        <f>IF(SUM(F16:F17)&gt;0,(SUMIF(F16:F17,"&gt;0",E16:E17)/2),0)</f>
        <v>0.17048872180451127</v>
      </c>
      <c r="F18" s="57"/>
      <c r="G18" s="58"/>
      <c r="H18" s="59"/>
      <c r="I18" s="59"/>
      <c r="J18" s="60"/>
      <c r="K18" s="61"/>
      <c r="L18" s="56">
        <f>IF(SUM(M16:M17)&gt;0,(SUMIF(M16:M17,"&gt;0",L16:L17)/2),0)</f>
        <v>0.13289473684210526</v>
      </c>
      <c r="M18" s="62"/>
      <c r="N18" s="33"/>
    </row>
    <row r="19" spans="1:15" s="34" customFormat="1" ht="24.95" customHeight="1" x14ac:dyDescent="0.25">
      <c r="A19" s="213" t="s">
        <v>36</v>
      </c>
      <c r="B19" s="21" t="s">
        <v>37</v>
      </c>
      <c r="C19" s="22">
        <f>[19]NUMERIK!K31</f>
        <v>0</v>
      </c>
      <c r="D19" s="73" t="s">
        <v>12</v>
      </c>
      <c r="E19" s="74">
        <f>C19/E$7*100%</f>
        <v>0</v>
      </c>
      <c r="F19" s="25">
        <f t="shared" si="0"/>
        <v>0</v>
      </c>
      <c r="G19" s="36" t="str">
        <f>[19]Outcome!Q181</f>
        <v xml:space="preserve">, , , , , , , , , , , , , , , , , , , </v>
      </c>
      <c r="H19" s="27">
        <f>[19]Outcome!Q182</f>
        <v>0</v>
      </c>
      <c r="I19" s="38" t="s">
        <v>12</v>
      </c>
      <c r="J19" s="39">
        <f>IF(H19&gt;C19,0,C19-H19)</f>
        <v>0</v>
      </c>
      <c r="K19" s="75" t="s">
        <v>12</v>
      </c>
      <c r="L19" s="76">
        <f>J19/E$7*100%</f>
        <v>0</v>
      </c>
      <c r="M19" s="42">
        <f t="shared" si="1"/>
        <v>0</v>
      </c>
      <c r="N19" s="33"/>
    </row>
    <row r="20" spans="1:15" s="34" customFormat="1" ht="24.95" customHeight="1" thickBot="1" x14ac:dyDescent="0.3">
      <c r="A20" s="213"/>
      <c r="B20" s="21" t="s">
        <v>38</v>
      </c>
      <c r="C20" s="22">
        <f>[19]NUMERIK!K33</f>
        <v>2</v>
      </c>
      <c r="D20" s="73" t="s">
        <v>12</v>
      </c>
      <c r="E20" s="74">
        <f>C20/E$7*100%</f>
        <v>4.0733197556008143E-3</v>
      </c>
      <c r="F20" s="25">
        <f t="shared" si="0"/>
        <v>0</v>
      </c>
      <c r="G20" s="45" t="str">
        <f>[19]Outcome!Q201</f>
        <v xml:space="preserve">, , , , , , , , , , , , , , , , , , , , , , , , , , , , , , , , , , , , , , , , , , , , </v>
      </c>
      <c r="H20" s="37">
        <f>[19]Outcome!Q202</f>
        <v>0</v>
      </c>
      <c r="I20" s="38" t="s">
        <v>12</v>
      </c>
      <c r="J20" s="39">
        <f>IF(H20&gt;C20,0,C20-H20)</f>
        <v>2</v>
      </c>
      <c r="K20" s="75" t="s">
        <v>12</v>
      </c>
      <c r="L20" s="76">
        <f>J20/E$7*100%</f>
        <v>4.0733197556008143E-3</v>
      </c>
      <c r="M20" s="42">
        <f t="shared" si="1"/>
        <v>0</v>
      </c>
      <c r="N20" s="33"/>
    </row>
    <row r="21" spans="1:15" s="77" customFormat="1" ht="30" customHeight="1" thickBot="1" x14ac:dyDescent="0.3">
      <c r="A21" s="52" t="s">
        <v>39</v>
      </c>
      <c r="B21" s="53"/>
      <c r="C21" s="54"/>
      <c r="D21" s="55"/>
      <c r="E21" s="56">
        <f>IF(SUM(F19:F20)&gt;0,(SUMIF(F19:F20,"&gt;0",E19:E20)/2),0)</f>
        <v>0</v>
      </c>
      <c r="F21" s="57"/>
      <c r="G21" s="58"/>
      <c r="H21" s="59"/>
      <c r="I21" s="59"/>
      <c r="J21" s="60"/>
      <c r="K21" s="61"/>
      <c r="L21" s="56">
        <f>IF(SUM(M19:M20)&gt;0,(SUMIF(M19:M20,"&gt;0",L19:L20)/2),0)</f>
        <v>0</v>
      </c>
      <c r="M21" s="62"/>
      <c r="N21" s="33"/>
      <c r="O21" s="34"/>
    </row>
    <row r="22" spans="1:15" s="34" customFormat="1" ht="20.100000000000001" customHeight="1" x14ac:dyDescent="0.25">
      <c r="A22" s="192" t="s">
        <v>40</v>
      </c>
      <c r="B22" s="78" t="s">
        <v>41</v>
      </c>
      <c r="C22" s="22">
        <f>[19]NUMERIK!K36</f>
        <v>0</v>
      </c>
      <c r="D22" s="73" t="s">
        <v>3</v>
      </c>
      <c r="E22" s="79">
        <f>C22/E$4*100%</f>
        <v>0</v>
      </c>
      <c r="F22" s="25">
        <f t="shared" si="0"/>
        <v>0</v>
      </c>
      <c r="G22" s="36" t="str">
        <f>[19]Outcome!Q246</f>
        <v xml:space="preserve">, , , , , , , , , , , , , , , , , , , </v>
      </c>
      <c r="H22" s="27">
        <f>[19]Outcome!M246</f>
        <v>0</v>
      </c>
      <c r="I22" s="38" t="s">
        <v>3</v>
      </c>
      <c r="J22" s="39">
        <f>IF(H22&gt;C22,0,C22-H22)</f>
        <v>0</v>
      </c>
      <c r="K22" s="40" t="s">
        <v>3</v>
      </c>
      <c r="L22" s="41">
        <f>J22/E$4*100%</f>
        <v>0</v>
      </c>
      <c r="M22" s="42">
        <f t="shared" si="1"/>
        <v>0</v>
      </c>
      <c r="N22" s="33"/>
    </row>
    <row r="23" spans="1:15" s="34" customFormat="1" ht="25.5" customHeight="1" x14ac:dyDescent="0.25">
      <c r="A23" s="192"/>
      <c r="B23" s="21" t="s">
        <v>42</v>
      </c>
      <c r="C23" s="22">
        <f>([19]NUMERIK!K38-[19]NUMERIK!K40)</f>
        <v>0</v>
      </c>
      <c r="D23" s="73" t="s">
        <v>33</v>
      </c>
      <c r="E23" s="79">
        <f>C23/[19]NUMERIK!K$38*100%</f>
        <v>0</v>
      </c>
      <c r="F23" s="25">
        <f t="shared" si="0"/>
        <v>0</v>
      </c>
      <c r="G23" s="36" t="str">
        <f>[19]Outcome!Q266</f>
        <v xml:space="preserve">, , , , , , , , , , , , , , , , , , , , , , , , , , , , , , , , , , , , , , , , , , , , </v>
      </c>
      <c r="H23" s="37">
        <f>[19]Outcome!M266</f>
        <v>0</v>
      </c>
      <c r="I23" s="38" t="s">
        <v>33</v>
      </c>
      <c r="J23" s="39">
        <f>IF(H23&gt;C23,0,C23-H23)</f>
        <v>0</v>
      </c>
      <c r="K23" s="40" t="s">
        <v>33</v>
      </c>
      <c r="L23" s="41">
        <f>J23/[19]NUMERIK!K$38*100%</f>
        <v>0</v>
      </c>
      <c r="M23" s="42">
        <f t="shared" si="1"/>
        <v>0</v>
      </c>
      <c r="N23" s="33"/>
    </row>
    <row r="24" spans="1:15" s="34" customFormat="1" ht="20.100000000000001" customHeight="1" x14ac:dyDescent="0.25">
      <c r="A24" s="192"/>
      <c r="B24" s="21" t="s">
        <v>43</v>
      </c>
      <c r="C24" s="22">
        <f>[19]NUMERIK!K42</f>
        <v>0</v>
      </c>
      <c r="D24" s="73" t="s">
        <v>33</v>
      </c>
      <c r="E24" s="79">
        <f>C24/[19]NUMERIK!K$38*100%</f>
        <v>0</v>
      </c>
      <c r="F24" s="25">
        <f t="shared" si="0"/>
        <v>0</v>
      </c>
      <c r="G24" s="36" t="str">
        <f>[19]Outcome!Q311</f>
        <v xml:space="preserve">, , , , , , , , , , , , , , , , , , , </v>
      </c>
      <c r="H24" s="37">
        <f>[19]Outcome!M311</f>
        <v>0</v>
      </c>
      <c r="I24" s="38" t="s">
        <v>33</v>
      </c>
      <c r="J24" s="39">
        <f>IF(H24&gt;C24,0,C24-H24)</f>
        <v>0</v>
      </c>
      <c r="K24" s="40" t="s">
        <v>33</v>
      </c>
      <c r="L24" s="41">
        <f>J24/[19]NUMERIK!K$38*100%</f>
        <v>0</v>
      </c>
      <c r="M24" s="42">
        <f t="shared" si="1"/>
        <v>0</v>
      </c>
      <c r="N24" s="33"/>
    </row>
    <row r="25" spans="1:15" s="34" customFormat="1" ht="20.100000000000001" customHeight="1" x14ac:dyDescent="0.25">
      <c r="A25" s="192"/>
      <c r="B25" s="21" t="s">
        <v>44</v>
      </c>
      <c r="C25" s="22">
        <f>[19]NUMERIK!K45</f>
        <v>2910</v>
      </c>
      <c r="D25" s="73" t="s">
        <v>33</v>
      </c>
      <c r="E25" s="79">
        <f>C25/[19]NUMERIK!K$38*100%</f>
        <v>1</v>
      </c>
      <c r="F25" s="25">
        <f t="shared" si="0"/>
        <v>5</v>
      </c>
      <c r="G25" s="36" t="str">
        <f>[19]Outcome!Q331</f>
        <v xml:space="preserve">, , , , , , , , , , , , , , , , , , , </v>
      </c>
      <c r="H25" s="37">
        <f>[19]Outcome!M331</f>
        <v>0</v>
      </c>
      <c r="I25" s="38" t="s">
        <v>33</v>
      </c>
      <c r="J25" s="39">
        <f>IF(H25&gt;C25,0,C25-H25)</f>
        <v>2910</v>
      </c>
      <c r="K25" s="40" t="s">
        <v>33</v>
      </c>
      <c r="L25" s="41">
        <f>J25/[19]NUMERIK!K$38*100%</f>
        <v>1</v>
      </c>
      <c r="M25" s="42">
        <f t="shared" si="1"/>
        <v>5</v>
      </c>
      <c r="N25" s="33"/>
    </row>
    <row r="26" spans="1:15" s="34" customFormat="1" ht="20.100000000000001" customHeight="1" thickBot="1" x14ac:dyDescent="0.3">
      <c r="A26" s="192"/>
      <c r="B26" s="78" t="s">
        <v>45</v>
      </c>
      <c r="C26" s="22">
        <f>[19]NUMERIK!K48</f>
        <v>800</v>
      </c>
      <c r="D26" s="73" t="s">
        <v>33</v>
      </c>
      <c r="E26" s="79">
        <f>C26/[19]NUMERIK!K$38*100%</f>
        <v>0.27491408934707906</v>
      </c>
      <c r="F26" s="25">
        <f t="shared" si="0"/>
        <v>1</v>
      </c>
      <c r="G26" s="36" t="str">
        <f>[19]Outcome!Q351</f>
        <v xml:space="preserve">, , , , , , , , , , , , , , , , , , , , , , , , , , , , , , , , , , , , , , , , , , , , </v>
      </c>
      <c r="H26" s="37">
        <f>[19]Outcome!M351</f>
        <v>0</v>
      </c>
      <c r="I26" s="38" t="s">
        <v>33</v>
      </c>
      <c r="J26" s="39">
        <f>IF(H26&gt;C26,0,C26-H26)</f>
        <v>800</v>
      </c>
      <c r="K26" s="40" t="s">
        <v>33</v>
      </c>
      <c r="L26" s="41">
        <f>J26/[19]NUMERIK!K$38*100%</f>
        <v>0.27491408934707906</v>
      </c>
      <c r="M26" s="42">
        <f t="shared" si="1"/>
        <v>1</v>
      </c>
      <c r="N26" s="33"/>
    </row>
    <row r="27" spans="1:15" s="88" customFormat="1" ht="30" customHeight="1" thickBot="1" x14ac:dyDescent="0.3">
      <c r="A27" s="80" t="s">
        <v>46</v>
      </c>
      <c r="B27" s="81"/>
      <c r="C27" s="55"/>
      <c r="D27" s="55"/>
      <c r="E27" s="82">
        <f>IF(SUM(F22:F26)&gt;0,(SUMIF(F22:F26,"&gt;0",E22:E26)/5),0)</f>
        <v>0.25498281786941579</v>
      </c>
      <c r="F27" s="83"/>
      <c r="G27" s="58"/>
      <c r="H27" s="59"/>
      <c r="I27" s="59"/>
      <c r="J27" s="84"/>
      <c r="K27" s="85"/>
      <c r="L27" s="82">
        <f>IF(SUM(M22:M26)&gt;0,(SUMIF(M22:M26,"&gt;0",L22:L26)/5),0)</f>
        <v>0.25498281786941579</v>
      </c>
      <c r="M27" s="86"/>
      <c r="N27" s="87"/>
    </row>
    <row r="28" spans="1:15" s="34" customFormat="1" ht="27.75" customHeight="1" x14ac:dyDescent="0.25">
      <c r="A28" s="213" t="s">
        <v>47</v>
      </c>
      <c r="B28" s="21" t="s">
        <v>48</v>
      </c>
      <c r="C28" s="22">
        <f>[19]NUMERIK!K51</f>
        <v>6</v>
      </c>
      <c r="D28" s="73" t="s">
        <v>12</v>
      </c>
      <c r="E28" s="89">
        <f>C28/E$7*100%</f>
        <v>1.2219959266802444E-2</v>
      </c>
      <c r="F28" s="25">
        <f t="shared" si="0"/>
        <v>0</v>
      </c>
      <c r="G28" s="36" t="str">
        <f>[19]Outcome!Q396</f>
        <v xml:space="preserve">, , , , , , , , , , , , , , , , , , , , , , , , , , , , , , , , , , , , , , , , , , , , </v>
      </c>
      <c r="H28" s="37">
        <f>[19]Outcome!Q397</f>
        <v>0</v>
      </c>
      <c r="I28" s="38" t="s">
        <v>12</v>
      </c>
      <c r="J28" s="39">
        <f>IF(H28&gt;C28,0,C28-H28)</f>
        <v>6</v>
      </c>
      <c r="K28" s="40" t="s">
        <v>12</v>
      </c>
      <c r="L28" s="41">
        <f>J28/E$7*100%</f>
        <v>1.2219959266802444E-2</v>
      </c>
      <c r="M28" s="42">
        <f t="shared" si="1"/>
        <v>0</v>
      </c>
      <c r="N28" s="33"/>
    </row>
    <row r="29" spans="1:15" s="34" customFormat="1" ht="30" customHeight="1" thickBot="1" x14ac:dyDescent="0.3">
      <c r="A29" s="213"/>
      <c r="B29" s="21" t="s">
        <v>49</v>
      </c>
      <c r="C29" s="22">
        <f>[19]NUMERIK!K53</f>
        <v>14</v>
      </c>
      <c r="D29" s="73" t="s">
        <v>12</v>
      </c>
      <c r="E29" s="89">
        <f>C29/E$7*100%</f>
        <v>2.8513238289205704E-2</v>
      </c>
      <c r="F29" s="25">
        <f t="shared" si="0"/>
        <v>0</v>
      </c>
      <c r="G29" s="45" t="str">
        <f>[19]Outcome!Q441</f>
        <v xml:space="preserve">, , , , , , , , , , , , , , , , , , , , , , , , , , , , , , , , , , , , , , , , , , , , , , , , , , , , , , </v>
      </c>
      <c r="H29" s="37">
        <f>[19]Outcome!Q442</f>
        <v>0</v>
      </c>
      <c r="I29" s="38" t="s">
        <v>12</v>
      </c>
      <c r="J29" s="39">
        <f>IF(H29&gt;C29,0,C29-H29)</f>
        <v>14</v>
      </c>
      <c r="K29" s="40" t="s">
        <v>12</v>
      </c>
      <c r="L29" s="41">
        <f>J29/E$7*100%</f>
        <v>2.8513238289205704E-2</v>
      </c>
      <c r="M29" s="42">
        <f t="shared" si="1"/>
        <v>0</v>
      </c>
      <c r="N29" s="33"/>
    </row>
    <row r="30" spans="1:15" s="88" customFormat="1" ht="30" customHeight="1" thickBot="1" x14ac:dyDescent="0.3">
      <c r="A30" s="90" t="s">
        <v>50</v>
      </c>
      <c r="B30" s="81"/>
      <c r="C30" s="55"/>
      <c r="D30" s="55"/>
      <c r="E30" s="82">
        <f>IF(SUM(F28:F29)&gt;0,(SUMIF(F28:F29,"&gt;0",E28:E29)/2),0)</f>
        <v>0</v>
      </c>
      <c r="F30" s="83"/>
      <c r="G30" s="91"/>
      <c r="H30" s="92"/>
      <c r="I30" s="92"/>
      <c r="J30" s="84"/>
      <c r="K30" s="85"/>
      <c r="L30" s="82">
        <f>IF(SUM(M28:M29)&gt;0,(SUMIF(M28:M29,"&gt;0",L28:L29)/2),0)</f>
        <v>0</v>
      </c>
      <c r="M30" s="86"/>
      <c r="N30" s="87"/>
    </row>
    <row r="31" spans="1:15" s="34" customFormat="1" ht="31.5" customHeight="1" x14ac:dyDescent="0.25">
      <c r="A31" s="192" t="s">
        <v>51</v>
      </c>
      <c r="B31" s="21" t="s">
        <v>52</v>
      </c>
      <c r="C31" s="93">
        <f>[19]NUMERIK!K56</f>
        <v>78</v>
      </c>
      <c r="D31" s="94" t="s">
        <v>12</v>
      </c>
      <c r="E31" s="89">
        <f>C31/E$7*100%</f>
        <v>0.15885947046843177</v>
      </c>
      <c r="F31" s="25">
        <f t="shared" si="0"/>
        <v>0</v>
      </c>
      <c r="G31" s="36" t="str">
        <f>[19]Outcome!Q496</f>
        <v xml:space="preserve">Pengolaan sampah RT001-RW005, , , , , , , , , , , , , , , , , , , , , , , , , , , , , , , , , , , , , , , , , , , , </v>
      </c>
      <c r="H31" s="37">
        <f>[19]Outcome!Q497</f>
        <v>0</v>
      </c>
      <c r="I31" s="38" t="s">
        <v>12</v>
      </c>
      <c r="J31" s="39">
        <f>IF(H31&gt;C31,0,C31-H31)</f>
        <v>78</v>
      </c>
      <c r="K31" s="40" t="s">
        <v>12</v>
      </c>
      <c r="L31" s="41">
        <f>J31/E$7*100%</f>
        <v>0.15885947046843177</v>
      </c>
      <c r="M31" s="42">
        <f t="shared" si="1"/>
        <v>0</v>
      </c>
      <c r="N31" s="33"/>
    </row>
    <row r="32" spans="1:15" s="34" customFormat="1" ht="32.25" customHeight="1" x14ac:dyDescent="0.25">
      <c r="A32" s="192"/>
      <c r="B32" s="21" t="s">
        <v>53</v>
      </c>
      <c r="C32" s="93">
        <f>[19]NUMERIK!K59</f>
        <v>296</v>
      </c>
      <c r="D32" s="94" t="s">
        <v>12</v>
      </c>
      <c r="E32" s="89">
        <f>C32/E$7*100%</f>
        <v>0.60285132382892059</v>
      </c>
      <c r="F32" s="25">
        <f t="shared" si="0"/>
        <v>3</v>
      </c>
      <c r="G32" s="36" t="str">
        <f>[19]Outcome!Q541</f>
        <v xml:space="preserve">, , , , , , , , , , , , , , , , , , , , , , , , , , , , , , , , , , , , , , , , , , , , </v>
      </c>
      <c r="H32" s="37">
        <f>[19]Outcome!Q542</f>
        <v>0</v>
      </c>
      <c r="I32" s="38" t="s">
        <v>12</v>
      </c>
      <c r="J32" s="39">
        <f>IF(H32&gt;C32,0,C32-H32)</f>
        <v>296</v>
      </c>
      <c r="K32" s="40" t="s">
        <v>12</v>
      </c>
      <c r="L32" s="41">
        <f>J32/E$7*100%</f>
        <v>0.60285132382892059</v>
      </c>
      <c r="M32" s="42">
        <f t="shared" si="1"/>
        <v>3</v>
      </c>
      <c r="N32" s="33"/>
    </row>
    <row r="33" spans="1:14" s="34" customFormat="1" ht="30.75" customHeight="1" thickBot="1" x14ac:dyDescent="0.3">
      <c r="A33" s="192"/>
      <c r="B33" s="21" t="s">
        <v>54</v>
      </c>
      <c r="C33" s="93">
        <f>[19]NUMERIK!K61</f>
        <v>78</v>
      </c>
      <c r="D33" s="94" t="s">
        <v>12</v>
      </c>
      <c r="E33" s="89">
        <f>C33/E$7*100%</f>
        <v>0.15885947046843177</v>
      </c>
      <c r="F33" s="25">
        <f t="shared" si="0"/>
        <v>0</v>
      </c>
      <c r="G33" s="36" t="str">
        <f>[19]Outcome!Q586</f>
        <v xml:space="preserve">, , , , , , , , , , , , , , , , , , , , , , , , , , , , , , , , , , , , , , , , , , , , </v>
      </c>
      <c r="H33" s="37">
        <f>[19]Outcome!Q587</f>
        <v>0</v>
      </c>
      <c r="I33" s="38" t="s">
        <v>12</v>
      </c>
      <c r="J33" s="39">
        <f>IF(H33&gt;C33,0,C33-H33)</f>
        <v>78</v>
      </c>
      <c r="K33" s="40" t="s">
        <v>12</v>
      </c>
      <c r="L33" s="41">
        <f>J33/E$7*100%</f>
        <v>0.15885947046843177</v>
      </c>
      <c r="M33" s="42">
        <f t="shared" si="1"/>
        <v>0</v>
      </c>
      <c r="N33" s="33"/>
    </row>
    <row r="34" spans="1:14" s="88" customFormat="1" ht="30" customHeight="1" thickBot="1" x14ac:dyDescent="0.3">
      <c r="A34" s="80" t="s">
        <v>55</v>
      </c>
      <c r="B34" s="81"/>
      <c r="C34" s="55"/>
      <c r="D34" s="55"/>
      <c r="E34" s="82">
        <f>IF(SUM(F31:F33)&gt;0,(SUMIF(F31:F33,"&gt;0",E31:E33)/3),0)</f>
        <v>0.20095044127630687</v>
      </c>
      <c r="F34" s="83"/>
      <c r="G34" s="91"/>
      <c r="H34" s="92"/>
      <c r="I34" s="92"/>
      <c r="J34" s="84"/>
      <c r="K34" s="85"/>
      <c r="L34" s="82">
        <f>IF(SUM(M31:M33)&gt;0,(SUMIF(M31:M33,"&gt;0",L31:L33)/3),0)</f>
        <v>0.20095044127630687</v>
      </c>
      <c r="M34" s="86"/>
      <c r="N34" s="87"/>
    </row>
    <row r="35" spans="1:14" s="34" customFormat="1" ht="24.95" customHeight="1" x14ac:dyDescent="0.25">
      <c r="A35" s="213" t="s">
        <v>56</v>
      </c>
      <c r="B35" s="95" t="s">
        <v>57</v>
      </c>
      <c r="C35" s="93">
        <f>[19]NUMERIK!K64</f>
        <v>356</v>
      </c>
      <c r="D35" s="94" t="s">
        <v>8</v>
      </c>
      <c r="E35" s="79">
        <f>C35/E$5*100%</f>
        <v>0.85990338164251212</v>
      </c>
      <c r="F35" s="25">
        <f t="shared" si="0"/>
        <v>5</v>
      </c>
      <c r="G35" s="36" t="str">
        <f>[19]Outcome!Q631</f>
        <v xml:space="preserve">, , , , , , , , , , , , , , , , , , , </v>
      </c>
      <c r="H35" s="27">
        <f>[19]Outcome!Q632</f>
        <v>0</v>
      </c>
      <c r="I35" s="38" t="s">
        <v>8</v>
      </c>
      <c r="J35" s="39">
        <f>IF(H35&gt;C35,0,C35-H35)</f>
        <v>356</v>
      </c>
      <c r="K35" s="40" t="s">
        <v>8</v>
      </c>
      <c r="L35" s="41">
        <f>J35/E$5*100%</f>
        <v>0.85990338164251212</v>
      </c>
      <c r="M35" s="42">
        <f t="shared" si="1"/>
        <v>5</v>
      </c>
      <c r="N35" s="33"/>
    </row>
    <row r="36" spans="1:14" s="34" customFormat="1" ht="24.95" customHeight="1" thickBot="1" x14ac:dyDescent="0.3">
      <c r="A36" s="213"/>
      <c r="B36" s="95" t="s">
        <v>58</v>
      </c>
      <c r="C36" s="96">
        <f>[19]NUMERIK!K66</f>
        <v>414</v>
      </c>
      <c r="D36" s="94" t="s">
        <v>8</v>
      </c>
      <c r="E36" s="79">
        <f>C36/E$5*100%</f>
        <v>1</v>
      </c>
      <c r="F36" s="25">
        <f t="shared" si="0"/>
        <v>5</v>
      </c>
      <c r="G36" s="36" t="str">
        <f>[19]Outcome!Q651</f>
        <v xml:space="preserve">, , , , , , , , , , , , , , , , , , , </v>
      </c>
      <c r="H36" s="37">
        <f>[19]Outcome!Q652</f>
        <v>0</v>
      </c>
      <c r="I36" s="97" t="s">
        <v>8</v>
      </c>
      <c r="J36" s="98">
        <f>IF(H36&gt;C36,0,C36-H36)</f>
        <v>414</v>
      </c>
      <c r="K36" s="99" t="s">
        <v>8</v>
      </c>
      <c r="L36" s="100">
        <f>J36/E$5*100%</f>
        <v>1</v>
      </c>
      <c r="M36" s="51">
        <f t="shared" si="1"/>
        <v>5</v>
      </c>
      <c r="N36" s="33"/>
    </row>
    <row r="37" spans="1:14" s="77" customFormat="1" ht="30" customHeight="1" thickBot="1" x14ac:dyDescent="0.3">
      <c r="A37" s="80" t="s">
        <v>59</v>
      </c>
      <c r="B37" s="101"/>
      <c r="C37" s="102"/>
      <c r="D37" s="102"/>
      <c r="E37" s="82">
        <f>IF(SUM(F35:F36)&gt;0,(SUMIF(F35:F36,"&gt;0",E35:E36)/2),0)</f>
        <v>0.92995169082125606</v>
      </c>
      <c r="F37" s="103"/>
      <c r="G37" s="104"/>
      <c r="H37" s="105"/>
      <c r="I37" s="105"/>
      <c r="J37" s="106"/>
      <c r="K37" s="107"/>
      <c r="L37" s="82">
        <f>IF(SUM(M35:M36)&gt;0,(SUMIF(M35:M36,"&gt;0",L35:L36)/2),0)</f>
        <v>0.92995169082125606</v>
      </c>
      <c r="M37" s="108"/>
      <c r="N37" s="109"/>
    </row>
    <row r="38" spans="1:14" ht="15" customHeight="1" x14ac:dyDescent="0.25">
      <c r="A38" s="110"/>
      <c r="B38" s="111" t="s">
        <v>60</v>
      </c>
      <c r="D38" s="218" t="s">
        <v>61</v>
      </c>
      <c r="E38" s="219"/>
      <c r="F38" s="222">
        <f>SUM(F12:F36)</f>
        <v>22</v>
      </c>
      <c r="G38" s="112"/>
      <c r="H38" s="112"/>
      <c r="I38" s="112"/>
      <c r="J38" s="112"/>
      <c r="K38" s="238" t="s">
        <v>61</v>
      </c>
      <c r="L38" s="239"/>
      <c r="M38" s="224">
        <f>SUM(M12:M36)</f>
        <v>22</v>
      </c>
    </row>
    <row r="39" spans="1:14" ht="15" customHeight="1" x14ac:dyDescent="0.25">
      <c r="A39" s="110"/>
      <c r="B39" s="113" t="s">
        <v>62</v>
      </c>
      <c r="D39" s="220"/>
      <c r="E39" s="221"/>
      <c r="F39" s="223"/>
      <c r="G39" s="114"/>
      <c r="H39" s="114"/>
      <c r="I39" s="114"/>
      <c r="J39" s="114"/>
      <c r="K39" s="240"/>
      <c r="L39" s="241"/>
      <c r="M39" s="225"/>
    </row>
    <row r="40" spans="1:14" ht="15" customHeight="1" x14ac:dyDescent="0.25">
      <c r="A40" s="110"/>
      <c r="B40" s="115" t="s">
        <v>63</v>
      </c>
      <c r="D40" s="226" t="s">
        <v>64</v>
      </c>
      <c r="E40" s="227"/>
      <c r="F40" s="230" t="str">
        <f>IF(F38="N/A","TIDAK KUMUH",IF(F38&gt;=71,"KUMUH BERAT",IF(AND(F38&lt;=70,F38&gt;=45),"KUMUH SEDANG",IF(AND(F38&lt;=44,F38&gt;=19),"KUMUH RINGAN","TIDAK KUMUH"))))</f>
        <v>KUMUH RINGAN</v>
      </c>
      <c r="G40" s="116"/>
      <c r="H40" s="116"/>
      <c r="I40" s="116"/>
      <c r="J40" s="116"/>
      <c r="K40" s="232" t="s">
        <v>64</v>
      </c>
      <c r="L40" s="233"/>
      <c r="M40" s="236" t="str">
        <f>IF(M38="N/A","TIDAK KUMUH",IF(M38&gt;=71,"KUMUH BERAT",IF(AND(M38&lt;=70,M38&gt;=45),"KUMUH SEDANG",IF(AND(M38&lt;=44,M38&gt;=19),"KUMUH RINGAN","TIDAK KUMUH"))))</f>
        <v>KUMUH RINGAN</v>
      </c>
    </row>
    <row r="41" spans="1:14" ht="15" customHeight="1" thickBot="1" x14ac:dyDescent="0.3">
      <c r="A41" s="110"/>
      <c r="B41" s="117" t="s">
        <v>65</v>
      </c>
      <c r="D41" s="228"/>
      <c r="E41" s="229"/>
      <c r="F41" s="231" t="str">
        <f>IF(E41&gt;71,"KB",IF(E41&gt;=47,"KS","KR"))</f>
        <v>KR</v>
      </c>
      <c r="G41" s="116"/>
      <c r="H41" s="116"/>
      <c r="I41" s="116"/>
      <c r="J41" s="116"/>
      <c r="K41" s="234"/>
      <c r="L41" s="235"/>
      <c r="M41" s="237" t="str">
        <f>IF(L41&gt;71,"KB",IF(L41&gt;=47,"KS","KR"))</f>
        <v>KR</v>
      </c>
    </row>
    <row r="42" spans="1:14" ht="21" customHeight="1" x14ac:dyDescent="0.25">
      <c r="B42" s="118" t="s">
        <v>66</v>
      </c>
      <c r="C42" s="119"/>
      <c r="D42" s="120"/>
      <c r="E42" s="121" t="s">
        <v>67</v>
      </c>
      <c r="F42" s="122">
        <f>AVERAGE(E15,E18,E21,E27,E30,E34,E37)</f>
        <v>0.25489028069245345</v>
      </c>
      <c r="J42" s="123"/>
      <c r="K42" s="124"/>
      <c r="L42" s="125" t="s">
        <v>67</v>
      </c>
      <c r="M42" s="126">
        <f>AVERAGE(L15,L18,L21,L27,L30,L34,L37)</f>
        <v>0.24744931803736855</v>
      </c>
    </row>
    <row r="43" spans="1:14" ht="21" customHeight="1" x14ac:dyDescent="0.25">
      <c r="B43" s="127"/>
      <c r="C43" s="119"/>
      <c r="D43" s="120"/>
      <c r="E43" s="121" t="s">
        <v>68</v>
      </c>
      <c r="F43" s="122">
        <v>0</v>
      </c>
      <c r="J43" s="123"/>
      <c r="K43" s="124"/>
      <c r="L43" s="125" t="s">
        <v>68</v>
      </c>
      <c r="M43" s="126">
        <f>(F42-M42)/F42</f>
        <v>2.9192806547469127E-2</v>
      </c>
      <c r="N43"/>
    </row>
    <row r="44" spans="1:14" x14ac:dyDescent="0.25">
      <c r="M44" s="128"/>
    </row>
    <row r="55" spans="12:12" x14ac:dyDescent="0.25">
      <c r="L55" s="129"/>
    </row>
  </sheetData>
  <mergeCells count="23">
    <mergeCell ref="M38:M39"/>
    <mergeCell ref="D40:E41"/>
    <mergeCell ref="F40:F41"/>
    <mergeCell ref="K40:L41"/>
    <mergeCell ref="M40:M41"/>
    <mergeCell ref="K38:L39"/>
    <mergeCell ref="A28:A29"/>
    <mergeCell ref="A31:A33"/>
    <mergeCell ref="A35:A36"/>
    <mergeCell ref="D38:E39"/>
    <mergeCell ref="F38:F39"/>
    <mergeCell ref="J9:M10"/>
    <mergeCell ref="G10:I10"/>
    <mergeCell ref="A12:A14"/>
    <mergeCell ref="A16:A17"/>
    <mergeCell ref="A19:A20"/>
    <mergeCell ref="G9:I9"/>
    <mergeCell ref="A22:A26"/>
    <mergeCell ref="A1:F1"/>
    <mergeCell ref="A2:B2"/>
    <mergeCell ref="A9:A11"/>
    <mergeCell ref="B9:B11"/>
    <mergeCell ref="C9:F10"/>
  </mergeCells>
  <conditionalFormatting sqref="F40:J41">
    <cfRule type="expression" dxfId="161" priority="6">
      <formula>F40="KUMUH SEDANG"</formula>
    </cfRule>
    <cfRule type="expression" dxfId="160" priority="7">
      <formula>F40="TIDAK KUMUH"</formula>
    </cfRule>
    <cfRule type="expression" dxfId="159" priority="8">
      <formula>F40="KUMUH BERAT"</formula>
    </cfRule>
    <cfRule type="expression" dxfId="158" priority="9">
      <formula>F40="KUMUH RINGAN"</formula>
    </cfRule>
  </conditionalFormatting>
  <conditionalFormatting sqref="G12:G14 G16:G17 G19:G20 G22:G26 G28:G29 G31:G33 G35:G36">
    <cfRule type="cellIs" dxfId="157" priority="1" operator="equal">
      <formula>", , , , , , "</formula>
    </cfRule>
  </conditionalFormatting>
  <conditionalFormatting sqref="M40:M41">
    <cfRule type="expression" dxfId="156" priority="2">
      <formula>M40="KUMUH SEDANG"</formula>
    </cfRule>
    <cfRule type="expression" dxfId="155" priority="3">
      <formula>M40="TIDAK KUMUH"</formula>
    </cfRule>
    <cfRule type="expression" dxfId="154" priority="4">
      <formula>M40="KUMUH BERAT"</formula>
    </cfRule>
    <cfRule type="expression" dxfId="153" priority="5">
      <formula>M40="KUMUH RINGAN"</formula>
    </cfRule>
  </conditionalFormatting>
  <pageMargins left="0.7" right="0.2" top="0.75" bottom="0.75" header="0.3" footer="0.3"/>
  <pageSetup paperSize="9" scale="70" orientation="portrait" horizontalDpi="4294967293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533C0-D7CB-4B45-9916-6D7F184A7191}">
  <sheetPr>
    <tabColor rgb="FF0070C0"/>
  </sheetPr>
  <dimension ref="A1:O55"/>
  <sheetViews>
    <sheetView showGridLines="0" zoomScale="80" zoomScaleNormal="80" zoomScaleSheetLayoutView="75" zoomScalePageLayoutView="9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sqref="A1:F1"/>
    </sheetView>
  </sheetViews>
  <sheetFormatPr defaultColWidth="8.85546875" defaultRowHeight="15" x14ac:dyDescent="0.25"/>
  <cols>
    <col min="1" max="1" width="24" customWidth="1"/>
    <col min="2" max="2" width="45.85546875" customWidth="1"/>
    <col min="3" max="3" width="12.42578125" customWidth="1"/>
    <col min="4" max="4" width="9.140625" customWidth="1"/>
    <col min="5" max="5" width="12.140625" customWidth="1"/>
    <col min="6" max="6" width="9.140625" customWidth="1"/>
    <col min="7" max="7" width="36.42578125" customWidth="1"/>
    <col min="8" max="9" width="9.140625" customWidth="1"/>
    <col min="10" max="10" width="10" bestFit="1" customWidth="1"/>
    <col min="11" max="12" width="9.140625" customWidth="1"/>
    <col min="13" max="13" width="11.28515625" customWidth="1"/>
    <col min="14" max="14" width="2.28515625" style="3" customWidth="1"/>
  </cols>
  <sheetData>
    <row r="1" spans="1:14" ht="18.75" customHeight="1" x14ac:dyDescent="0.3">
      <c r="A1" s="193" t="s">
        <v>0</v>
      </c>
      <c r="B1" s="193"/>
      <c r="C1" s="193"/>
      <c r="D1" s="193"/>
      <c r="E1" s="193"/>
      <c r="F1" s="193"/>
      <c r="G1" s="1"/>
      <c r="H1" s="1"/>
      <c r="I1" s="1"/>
      <c r="J1" s="1"/>
      <c r="K1" s="1"/>
      <c r="L1" s="1"/>
      <c r="M1" s="2"/>
    </row>
    <row r="2" spans="1:14" ht="3.75" customHeight="1" x14ac:dyDescent="0.25">
      <c r="A2" s="194"/>
      <c r="B2" s="194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4" ht="15.75" customHeight="1" x14ac:dyDescent="0.25">
      <c r="A3" s="6" t="s">
        <v>1</v>
      </c>
      <c r="B3" s="6" t="str">
        <f>": "&amp;[20]NUMERIK!E14</f>
        <v>: JAWA TIMUR</v>
      </c>
      <c r="C3" s="7" t="s">
        <v>2</v>
      </c>
      <c r="D3" s="8"/>
      <c r="E3" s="9">
        <f>[20]NUMERIK!K6</f>
        <v>12.01</v>
      </c>
      <c r="F3" t="s">
        <v>3</v>
      </c>
    </row>
    <row r="4" spans="1:14" ht="15.75" customHeight="1" x14ac:dyDescent="0.25">
      <c r="A4" s="6" t="s">
        <v>4</v>
      </c>
      <c r="B4" s="6" t="str">
        <f>": "&amp;[20]NUMERIK!E12</f>
        <v>: KAB. MAGETAN</v>
      </c>
      <c r="C4" s="7" t="s">
        <v>5</v>
      </c>
      <c r="D4" s="8"/>
      <c r="E4" s="9">
        <f>[20]NUMERIK!K8</f>
        <v>12.01</v>
      </c>
      <c r="F4" t="s">
        <v>3</v>
      </c>
    </row>
    <row r="5" spans="1:14" ht="15.75" customHeight="1" x14ac:dyDescent="0.25">
      <c r="A5" s="10" t="s">
        <v>6</v>
      </c>
      <c r="B5" s="10" t="str">
        <f>": "&amp;[20]NUMERIK!E10</f>
        <v>: MAGETAN</v>
      </c>
      <c r="C5" s="7" t="s">
        <v>7</v>
      </c>
      <c r="D5" s="8"/>
      <c r="E5" s="11">
        <f>[20]NUMERIK!K10</f>
        <v>735</v>
      </c>
      <c r="F5" t="s">
        <v>8</v>
      </c>
    </row>
    <row r="6" spans="1:14" ht="15.75" customHeight="1" x14ac:dyDescent="0.25">
      <c r="A6" s="10" t="s">
        <v>9</v>
      </c>
      <c r="B6" s="10" t="str">
        <f>": "&amp;[20]NUMERIK!E6</f>
        <v>: RINGINAGUNG</v>
      </c>
      <c r="C6" s="7" t="s">
        <v>10</v>
      </c>
      <c r="D6" s="8"/>
      <c r="E6" s="12">
        <f>[20]NUMERIK!K12</f>
        <v>2882</v>
      </c>
      <c r="F6" t="s">
        <v>11</v>
      </c>
    </row>
    <row r="7" spans="1:14" ht="15.75" customHeight="1" x14ac:dyDescent="0.25">
      <c r="A7" s="4"/>
      <c r="B7" s="13"/>
      <c r="C7" s="7" t="s">
        <v>7</v>
      </c>
      <c r="D7" s="5"/>
      <c r="E7" s="12">
        <f>[20]NUMERIK!K14</f>
        <v>883</v>
      </c>
      <c r="F7" t="s">
        <v>12</v>
      </c>
    </row>
    <row r="8" spans="1:14" ht="5.25" customHeight="1" thickBot="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4" ht="12" customHeight="1" x14ac:dyDescent="0.25">
      <c r="A9" s="195" t="s">
        <v>13</v>
      </c>
      <c r="B9" s="197" t="s">
        <v>14</v>
      </c>
      <c r="C9" s="199" t="s">
        <v>15</v>
      </c>
      <c r="D9" s="200"/>
      <c r="E9" s="200"/>
      <c r="F9" s="201"/>
      <c r="G9" s="216" t="s">
        <v>16</v>
      </c>
      <c r="H9" s="217"/>
      <c r="I9" s="217"/>
      <c r="J9" s="205" t="s">
        <v>17</v>
      </c>
      <c r="K9" s="206"/>
      <c r="L9" s="206"/>
      <c r="M9" s="207"/>
    </row>
    <row r="10" spans="1:14" ht="9.75" customHeight="1" x14ac:dyDescent="0.25">
      <c r="A10" s="196"/>
      <c r="B10" s="198"/>
      <c r="C10" s="202"/>
      <c r="D10" s="203"/>
      <c r="E10" s="203"/>
      <c r="F10" s="204"/>
      <c r="G10" s="211" t="s">
        <v>18</v>
      </c>
      <c r="H10" s="212"/>
      <c r="I10" s="212"/>
      <c r="J10" s="208"/>
      <c r="K10" s="209"/>
      <c r="L10" s="209"/>
      <c r="M10" s="210"/>
    </row>
    <row r="11" spans="1:14" ht="15.75" thickBot="1" x14ac:dyDescent="0.3">
      <c r="A11" s="196"/>
      <c r="B11" s="198"/>
      <c r="C11" s="14" t="s">
        <v>19</v>
      </c>
      <c r="D11" s="14" t="s">
        <v>20</v>
      </c>
      <c r="E11" s="14" t="s">
        <v>21</v>
      </c>
      <c r="F11" s="15" t="s">
        <v>22</v>
      </c>
      <c r="G11" s="16" t="s">
        <v>23</v>
      </c>
      <c r="H11" s="17" t="s">
        <v>24</v>
      </c>
      <c r="I11" s="17" t="s">
        <v>20</v>
      </c>
      <c r="J11" s="18" t="s">
        <v>19</v>
      </c>
      <c r="K11" s="19" t="s">
        <v>20</v>
      </c>
      <c r="L11" s="19" t="s">
        <v>25</v>
      </c>
      <c r="M11" s="20" t="s">
        <v>22</v>
      </c>
    </row>
    <row r="12" spans="1:14" s="34" customFormat="1" ht="24.95" customHeight="1" x14ac:dyDescent="0.25">
      <c r="A12" s="213" t="s">
        <v>26</v>
      </c>
      <c r="B12" s="21" t="s">
        <v>27</v>
      </c>
      <c r="C12" s="22">
        <f>[20]NUMERIK!K18</f>
        <v>319</v>
      </c>
      <c r="D12" s="23" t="s">
        <v>8</v>
      </c>
      <c r="E12" s="24">
        <f>C12/E5*100%</f>
        <v>0.43401360544217688</v>
      </c>
      <c r="F12" s="25">
        <f t="shared" ref="F12:F36" si="0">IF(AND(E12&gt;=24.995%,E12&lt;50.995%),1,IF(AND(E12&gt;=50.995%,E12&lt;75.995%),3,IF(E12&gt;=75.995%,5,0)))</f>
        <v>1</v>
      </c>
      <c r="G12" s="26" t="str">
        <f>[20]Outcome!Q6</f>
        <v xml:space="preserve">, , , , , , , , , , , , , , , , , , , , , , , , , , , , , , , , , , , , , , , , , , , , </v>
      </c>
      <c r="H12" s="27">
        <f>[20]Outcome!M6</f>
        <v>0</v>
      </c>
      <c r="I12" s="28" t="s">
        <v>8</v>
      </c>
      <c r="J12" s="29">
        <f>IF(H12&gt;C12,0,C12-H12)</f>
        <v>319</v>
      </c>
      <c r="K12" s="30" t="s">
        <v>8</v>
      </c>
      <c r="L12" s="31">
        <f>J12/E$5*100%</f>
        <v>0.43401360544217688</v>
      </c>
      <c r="M12" s="32">
        <f t="shared" ref="M12:M36" si="1">IF(AND(L12&gt;=24.995%,L12&lt;50.995%),1,IF(AND(L12&gt;=50.995%,L12&lt;75.995%),3,IF(L12&gt;=75.995%,5,0)))</f>
        <v>1</v>
      </c>
      <c r="N12" s="33"/>
    </row>
    <row r="13" spans="1:14" s="34" customFormat="1" ht="24.95" customHeight="1" x14ac:dyDescent="0.25">
      <c r="A13" s="213"/>
      <c r="B13" s="21" t="s">
        <v>28</v>
      </c>
      <c r="C13" s="35">
        <f>[20]NUMERIK!K20</f>
        <v>0</v>
      </c>
      <c r="D13" s="23" t="s">
        <v>3</v>
      </c>
      <c r="E13" s="24">
        <f>C13/E4*100%</f>
        <v>0</v>
      </c>
      <c r="F13" s="25">
        <f t="shared" si="0"/>
        <v>0</v>
      </c>
      <c r="G13" s="36" t="str">
        <f>[20]Outcome!Q51</f>
        <v xml:space="preserve">, , , , , , , , , , , , , , , , , , , </v>
      </c>
      <c r="H13" s="37">
        <f>[20]Outcome!M51</f>
        <v>0</v>
      </c>
      <c r="I13" s="38" t="s">
        <v>3</v>
      </c>
      <c r="J13" s="39">
        <f>IF(H13&gt;C13,0,C13-H13)</f>
        <v>0</v>
      </c>
      <c r="K13" s="40" t="s">
        <v>3</v>
      </c>
      <c r="L13" s="41">
        <f>J13/E$4*100%</f>
        <v>0</v>
      </c>
      <c r="M13" s="42">
        <f t="shared" si="1"/>
        <v>0</v>
      </c>
      <c r="N13" s="33"/>
    </row>
    <row r="14" spans="1:14" s="34" customFormat="1" ht="24.95" customHeight="1" thickBot="1" x14ac:dyDescent="0.3">
      <c r="A14" s="214"/>
      <c r="B14" s="43" t="s">
        <v>29</v>
      </c>
      <c r="C14" s="35">
        <f>[20]NUMERIK!K22</f>
        <v>199</v>
      </c>
      <c r="D14" s="23" t="s">
        <v>8</v>
      </c>
      <c r="E14" s="24">
        <f>C14/E5*100%</f>
        <v>0.27074829931972788</v>
      </c>
      <c r="F14" s="44">
        <f t="shared" si="0"/>
        <v>1</v>
      </c>
      <c r="G14" s="45" t="str">
        <f>[20]Outcome!Q71</f>
        <v xml:space="preserve">Bangunan Gedung RT002-RW004  , Bangunan Gedung RT001-RW004  , Bangunan Gedung RT001-RW002  , Bangunan Gedung RT002-RW002  , Bangunan Gedung RT003-RW002  , Bangunan Gedung RT004-RW002  , Bangunan Gedung RT002-RW003  , Bangunan Gedung RT001-RW002, Bangunan Gedung RT001-RW005  , Bangunan Gedung RT002-RW005  , Bangunan Gedung RT001-RW001  , Bangunan Gedung RT003-RW001  , Bangunan Gedung RT002-RW001  , Bangunan Gedung RT002-RW003  , Bangunan Gedung RT004-RW003  , Bangunan Gedung RT001-RW003  , Rehab/perbaikan Rumah Tidak Layak Huni (Aladin) RT002-RW001, , , , , , , , , , , , , , , , , , , , , , , , , , , , </v>
      </c>
      <c r="H14" s="46">
        <f>[20]Outcome!M71</f>
        <v>31</v>
      </c>
      <c r="I14" s="47" t="s">
        <v>8</v>
      </c>
      <c r="J14" s="48">
        <f>IF(H14&gt;C14,0,C14-H14)</f>
        <v>168</v>
      </c>
      <c r="K14" s="49" t="s">
        <v>8</v>
      </c>
      <c r="L14" s="50">
        <f>J14/E$5*100%</f>
        <v>0.22857142857142856</v>
      </c>
      <c r="M14" s="51">
        <f t="shared" si="1"/>
        <v>0</v>
      </c>
      <c r="N14" s="33"/>
    </row>
    <row r="15" spans="1:14" s="34" customFormat="1" ht="30" customHeight="1" thickBot="1" x14ac:dyDescent="0.3">
      <c r="A15" s="52" t="s">
        <v>30</v>
      </c>
      <c r="B15" s="53"/>
      <c r="C15" s="54"/>
      <c r="D15" s="55"/>
      <c r="E15" s="56">
        <f>IF(SUM(F12:F14)&gt;0,(SUMIF(F12:F14,"&gt;0",E12:E14)/3),0)</f>
        <v>0.23492063492063489</v>
      </c>
      <c r="F15" s="57"/>
      <c r="G15" s="58"/>
      <c r="H15" s="59"/>
      <c r="I15" s="59"/>
      <c r="J15" s="60"/>
      <c r="K15" s="61"/>
      <c r="L15" s="56">
        <f>IF(SUM(M12:M14)&gt;0,(SUMIF(M12:M14,"&gt;0",L12:L14)/3),0)</f>
        <v>0.14467120181405896</v>
      </c>
      <c r="M15" s="62"/>
      <c r="N15" s="33"/>
    </row>
    <row r="16" spans="1:14" s="34" customFormat="1" ht="24.95" customHeight="1" x14ac:dyDescent="0.25">
      <c r="A16" s="215" t="s">
        <v>31</v>
      </c>
      <c r="B16" s="63" t="s">
        <v>32</v>
      </c>
      <c r="C16" s="64">
        <f>[20]NUMERIK!K25-[20]NUMERIK!K26</f>
        <v>1030</v>
      </c>
      <c r="D16" s="65" t="s">
        <v>33</v>
      </c>
      <c r="E16" s="66">
        <f>C16/[20]NUMERIK!K$25*100%</f>
        <v>8.0012429115202358E-2</v>
      </c>
      <c r="F16" s="67">
        <f t="shared" si="0"/>
        <v>0</v>
      </c>
      <c r="G16" s="36" t="str">
        <f>[20]Outcome!Q116</f>
        <v xml:space="preserve">Jalan Buras (Leburan Aspal) RT003-RW002, , , , , , , , , , , , , , , , , , , </v>
      </c>
      <c r="H16" s="27">
        <f>[20]Outcome!M116</f>
        <v>105</v>
      </c>
      <c r="I16" s="68" t="s">
        <v>33</v>
      </c>
      <c r="J16" s="69">
        <f>IF(H16&gt;C16,0,C16-H16)</f>
        <v>925</v>
      </c>
      <c r="K16" s="70" t="s">
        <v>33</v>
      </c>
      <c r="L16" s="71">
        <f>J16/[20]NUMERIK!K$25*100%</f>
        <v>7.18558222636526E-2</v>
      </c>
      <c r="M16" s="72">
        <f t="shared" si="1"/>
        <v>0</v>
      </c>
      <c r="N16" s="33"/>
    </row>
    <row r="17" spans="1:15" s="34" customFormat="1" ht="24.95" customHeight="1" thickBot="1" x14ac:dyDescent="0.3">
      <c r="A17" s="192"/>
      <c r="B17" s="21" t="s">
        <v>34</v>
      </c>
      <c r="C17" s="22">
        <f>[20]NUMERIK!K28</f>
        <v>4859</v>
      </c>
      <c r="D17" s="73" t="s">
        <v>33</v>
      </c>
      <c r="E17" s="24">
        <f>C17/[20]NUMERIK!K$25*100%</f>
        <v>0.37745669230171675</v>
      </c>
      <c r="F17" s="25">
        <f t="shared" si="0"/>
        <v>1</v>
      </c>
      <c r="G17" s="45" t="str">
        <f>[20]Outcome!Q136</f>
        <v xml:space="preserve">Jalan Lingkungan RT004-RW002, Jalan Lingkungan RT003-RW002, Jalan Lingkungan RT004-RW002, Jalan Lingkungan RT001-RW002, Jalan Buras (Leburan Aspal) RT002-RW001, Jalan Buras (Leburan Aspal) RT003-RW002, , , , , , , , , , , , , , , , , , , , , , , , , , , , , , , , , , , , , , , </v>
      </c>
      <c r="H17" s="37">
        <f>[20]Outcome!M136</f>
        <v>1076</v>
      </c>
      <c r="I17" s="38" t="s">
        <v>33</v>
      </c>
      <c r="J17" s="39">
        <f>IF(H17&gt;C17,0,C17-H17)</f>
        <v>3783</v>
      </c>
      <c r="K17" s="40" t="s">
        <v>33</v>
      </c>
      <c r="L17" s="41">
        <f>J17/[20]NUMERIK!K$25*100%</f>
        <v>0.29387089256583548</v>
      </c>
      <c r="M17" s="42">
        <f t="shared" si="1"/>
        <v>1</v>
      </c>
      <c r="N17" s="33"/>
    </row>
    <row r="18" spans="1:15" s="34" customFormat="1" ht="30" customHeight="1" thickBot="1" x14ac:dyDescent="0.3">
      <c r="A18" s="52" t="s">
        <v>35</v>
      </c>
      <c r="B18" s="53"/>
      <c r="C18" s="54"/>
      <c r="D18" s="55"/>
      <c r="E18" s="56">
        <f>IF(SUM(F16:F17)&gt;0,(SUMIF(F16:F17,"&gt;0",E16:E17)/2),0)</f>
        <v>0.18872834615085837</v>
      </c>
      <c r="F18" s="57"/>
      <c r="G18" s="58"/>
      <c r="H18" s="59"/>
      <c r="I18" s="59"/>
      <c r="J18" s="60"/>
      <c r="K18" s="61"/>
      <c r="L18" s="56">
        <f>IF(SUM(M16:M17)&gt;0,(SUMIF(M16:M17,"&gt;0",L16:L17)/2),0)</f>
        <v>0.14693544628291774</v>
      </c>
      <c r="M18" s="62"/>
      <c r="N18" s="33"/>
    </row>
    <row r="19" spans="1:15" s="34" customFormat="1" ht="24.95" customHeight="1" x14ac:dyDescent="0.25">
      <c r="A19" s="213" t="s">
        <v>36</v>
      </c>
      <c r="B19" s="21" t="s">
        <v>37</v>
      </c>
      <c r="C19" s="22">
        <f>[20]NUMERIK!K31</f>
        <v>2</v>
      </c>
      <c r="D19" s="73" t="s">
        <v>12</v>
      </c>
      <c r="E19" s="74">
        <f>C19/E$7*100%</f>
        <v>2.2650056625141564E-3</v>
      </c>
      <c r="F19" s="25">
        <f t="shared" si="0"/>
        <v>0</v>
      </c>
      <c r="G19" s="36" t="str">
        <f>[20]Outcome!Q181</f>
        <v xml:space="preserve">, , , , , , , , , , , , , , , , , , , </v>
      </c>
      <c r="H19" s="27">
        <f>[20]Outcome!Q182</f>
        <v>0</v>
      </c>
      <c r="I19" s="38" t="s">
        <v>12</v>
      </c>
      <c r="J19" s="39">
        <f>IF(H19&gt;C19,0,C19-H19)</f>
        <v>2</v>
      </c>
      <c r="K19" s="75" t="s">
        <v>12</v>
      </c>
      <c r="L19" s="76">
        <f>J19/E$7*100%</f>
        <v>2.2650056625141564E-3</v>
      </c>
      <c r="M19" s="42">
        <f t="shared" si="1"/>
        <v>0</v>
      </c>
      <c r="N19" s="33"/>
    </row>
    <row r="20" spans="1:15" s="34" customFormat="1" ht="24.95" customHeight="1" thickBot="1" x14ac:dyDescent="0.3">
      <c r="A20" s="213"/>
      <c r="B20" s="21" t="s">
        <v>38</v>
      </c>
      <c r="C20" s="22">
        <f>[20]NUMERIK!K33</f>
        <v>59</v>
      </c>
      <c r="D20" s="73" t="s">
        <v>12</v>
      </c>
      <c r="E20" s="74">
        <f>C20/E$7*100%</f>
        <v>6.6817667044167611E-2</v>
      </c>
      <c r="F20" s="25">
        <f t="shared" si="0"/>
        <v>0</v>
      </c>
      <c r="G20" s="45" t="str">
        <f>[20]Outcome!Q201</f>
        <v xml:space="preserve">, , , , , , , , , , , , , , , , , , , , , , , , , , , , , , , , , , , , , , , , , , , , </v>
      </c>
      <c r="H20" s="37">
        <f>[20]Outcome!Q202</f>
        <v>0</v>
      </c>
      <c r="I20" s="38" t="s">
        <v>12</v>
      </c>
      <c r="J20" s="39">
        <f>IF(H20&gt;C20,0,C20-H20)</f>
        <v>59</v>
      </c>
      <c r="K20" s="75" t="s">
        <v>12</v>
      </c>
      <c r="L20" s="76">
        <f>J20/E$7*100%</f>
        <v>6.6817667044167611E-2</v>
      </c>
      <c r="M20" s="42">
        <f t="shared" si="1"/>
        <v>0</v>
      </c>
      <c r="N20" s="33"/>
    </row>
    <row r="21" spans="1:15" s="77" customFormat="1" ht="30" customHeight="1" thickBot="1" x14ac:dyDescent="0.3">
      <c r="A21" s="52" t="s">
        <v>39</v>
      </c>
      <c r="B21" s="53"/>
      <c r="C21" s="54"/>
      <c r="D21" s="55"/>
      <c r="E21" s="56">
        <f>IF(SUM(F19:F20)&gt;0,(SUMIF(F19:F20,"&gt;0",E19:E20)/2),0)</f>
        <v>0</v>
      </c>
      <c r="F21" s="57"/>
      <c r="G21" s="58"/>
      <c r="H21" s="59"/>
      <c r="I21" s="59"/>
      <c r="J21" s="60"/>
      <c r="K21" s="61"/>
      <c r="L21" s="56">
        <f>IF(SUM(M19:M20)&gt;0,(SUMIF(M19:M20,"&gt;0",L19:L20)/2),0)</f>
        <v>0</v>
      </c>
      <c r="M21" s="62"/>
      <c r="N21" s="33"/>
      <c r="O21" s="34"/>
    </row>
    <row r="22" spans="1:15" s="34" customFormat="1" ht="20.100000000000001" customHeight="1" x14ac:dyDescent="0.25">
      <c r="A22" s="192" t="s">
        <v>40</v>
      </c>
      <c r="B22" s="78" t="s">
        <v>41</v>
      </c>
      <c r="C22" s="22">
        <f>[20]NUMERIK!K36</f>
        <v>0</v>
      </c>
      <c r="D22" s="73" t="s">
        <v>3</v>
      </c>
      <c r="E22" s="79">
        <f>C22/E$4*100%</f>
        <v>0</v>
      </c>
      <c r="F22" s="25">
        <f t="shared" si="0"/>
        <v>0</v>
      </c>
      <c r="G22" s="36" t="str">
        <f>[20]Outcome!Q246</f>
        <v xml:space="preserve">, , , , , , , , , , , , , , , , , , , </v>
      </c>
      <c r="H22" s="27">
        <f>[20]Outcome!M246</f>
        <v>0</v>
      </c>
      <c r="I22" s="38" t="s">
        <v>3</v>
      </c>
      <c r="J22" s="39">
        <f>IF(H22&gt;C22,0,C22-H22)</f>
        <v>0</v>
      </c>
      <c r="K22" s="40" t="s">
        <v>3</v>
      </c>
      <c r="L22" s="41">
        <f>J22/E$4*100%</f>
        <v>0</v>
      </c>
      <c r="M22" s="42">
        <f t="shared" si="1"/>
        <v>0</v>
      </c>
      <c r="N22" s="33"/>
    </row>
    <row r="23" spans="1:15" s="34" customFormat="1" ht="25.5" customHeight="1" x14ac:dyDescent="0.25">
      <c r="A23" s="192"/>
      <c r="B23" s="21" t="s">
        <v>42</v>
      </c>
      <c r="C23" s="22">
        <f>([20]NUMERIK!K38-[20]NUMERIK!K40)</f>
        <v>2790</v>
      </c>
      <c r="D23" s="73" t="s">
        <v>33</v>
      </c>
      <c r="E23" s="79">
        <f>C23/[20]NUMERIK!K$38*100%</f>
        <v>0.26520912547528519</v>
      </c>
      <c r="F23" s="25">
        <f t="shared" si="0"/>
        <v>1</v>
      </c>
      <c r="G23" s="36" t="str">
        <f>[20]Outcome!Q266</f>
        <v xml:space="preserve">, , , , , , , , , , , , , , , , , , , , , , , , , , , , , , , , , , , , , , , , , , , , </v>
      </c>
      <c r="H23" s="37">
        <f>[20]Outcome!M266</f>
        <v>0</v>
      </c>
      <c r="I23" s="38" t="s">
        <v>33</v>
      </c>
      <c r="J23" s="39">
        <f>IF(H23&gt;C23,0,C23-H23)</f>
        <v>2790</v>
      </c>
      <c r="K23" s="40" t="s">
        <v>33</v>
      </c>
      <c r="L23" s="41">
        <f>J23/[20]NUMERIK!K$38*100%</f>
        <v>0.26520912547528519</v>
      </c>
      <c r="M23" s="42">
        <f t="shared" si="1"/>
        <v>1</v>
      </c>
      <c r="N23" s="33"/>
    </row>
    <row r="24" spans="1:15" s="34" customFormat="1" ht="20.100000000000001" customHeight="1" x14ac:dyDescent="0.25">
      <c r="A24" s="192"/>
      <c r="B24" s="21" t="s">
        <v>43</v>
      </c>
      <c r="C24" s="22">
        <f>[20]NUMERIK!K42</f>
        <v>700</v>
      </c>
      <c r="D24" s="73" t="s">
        <v>33</v>
      </c>
      <c r="E24" s="79">
        <f>C24/[20]NUMERIK!K$38*100%</f>
        <v>6.6539923954372623E-2</v>
      </c>
      <c r="F24" s="25">
        <f t="shared" si="0"/>
        <v>0</v>
      </c>
      <c r="G24" s="36" t="str">
        <f>[20]Outcome!Q311</f>
        <v xml:space="preserve">, , , , , , , , , , , , , , , , , , , </v>
      </c>
      <c r="H24" s="37">
        <f>[20]Outcome!M311</f>
        <v>0</v>
      </c>
      <c r="I24" s="38" t="s">
        <v>33</v>
      </c>
      <c r="J24" s="39">
        <f>IF(H24&gt;C24,0,C24-H24)</f>
        <v>700</v>
      </c>
      <c r="K24" s="40" t="s">
        <v>33</v>
      </c>
      <c r="L24" s="41">
        <f>J24/[20]NUMERIK!K$38*100%</f>
        <v>6.6539923954372623E-2</v>
      </c>
      <c r="M24" s="42">
        <f t="shared" si="1"/>
        <v>0</v>
      </c>
      <c r="N24" s="33"/>
    </row>
    <row r="25" spans="1:15" s="34" customFormat="1" ht="20.100000000000001" customHeight="1" x14ac:dyDescent="0.25">
      <c r="A25" s="192"/>
      <c r="B25" s="21" t="s">
        <v>44</v>
      </c>
      <c r="C25" s="22">
        <f>[20]NUMERIK!K45</f>
        <v>9930</v>
      </c>
      <c r="D25" s="73" t="s">
        <v>33</v>
      </c>
      <c r="E25" s="79">
        <f>C25/[20]NUMERIK!K$38*100%</f>
        <v>0.94391634980988592</v>
      </c>
      <c r="F25" s="25">
        <f t="shared" si="0"/>
        <v>5</v>
      </c>
      <c r="G25" s="36" t="str">
        <f>[20]Outcome!Q331</f>
        <v xml:space="preserve">, , , , , , , , , , , , , , , , , , , </v>
      </c>
      <c r="H25" s="37">
        <f>[20]Outcome!M331</f>
        <v>0</v>
      </c>
      <c r="I25" s="38" t="s">
        <v>33</v>
      </c>
      <c r="J25" s="39">
        <f>IF(H25&gt;C25,0,C25-H25)</f>
        <v>9930</v>
      </c>
      <c r="K25" s="40" t="s">
        <v>33</v>
      </c>
      <c r="L25" s="41">
        <f>J25/[20]NUMERIK!K$38*100%</f>
        <v>0.94391634980988592</v>
      </c>
      <c r="M25" s="42">
        <f t="shared" si="1"/>
        <v>5</v>
      </c>
      <c r="N25" s="33"/>
    </row>
    <row r="26" spans="1:15" s="34" customFormat="1" ht="20.100000000000001" customHeight="1" thickBot="1" x14ac:dyDescent="0.3">
      <c r="A26" s="192"/>
      <c r="B26" s="78" t="s">
        <v>45</v>
      </c>
      <c r="C26" s="22">
        <f>[20]NUMERIK!K48</f>
        <v>5065</v>
      </c>
      <c r="D26" s="73" t="s">
        <v>33</v>
      </c>
      <c r="E26" s="79">
        <f>C26/[20]NUMERIK!K$38*100%</f>
        <v>0.48146387832699622</v>
      </c>
      <c r="F26" s="25">
        <f t="shared" si="0"/>
        <v>1</v>
      </c>
      <c r="G26" s="36" t="str">
        <f>[20]Outcome!Q351</f>
        <v xml:space="preserve">Drainase Lingkungan RT003-RW002  , , , , , , , , , , , , , , , , , , , , , , , , , , , , , , , , , , , , , , , , , , , , </v>
      </c>
      <c r="H26" s="37">
        <f>[20]Outcome!M351</f>
        <v>581</v>
      </c>
      <c r="I26" s="38" t="s">
        <v>33</v>
      </c>
      <c r="J26" s="39">
        <f>IF(H26&gt;C26,0,C26-H26)</f>
        <v>4484</v>
      </c>
      <c r="K26" s="40" t="s">
        <v>33</v>
      </c>
      <c r="L26" s="41">
        <f>J26/[20]NUMERIK!K$38*100%</f>
        <v>0.42623574144486692</v>
      </c>
      <c r="M26" s="42">
        <f t="shared" si="1"/>
        <v>1</v>
      </c>
      <c r="N26" s="33"/>
    </row>
    <row r="27" spans="1:15" s="88" customFormat="1" ht="30" customHeight="1" thickBot="1" x14ac:dyDescent="0.3">
      <c r="A27" s="80" t="s">
        <v>46</v>
      </c>
      <c r="B27" s="81"/>
      <c r="C27" s="55"/>
      <c r="D27" s="55"/>
      <c r="E27" s="82">
        <f>IF(SUM(F22:F26)&gt;0,(SUMIF(F22:F26,"&gt;0",E22:E26)/5),0)</f>
        <v>0.33811787072243343</v>
      </c>
      <c r="F27" s="83"/>
      <c r="G27" s="58"/>
      <c r="H27" s="59"/>
      <c r="I27" s="59"/>
      <c r="J27" s="84"/>
      <c r="K27" s="85"/>
      <c r="L27" s="82">
        <f>IF(SUM(M22:M26)&gt;0,(SUMIF(M22:M26,"&gt;0",L22:L26)/5),0)</f>
        <v>0.3270722433460076</v>
      </c>
      <c r="M27" s="86"/>
      <c r="N27" s="87"/>
    </row>
    <row r="28" spans="1:15" s="34" customFormat="1" ht="27.75" customHeight="1" x14ac:dyDescent="0.25">
      <c r="A28" s="213" t="s">
        <v>47</v>
      </c>
      <c r="B28" s="21" t="s">
        <v>48</v>
      </c>
      <c r="C28" s="22">
        <f>[20]NUMERIK!K51</f>
        <v>16</v>
      </c>
      <c r="D28" s="73" t="s">
        <v>12</v>
      </c>
      <c r="E28" s="89">
        <f>C28/E$7*100%</f>
        <v>1.8120045300113252E-2</v>
      </c>
      <c r="F28" s="25">
        <f t="shared" si="0"/>
        <v>0</v>
      </c>
      <c r="G28" s="36" t="str">
        <f>[20]Outcome!Q396</f>
        <v xml:space="preserve">, , , , , , , , , , , , , , , , , , , , , , , , , , , , , , , , , , , , , , , , , , , , </v>
      </c>
      <c r="H28" s="37">
        <f>[20]Outcome!Q397</f>
        <v>0</v>
      </c>
      <c r="I28" s="38" t="s">
        <v>12</v>
      </c>
      <c r="J28" s="39">
        <f>IF(H28&gt;C28,0,C28-H28)</f>
        <v>16</v>
      </c>
      <c r="K28" s="40" t="s">
        <v>12</v>
      </c>
      <c r="L28" s="41">
        <f>J28/E$7*100%</f>
        <v>1.8120045300113252E-2</v>
      </c>
      <c r="M28" s="42">
        <f t="shared" si="1"/>
        <v>0</v>
      </c>
      <c r="N28" s="33"/>
    </row>
    <row r="29" spans="1:15" s="34" customFormat="1" ht="30" customHeight="1" thickBot="1" x14ac:dyDescent="0.3">
      <c r="A29" s="213"/>
      <c r="B29" s="21" t="s">
        <v>49</v>
      </c>
      <c r="C29" s="22">
        <f>[20]NUMERIK!K53</f>
        <v>24</v>
      </c>
      <c r="D29" s="73" t="s">
        <v>12</v>
      </c>
      <c r="E29" s="89">
        <f>C29/E$7*100%</f>
        <v>2.7180067950169876E-2</v>
      </c>
      <c r="F29" s="25">
        <f t="shared" si="0"/>
        <v>0</v>
      </c>
      <c r="G29" s="45" t="str">
        <f>[20]Outcome!Q441</f>
        <v xml:space="preserve">MCK Mandi + Cuci + Kakus RT004-RW002, , , , , , , , , , , , , , , , , , , , , , , , , , , , , , , , , , , , , , , , , , , , , , , , , , , , , , </v>
      </c>
      <c r="H29" s="37">
        <f>[20]Outcome!Q442</f>
        <v>0</v>
      </c>
      <c r="I29" s="38" t="s">
        <v>12</v>
      </c>
      <c r="J29" s="39">
        <f>IF(H29&gt;C29,0,C29-H29)</f>
        <v>24</v>
      </c>
      <c r="K29" s="40" t="s">
        <v>12</v>
      </c>
      <c r="L29" s="41">
        <f>J29/E$7*100%</f>
        <v>2.7180067950169876E-2</v>
      </c>
      <c r="M29" s="42">
        <f t="shared" si="1"/>
        <v>0</v>
      </c>
      <c r="N29" s="33"/>
    </row>
    <row r="30" spans="1:15" s="88" customFormat="1" ht="30" customHeight="1" thickBot="1" x14ac:dyDescent="0.3">
      <c r="A30" s="90" t="s">
        <v>50</v>
      </c>
      <c r="B30" s="81"/>
      <c r="C30" s="55"/>
      <c r="D30" s="55"/>
      <c r="E30" s="82">
        <f>IF(SUM(F28:F29)&gt;0,(SUMIF(F28:F29,"&gt;0",E28:E29)/2),0)</f>
        <v>0</v>
      </c>
      <c r="F30" s="83"/>
      <c r="G30" s="91"/>
      <c r="H30" s="92"/>
      <c r="I30" s="92"/>
      <c r="J30" s="84"/>
      <c r="K30" s="85"/>
      <c r="L30" s="82">
        <f>IF(SUM(M28:M29)&gt;0,(SUMIF(M28:M29,"&gt;0",L28:L29)/2),0)</f>
        <v>0</v>
      </c>
      <c r="M30" s="86"/>
      <c r="N30" s="87"/>
    </row>
    <row r="31" spans="1:15" s="34" customFormat="1" ht="31.5" customHeight="1" x14ac:dyDescent="0.25">
      <c r="A31" s="192" t="s">
        <v>51</v>
      </c>
      <c r="B31" s="21" t="s">
        <v>52</v>
      </c>
      <c r="C31" s="93">
        <f>[20]NUMERIK!K56</f>
        <v>704</v>
      </c>
      <c r="D31" s="94" t="s">
        <v>12</v>
      </c>
      <c r="E31" s="89">
        <f>C31/E$7*100%</f>
        <v>0.79728199320498305</v>
      </c>
      <c r="F31" s="25">
        <f t="shared" si="0"/>
        <v>5</v>
      </c>
      <c r="G31" s="36" t="str">
        <f>[20]Outcome!Q496</f>
        <v xml:space="preserve">, , , , , , , , , , , , , , , , , , , , , , , , , , , , , , , , , , , , , , , , , , , , </v>
      </c>
      <c r="H31" s="37">
        <f>[20]Outcome!Q497</f>
        <v>0</v>
      </c>
      <c r="I31" s="38" t="s">
        <v>12</v>
      </c>
      <c r="J31" s="39">
        <f>IF(H31&gt;C31,0,C31-H31)</f>
        <v>704</v>
      </c>
      <c r="K31" s="40" t="s">
        <v>12</v>
      </c>
      <c r="L31" s="41">
        <f>J31/E$7*100%</f>
        <v>0.79728199320498305</v>
      </c>
      <c r="M31" s="42">
        <f t="shared" si="1"/>
        <v>5</v>
      </c>
      <c r="N31" s="33"/>
    </row>
    <row r="32" spans="1:15" s="34" customFormat="1" ht="32.25" customHeight="1" x14ac:dyDescent="0.25">
      <c r="A32" s="192"/>
      <c r="B32" s="21" t="s">
        <v>53</v>
      </c>
      <c r="C32" s="93">
        <f>[20]NUMERIK!K59</f>
        <v>840</v>
      </c>
      <c r="D32" s="94" t="s">
        <v>12</v>
      </c>
      <c r="E32" s="89">
        <f>C32/E$7*100%</f>
        <v>0.95130237825594566</v>
      </c>
      <c r="F32" s="25">
        <f t="shared" si="0"/>
        <v>5</v>
      </c>
      <c r="G32" s="36" t="str">
        <f>[20]Outcome!Q541</f>
        <v xml:space="preserve">, , , , , , , , , , , , , , , , , , , , , , , , , , , , , , , , , , , , , , , , , , , , </v>
      </c>
      <c r="H32" s="37">
        <f>[20]Outcome!Q542</f>
        <v>0</v>
      </c>
      <c r="I32" s="38" t="s">
        <v>12</v>
      </c>
      <c r="J32" s="39">
        <f>IF(H32&gt;C32,0,C32-H32)</f>
        <v>840</v>
      </c>
      <c r="K32" s="40" t="s">
        <v>12</v>
      </c>
      <c r="L32" s="41">
        <f>J32/E$7*100%</f>
        <v>0.95130237825594566</v>
      </c>
      <c r="M32" s="42">
        <f t="shared" si="1"/>
        <v>5</v>
      </c>
      <c r="N32" s="33"/>
    </row>
    <row r="33" spans="1:14" s="34" customFormat="1" ht="30.75" customHeight="1" thickBot="1" x14ac:dyDescent="0.3">
      <c r="A33" s="192"/>
      <c r="B33" s="21" t="s">
        <v>54</v>
      </c>
      <c r="C33" s="93">
        <f>[20]NUMERIK!K61</f>
        <v>806</v>
      </c>
      <c r="D33" s="94" t="s">
        <v>12</v>
      </c>
      <c r="E33" s="89">
        <f>C33/E$7*100%</f>
        <v>0.91279728199320498</v>
      </c>
      <c r="F33" s="25">
        <f t="shared" si="0"/>
        <v>5</v>
      </c>
      <c r="G33" s="36" t="str">
        <f>[20]Outcome!Q586</f>
        <v xml:space="preserve">, , , , , , , , , , , , , , , , , , , , , , , , , , , , , , , , , , , , , , , , , , , , </v>
      </c>
      <c r="H33" s="37">
        <f>[20]Outcome!Q587</f>
        <v>0</v>
      </c>
      <c r="I33" s="38" t="s">
        <v>12</v>
      </c>
      <c r="J33" s="39">
        <f>IF(H33&gt;C33,0,C33-H33)</f>
        <v>806</v>
      </c>
      <c r="K33" s="40" t="s">
        <v>12</v>
      </c>
      <c r="L33" s="41">
        <f>J33/E$7*100%</f>
        <v>0.91279728199320498</v>
      </c>
      <c r="M33" s="42">
        <f t="shared" si="1"/>
        <v>5</v>
      </c>
      <c r="N33" s="33"/>
    </row>
    <row r="34" spans="1:14" s="88" customFormat="1" ht="30" customHeight="1" thickBot="1" x14ac:dyDescent="0.3">
      <c r="A34" s="80" t="s">
        <v>55</v>
      </c>
      <c r="B34" s="81"/>
      <c r="C34" s="55"/>
      <c r="D34" s="55"/>
      <c r="E34" s="82">
        <f>IF(SUM(F31:F33)&gt;0,(SUMIF(F31:F33,"&gt;0",E31:E33)/3),0)</f>
        <v>0.8871272178180446</v>
      </c>
      <c r="F34" s="83"/>
      <c r="G34" s="91"/>
      <c r="H34" s="92"/>
      <c r="I34" s="92"/>
      <c r="J34" s="84"/>
      <c r="K34" s="85"/>
      <c r="L34" s="82">
        <f>IF(SUM(M31:M33)&gt;0,(SUMIF(M31:M33,"&gt;0",L31:L33)/3),0)</f>
        <v>0.8871272178180446</v>
      </c>
      <c r="M34" s="86"/>
      <c r="N34" s="87"/>
    </row>
    <row r="35" spans="1:14" s="34" customFormat="1" ht="24.95" customHeight="1" x14ac:dyDescent="0.25">
      <c r="A35" s="213" t="s">
        <v>56</v>
      </c>
      <c r="B35" s="95" t="s">
        <v>57</v>
      </c>
      <c r="C35" s="93">
        <f>[20]NUMERIK!K64</f>
        <v>0</v>
      </c>
      <c r="D35" s="94" t="s">
        <v>8</v>
      </c>
      <c r="E35" s="79">
        <f>C35/E$5*100%</f>
        <v>0</v>
      </c>
      <c r="F35" s="25">
        <f t="shared" si="0"/>
        <v>0</v>
      </c>
      <c r="G35" s="36" t="str">
        <f>[20]Outcome!Q631</f>
        <v xml:space="preserve">, , , , , , , , , , , , , , , , , , , </v>
      </c>
      <c r="H35" s="27">
        <f>[20]Outcome!Q632</f>
        <v>0</v>
      </c>
      <c r="I35" s="38" t="s">
        <v>8</v>
      </c>
      <c r="J35" s="39">
        <f>IF(H35&gt;C35,0,C35-H35)</f>
        <v>0</v>
      </c>
      <c r="K35" s="40" t="s">
        <v>8</v>
      </c>
      <c r="L35" s="41">
        <f>J35/E$5*100%</f>
        <v>0</v>
      </c>
      <c r="M35" s="42">
        <f t="shared" si="1"/>
        <v>0</v>
      </c>
      <c r="N35" s="33"/>
    </row>
    <row r="36" spans="1:14" s="34" customFormat="1" ht="24.95" customHeight="1" thickBot="1" x14ac:dyDescent="0.3">
      <c r="A36" s="213"/>
      <c r="B36" s="95" t="s">
        <v>58</v>
      </c>
      <c r="C36" s="96">
        <f>[20]NUMERIK!K66</f>
        <v>735</v>
      </c>
      <c r="D36" s="94" t="s">
        <v>8</v>
      </c>
      <c r="E36" s="79">
        <f>C36/E$5*100%</f>
        <v>1</v>
      </c>
      <c r="F36" s="25">
        <f t="shared" si="0"/>
        <v>5</v>
      </c>
      <c r="G36" s="36" t="str">
        <f>[20]Outcome!Q651</f>
        <v xml:space="preserve">, , , , , , , , , , , , , , , , , , , </v>
      </c>
      <c r="H36" s="37">
        <f>[20]Outcome!Q652</f>
        <v>0</v>
      </c>
      <c r="I36" s="97" t="s">
        <v>8</v>
      </c>
      <c r="J36" s="98">
        <f>IF(H36&gt;C36,0,C36-H36)</f>
        <v>735</v>
      </c>
      <c r="K36" s="99" t="s">
        <v>8</v>
      </c>
      <c r="L36" s="100">
        <f>J36/E$5*100%</f>
        <v>1</v>
      </c>
      <c r="M36" s="51">
        <f t="shared" si="1"/>
        <v>5</v>
      </c>
      <c r="N36" s="33"/>
    </row>
    <row r="37" spans="1:14" s="77" customFormat="1" ht="30" customHeight="1" thickBot="1" x14ac:dyDescent="0.3">
      <c r="A37" s="80" t="s">
        <v>59</v>
      </c>
      <c r="B37" s="101"/>
      <c r="C37" s="102"/>
      <c r="D37" s="102"/>
      <c r="E37" s="82">
        <f>IF(SUM(F35:F36)&gt;0,(SUMIF(F35:F36,"&gt;0",E35:E36)/2),0)</f>
        <v>0.5</v>
      </c>
      <c r="F37" s="103"/>
      <c r="G37" s="104"/>
      <c r="H37" s="105"/>
      <c r="I37" s="105"/>
      <c r="J37" s="106"/>
      <c r="K37" s="107"/>
      <c r="L37" s="82">
        <f>IF(SUM(M35:M36)&gt;0,(SUMIF(M35:M36,"&gt;0",L35:L36)/2),0)</f>
        <v>0.5</v>
      </c>
      <c r="M37" s="108"/>
      <c r="N37" s="109"/>
    </row>
    <row r="38" spans="1:14" ht="15" customHeight="1" x14ac:dyDescent="0.25">
      <c r="A38" s="110"/>
      <c r="B38" s="111" t="s">
        <v>60</v>
      </c>
      <c r="D38" s="218" t="s">
        <v>61</v>
      </c>
      <c r="E38" s="219"/>
      <c r="F38" s="222">
        <f>SUM(F12:F36)</f>
        <v>30</v>
      </c>
      <c r="G38" s="112"/>
      <c r="H38" s="112"/>
      <c r="I38" s="112"/>
      <c r="J38" s="112"/>
      <c r="K38" s="238" t="s">
        <v>61</v>
      </c>
      <c r="L38" s="239"/>
      <c r="M38" s="224">
        <f>SUM(M12:M36)</f>
        <v>29</v>
      </c>
    </row>
    <row r="39" spans="1:14" ht="15" customHeight="1" x14ac:dyDescent="0.25">
      <c r="A39" s="110"/>
      <c r="B39" s="113" t="s">
        <v>62</v>
      </c>
      <c r="D39" s="220"/>
      <c r="E39" s="221"/>
      <c r="F39" s="223"/>
      <c r="G39" s="114"/>
      <c r="H39" s="114"/>
      <c r="I39" s="114"/>
      <c r="J39" s="114"/>
      <c r="K39" s="240"/>
      <c r="L39" s="241"/>
      <c r="M39" s="225"/>
    </row>
    <row r="40" spans="1:14" ht="15" customHeight="1" x14ac:dyDescent="0.25">
      <c r="A40" s="110"/>
      <c r="B40" s="115" t="s">
        <v>63</v>
      </c>
      <c r="D40" s="226" t="s">
        <v>64</v>
      </c>
      <c r="E40" s="227"/>
      <c r="F40" s="230" t="str">
        <f>IF(F38="N/A","TIDAK KUMUH",IF(F38&gt;=71,"KUMUH BERAT",IF(AND(F38&lt;=70,F38&gt;=45),"KUMUH SEDANG",IF(AND(F38&lt;=44,F38&gt;=19),"KUMUH RINGAN","TIDAK KUMUH"))))</f>
        <v>KUMUH RINGAN</v>
      </c>
      <c r="G40" s="116"/>
      <c r="H40" s="116"/>
      <c r="I40" s="116"/>
      <c r="J40" s="116"/>
      <c r="K40" s="232" t="s">
        <v>64</v>
      </c>
      <c r="L40" s="233"/>
      <c r="M40" s="236" t="str">
        <f>IF(M38="N/A","TIDAK KUMUH",IF(M38&gt;=71,"KUMUH BERAT",IF(AND(M38&lt;=70,M38&gt;=45),"KUMUH SEDANG",IF(AND(M38&lt;=44,M38&gt;=19),"KUMUH RINGAN","TIDAK KUMUH"))))</f>
        <v>KUMUH RINGAN</v>
      </c>
    </row>
    <row r="41" spans="1:14" ht="15" customHeight="1" thickBot="1" x14ac:dyDescent="0.3">
      <c r="A41" s="110"/>
      <c r="B41" s="117" t="s">
        <v>65</v>
      </c>
      <c r="D41" s="228"/>
      <c r="E41" s="229"/>
      <c r="F41" s="231" t="str">
        <f>IF(E41&gt;71,"KB",IF(E41&gt;=47,"KS","KR"))</f>
        <v>KR</v>
      </c>
      <c r="G41" s="116"/>
      <c r="H41" s="116"/>
      <c r="I41" s="116"/>
      <c r="J41" s="116"/>
      <c r="K41" s="234"/>
      <c r="L41" s="235"/>
      <c r="M41" s="237" t="str">
        <f>IF(L41&gt;71,"KB",IF(L41&gt;=47,"KS","KR"))</f>
        <v>KR</v>
      </c>
    </row>
    <row r="42" spans="1:14" ht="21" customHeight="1" x14ac:dyDescent="0.25">
      <c r="B42" s="118" t="s">
        <v>66</v>
      </c>
      <c r="C42" s="119"/>
      <c r="D42" s="120"/>
      <c r="E42" s="121" t="s">
        <v>67</v>
      </c>
      <c r="F42" s="122">
        <f>AVERAGE(E15,E18,E21,E27,E30,E34,E37)</f>
        <v>0.30698486708742445</v>
      </c>
      <c r="J42" s="123"/>
      <c r="K42" s="124"/>
      <c r="L42" s="125" t="s">
        <v>67</v>
      </c>
      <c r="M42" s="126">
        <f>AVERAGE(L15,L18,L21,L27,L30,L34,L37)</f>
        <v>0.28654372989443272</v>
      </c>
    </row>
    <row r="43" spans="1:14" ht="21" customHeight="1" x14ac:dyDescent="0.25">
      <c r="B43" s="127"/>
      <c r="C43" s="119"/>
      <c r="D43" s="120"/>
      <c r="E43" s="121" t="s">
        <v>68</v>
      </c>
      <c r="F43" s="122">
        <v>0</v>
      </c>
      <c r="J43" s="123"/>
      <c r="K43" s="124"/>
      <c r="L43" s="125" t="s">
        <v>68</v>
      </c>
      <c r="M43" s="126">
        <f>(F42-M42)/F42</f>
        <v>6.6586791026316025E-2</v>
      </c>
      <c r="N43"/>
    </row>
    <row r="44" spans="1:14" x14ac:dyDescent="0.25">
      <c r="M44" s="128"/>
    </row>
    <row r="55" spans="12:12" x14ac:dyDescent="0.25">
      <c r="L55" s="129"/>
    </row>
  </sheetData>
  <mergeCells count="23">
    <mergeCell ref="M38:M39"/>
    <mergeCell ref="D40:E41"/>
    <mergeCell ref="F40:F41"/>
    <mergeCell ref="K40:L41"/>
    <mergeCell ref="M40:M41"/>
    <mergeCell ref="K38:L39"/>
    <mergeCell ref="A28:A29"/>
    <mergeCell ref="A31:A33"/>
    <mergeCell ref="A35:A36"/>
    <mergeCell ref="D38:E39"/>
    <mergeCell ref="F38:F39"/>
    <mergeCell ref="J9:M10"/>
    <mergeCell ref="G10:I10"/>
    <mergeCell ref="A12:A14"/>
    <mergeCell ref="A16:A17"/>
    <mergeCell ref="A19:A20"/>
    <mergeCell ref="G9:I9"/>
    <mergeCell ref="A22:A26"/>
    <mergeCell ref="A1:F1"/>
    <mergeCell ref="A2:B2"/>
    <mergeCell ref="A9:A11"/>
    <mergeCell ref="B9:B11"/>
    <mergeCell ref="C9:F10"/>
  </mergeCells>
  <conditionalFormatting sqref="F40:J41">
    <cfRule type="expression" dxfId="152" priority="6">
      <formula>F40="KUMUH SEDANG"</formula>
    </cfRule>
    <cfRule type="expression" dxfId="151" priority="7">
      <formula>F40="TIDAK KUMUH"</formula>
    </cfRule>
    <cfRule type="expression" dxfId="150" priority="8">
      <formula>F40="KUMUH BERAT"</formula>
    </cfRule>
    <cfRule type="expression" dxfId="149" priority="9">
      <formula>F40="KUMUH RINGAN"</formula>
    </cfRule>
  </conditionalFormatting>
  <conditionalFormatting sqref="G12:G14 G16:G17 G19:G20 G22:G26 G28:G29 G31:G33 G35:G36">
    <cfRule type="cellIs" dxfId="148" priority="1" operator="equal">
      <formula>", , , , , , "</formula>
    </cfRule>
  </conditionalFormatting>
  <conditionalFormatting sqref="M40:M41">
    <cfRule type="expression" dxfId="147" priority="2">
      <formula>M40="KUMUH SEDANG"</formula>
    </cfRule>
    <cfRule type="expression" dxfId="146" priority="3">
      <formula>M40="TIDAK KUMUH"</formula>
    </cfRule>
    <cfRule type="expression" dxfId="145" priority="4">
      <formula>M40="KUMUH BERAT"</formula>
    </cfRule>
    <cfRule type="expression" dxfId="144" priority="5">
      <formula>M40="KUMUH RINGAN"</formula>
    </cfRule>
  </conditionalFormatting>
  <pageMargins left="0.7" right="0.2" top="0.75" bottom="0.75" header="0.3" footer="0.3"/>
  <pageSetup paperSize="9" scale="70" orientation="portrait" horizontalDpi="4294967293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0A318-EB8F-4369-B957-F0615461930E}">
  <sheetPr>
    <tabColor rgb="FF0070C0"/>
  </sheetPr>
  <dimension ref="A1:O55"/>
  <sheetViews>
    <sheetView showGridLines="0" zoomScale="60" zoomScaleNormal="60" zoomScaleSheetLayoutView="75" zoomScalePageLayoutView="90" workbookViewId="0">
      <pane xSplit="1" ySplit="11" topLeftCell="B28" activePane="bottomRight" state="frozen"/>
      <selection pane="topRight" activeCell="B1" sqref="B1"/>
      <selection pane="bottomLeft" activeCell="A12" sqref="A12"/>
      <selection pane="bottomRight" activeCell="F12" sqref="F12:F37"/>
    </sheetView>
  </sheetViews>
  <sheetFormatPr defaultColWidth="8.85546875" defaultRowHeight="15" x14ac:dyDescent="0.25"/>
  <cols>
    <col min="1" max="1" width="24" customWidth="1"/>
    <col min="2" max="2" width="45.85546875" customWidth="1"/>
    <col min="3" max="3" width="12.42578125" customWidth="1"/>
    <col min="4" max="4" width="9.140625" customWidth="1"/>
    <col min="5" max="5" width="12.140625" customWidth="1"/>
    <col min="6" max="6" width="9.140625" customWidth="1"/>
    <col min="7" max="7" width="36.42578125" customWidth="1"/>
    <col min="8" max="9" width="9.140625" customWidth="1"/>
    <col min="10" max="10" width="10" bestFit="1" customWidth="1"/>
    <col min="11" max="12" width="9.140625" customWidth="1"/>
    <col min="13" max="13" width="11.28515625" customWidth="1"/>
    <col min="14" max="14" width="2.28515625" style="3" customWidth="1"/>
  </cols>
  <sheetData>
    <row r="1" spans="1:14" ht="18.75" customHeight="1" x14ac:dyDescent="0.3">
      <c r="A1" s="193" t="s">
        <v>0</v>
      </c>
      <c r="B1" s="193"/>
      <c r="C1" s="193"/>
      <c r="D1" s="193"/>
      <c r="E1" s="193"/>
      <c r="F1" s="193"/>
      <c r="G1" s="1"/>
      <c r="H1" s="1"/>
      <c r="I1" s="1"/>
      <c r="J1" s="1"/>
      <c r="K1" s="1"/>
      <c r="L1" s="1"/>
      <c r="M1" s="2"/>
    </row>
    <row r="2" spans="1:14" ht="3.75" customHeight="1" x14ac:dyDescent="0.25">
      <c r="A2" s="194"/>
      <c r="B2" s="194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4" ht="15.75" customHeight="1" x14ac:dyDescent="0.25">
      <c r="A3" s="6" t="s">
        <v>1</v>
      </c>
      <c r="B3" s="6" t="str">
        <f>": "&amp;[21]NUMERIK!E14</f>
        <v>: JAWA TIMUR</v>
      </c>
      <c r="C3" s="7" t="s">
        <v>2</v>
      </c>
      <c r="D3" s="8"/>
      <c r="E3" s="9">
        <f>[21]NUMERIK!K6</f>
        <v>24.9</v>
      </c>
      <c r="F3" t="s">
        <v>3</v>
      </c>
    </row>
    <row r="4" spans="1:14" ht="15.75" customHeight="1" x14ac:dyDescent="0.25">
      <c r="A4" s="6" t="s">
        <v>4</v>
      </c>
      <c r="B4" s="6" t="str">
        <f>": "&amp;[21]NUMERIK!E12</f>
        <v>: KAB. MAGETAN</v>
      </c>
      <c r="C4" s="7" t="s">
        <v>5</v>
      </c>
      <c r="D4" s="8"/>
      <c r="E4" s="9">
        <f>[21]NUMERIK!K8</f>
        <v>24.9</v>
      </c>
      <c r="F4" t="s">
        <v>3</v>
      </c>
    </row>
    <row r="5" spans="1:14" ht="15.75" customHeight="1" x14ac:dyDescent="0.25">
      <c r="A5" s="10" t="s">
        <v>6</v>
      </c>
      <c r="B5" s="10" t="str">
        <f>": "&amp;[21]NUMERIK!E10</f>
        <v>: MAGETAN</v>
      </c>
      <c r="C5" s="7" t="s">
        <v>7</v>
      </c>
      <c r="D5" s="8"/>
      <c r="E5" s="11">
        <f>[21]NUMERIK!K10</f>
        <v>477</v>
      </c>
      <c r="F5" t="s">
        <v>8</v>
      </c>
    </row>
    <row r="6" spans="1:14" ht="15.75" customHeight="1" x14ac:dyDescent="0.25">
      <c r="A6" s="10" t="s">
        <v>9</v>
      </c>
      <c r="B6" s="10" t="str">
        <f>": "&amp;[21]NUMERIK!E6</f>
        <v>: MAGETAN</v>
      </c>
      <c r="C6" s="7" t="s">
        <v>10</v>
      </c>
      <c r="D6" s="8"/>
      <c r="E6" s="12">
        <f>[21]NUMERIK!K12</f>
        <v>1752</v>
      </c>
      <c r="F6" t="s">
        <v>11</v>
      </c>
    </row>
    <row r="7" spans="1:14" ht="15.75" customHeight="1" x14ac:dyDescent="0.25">
      <c r="A7" s="4"/>
      <c r="B7" s="13"/>
      <c r="C7" s="7" t="s">
        <v>7</v>
      </c>
      <c r="D7" s="5"/>
      <c r="E7" s="12">
        <f>[21]NUMERIK!K14</f>
        <v>571</v>
      </c>
      <c r="F7" t="s">
        <v>12</v>
      </c>
    </row>
    <row r="8" spans="1:14" ht="5.25" customHeight="1" thickBot="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4" ht="12" customHeight="1" x14ac:dyDescent="0.25">
      <c r="A9" s="195" t="s">
        <v>13</v>
      </c>
      <c r="B9" s="197" t="s">
        <v>14</v>
      </c>
      <c r="C9" s="199" t="s">
        <v>15</v>
      </c>
      <c r="D9" s="200"/>
      <c r="E9" s="200"/>
      <c r="F9" s="201"/>
      <c r="G9" s="216" t="s">
        <v>16</v>
      </c>
      <c r="H9" s="217"/>
      <c r="I9" s="217"/>
      <c r="J9" s="205" t="s">
        <v>17</v>
      </c>
      <c r="K9" s="206"/>
      <c r="L9" s="206"/>
      <c r="M9" s="207"/>
    </row>
    <row r="10" spans="1:14" ht="9.75" customHeight="1" x14ac:dyDescent="0.25">
      <c r="A10" s="196"/>
      <c r="B10" s="198"/>
      <c r="C10" s="202"/>
      <c r="D10" s="203"/>
      <c r="E10" s="203"/>
      <c r="F10" s="204"/>
      <c r="G10" s="211" t="s">
        <v>18</v>
      </c>
      <c r="H10" s="212"/>
      <c r="I10" s="212"/>
      <c r="J10" s="208"/>
      <c r="K10" s="209"/>
      <c r="L10" s="209"/>
      <c r="M10" s="210"/>
    </row>
    <row r="11" spans="1:14" ht="15.75" thickBot="1" x14ac:dyDescent="0.3">
      <c r="A11" s="196"/>
      <c r="B11" s="198"/>
      <c r="C11" s="14" t="s">
        <v>19</v>
      </c>
      <c r="D11" s="14" t="s">
        <v>20</v>
      </c>
      <c r="E11" s="14" t="s">
        <v>21</v>
      </c>
      <c r="F11" s="15" t="s">
        <v>22</v>
      </c>
      <c r="G11" s="16" t="s">
        <v>23</v>
      </c>
      <c r="H11" s="17" t="s">
        <v>24</v>
      </c>
      <c r="I11" s="17" t="s">
        <v>20</v>
      </c>
      <c r="J11" s="18" t="s">
        <v>19</v>
      </c>
      <c r="K11" s="19" t="s">
        <v>20</v>
      </c>
      <c r="L11" s="19" t="s">
        <v>25</v>
      </c>
      <c r="M11" s="20" t="s">
        <v>22</v>
      </c>
    </row>
    <row r="12" spans="1:14" s="34" customFormat="1" ht="24.95" customHeight="1" x14ac:dyDescent="0.25">
      <c r="A12" s="213" t="s">
        <v>26</v>
      </c>
      <c r="B12" s="21" t="s">
        <v>27</v>
      </c>
      <c r="C12" s="22">
        <f>[21]NUMERIK!K18</f>
        <v>163</v>
      </c>
      <c r="D12" s="23" t="s">
        <v>8</v>
      </c>
      <c r="E12" s="24">
        <f>C12/E5*100%</f>
        <v>0.34171907756813419</v>
      </c>
      <c r="F12" s="25">
        <f t="shared" ref="F12:F36" si="0">IF(AND(E12&gt;=24.995%,E12&lt;50.995%),1,IF(AND(E12&gt;=50.995%,E12&lt;75.995%),3,IF(E12&gt;=75.995%,5,0)))</f>
        <v>1</v>
      </c>
      <c r="G12" s="26" t="str">
        <f>[21]Outcome!Q6</f>
        <v xml:space="preserve">, , , , , , , , , , , , , , , , , , , , , , , , , , , , , , , , , , , , , , , , , , , , </v>
      </c>
      <c r="H12" s="27">
        <f>[21]Outcome!M6</f>
        <v>0</v>
      </c>
      <c r="I12" s="28" t="s">
        <v>8</v>
      </c>
      <c r="J12" s="29">
        <f>IF(H12&gt;C12,0,C12-H12)</f>
        <v>163</v>
      </c>
      <c r="K12" s="30" t="s">
        <v>8</v>
      </c>
      <c r="L12" s="31">
        <f>J12/E$5*100%</f>
        <v>0.34171907756813419</v>
      </c>
      <c r="M12" s="32">
        <f t="shared" ref="M12:M36" si="1">IF(AND(L12&gt;=24.995%,L12&lt;50.995%),1,IF(AND(L12&gt;=50.995%,L12&lt;75.995%),3,IF(L12&gt;=75.995%,5,0)))</f>
        <v>1</v>
      </c>
      <c r="N12" s="33"/>
    </row>
    <row r="13" spans="1:14" s="34" customFormat="1" ht="24.95" customHeight="1" x14ac:dyDescent="0.25">
      <c r="A13" s="213"/>
      <c r="B13" s="21" t="s">
        <v>28</v>
      </c>
      <c r="C13" s="35">
        <f>[21]NUMERIK!K20</f>
        <v>0</v>
      </c>
      <c r="D13" s="23" t="s">
        <v>3</v>
      </c>
      <c r="E13" s="24">
        <f>C13/E4*100%</f>
        <v>0</v>
      </c>
      <c r="F13" s="25">
        <f t="shared" si="0"/>
        <v>0</v>
      </c>
      <c r="G13" s="36" t="str">
        <f>[21]Outcome!Q51</f>
        <v xml:space="preserve">, , , , , , , , , , , , , , , , , , , </v>
      </c>
      <c r="H13" s="37">
        <f>[21]Outcome!M51</f>
        <v>0</v>
      </c>
      <c r="I13" s="38" t="s">
        <v>3</v>
      </c>
      <c r="J13" s="39">
        <f>IF(H13&gt;C13,0,C13-H13)</f>
        <v>0</v>
      </c>
      <c r="K13" s="40" t="s">
        <v>3</v>
      </c>
      <c r="L13" s="41">
        <f>J13/E$4*100%</f>
        <v>0</v>
      </c>
      <c r="M13" s="42">
        <f t="shared" si="1"/>
        <v>0</v>
      </c>
      <c r="N13" s="33"/>
    </row>
    <row r="14" spans="1:14" s="34" customFormat="1" ht="24.95" customHeight="1" thickBot="1" x14ac:dyDescent="0.3">
      <c r="A14" s="214"/>
      <c r="B14" s="43" t="s">
        <v>29</v>
      </c>
      <c r="C14" s="35">
        <f>[21]NUMERIK!K22</f>
        <v>65</v>
      </c>
      <c r="D14" s="23" t="s">
        <v>8</v>
      </c>
      <c r="E14" s="24">
        <f>C14/E5*100%</f>
        <v>0.13626834381551362</v>
      </c>
      <c r="F14" s="44">
        <f t="shared" si="0"/>
        <v>0</v>
      </c>
      <c r="G14" s="45" t="str">
        <f>[21]Outcome!Q71</f>
        <v xml:space="preserve">Bangunan Gedung RT004-RW001, Bangunan Gedung RT004-RW004, Bangunan Gedung RT004-RW001, Bangunan Gedung RT008-RW001, Bangunan Gedung RT002-RW002, , , , , , , , , , , , , , , , , , , , , , , , , , , , , , , , , , , , , , , , </v>
      </c>
      <c r="H14" s="46">
        <f>[21]Outcome!M71</f>
        <v>19</v>
      </c>
      <c r="I14" s="47" t="s">
        <v>8</v>
      </c>
      <c r="J14" s="48">
        <f>IF(H14&gt;C14,0,C14-H14)</f>
        <v>46</v>
      </c>
      <c r="K14" s="49" t="s">
        <v>8</v>
      </c>
      <c r="L14" s="50">
        <f>J14/E$5*100%</f>
        <v>9.6436058700209645E-2</v>
      </c>
      <c r="M14" s="51">
        <f t="shared" si="1"/>
        <v>0</v>
      </c>
      <c r="N14" s="33"/>
    </row>
    <row r="15" spans="1:14" s="34" customFormat="1" ht="30" customHeight="1" thickBot="1" x14ac:dyDescent="0.3">
      <c r="A15" s="52" t="s">
        <v>30</v>
      </c>
      <c r="B15" s="53"/>
      <c r="C15" s="54"/>
      <c r="D15" s="55"/>
      <c r="E15" s="56">
        <f>IF(SUM(F12:F14)&gt;0,(SUMIF(F12:F14,"&gt;0",E12:E14)/3),0)</f>
        <v>0.11390635918937807</v>
      </c>
      <c r="F15" s="57"/>
      <c r="G15" s="58"/>
      <c r="H15" s="59"/>
      <c r="I15" s="59"/>
      <c r="J15" s="60"/>
      <c r="K15" s="61"/>
      <c r="L15" s="56">
        <f>IF(SUM(M12:M14)&gt;0,(SUMIF(M12:M14,"&gt;0",L12:L14)/3),0)</f>
        <v>0.11390635918937807</v>
      </c>
      <c r="M15" s="62"/>
      <c r="N15" s="33"/>
    </row>
    <row r="16" spans="1:14" s="34" customFormat="1" ht="24.95" customHeight="1" x14ac:dyDescent="0.25">
      <c r="A16" s="215" t="s">
        <v>31</v>
      </c>
      <c r="B16" s="63" t="s">
        <v>32</v>
      </c>
      <c r="C16" s="64">
        <f>[21]NUMERIK!K25-[21]NUMERIK!K26</f>
        <v>920</v>
      </c>
      <c r="D16" s="65" t="s">
        <v>33</v>
      </c>
      <c r="E16" s="66">
        <f>C16/[21]NUMERIK!K$25*100%</f>
        <v>0.1488914063764363</v>
      </c>
      <c r="F16" s="67">
        <f t="shared" si="0"/>
        <v>0</v>
      </c>
      <c r="G16" s="36" t="str">
        <f>[21]Outcome!Q116</f>
        <v xml:space="preserve">, , , , , , , , , , , , , , , , , , , </v>
      </c>
      <c r="H16" s="27">
        <f>[21]Outcome!M116</f>
        <v>0</v>
      </c>
      <c r="I16" s="68" t="s">
        <v>33</v>
      </c>
      <c r="J16" s="69">
        <f>IF(H16&gt;C16,0,C16-H16)</f>
        <v>920</v>
      </c>
      <c r="K16" s="70" t="s">
        <v>33</v>
      </c>
      <c r="L16" s="71">
        <f>J16/[21]NUMERIK!K$25*100%</f>
        <v>0.1488914063764363</v>
      </c>
      <c r="M16" s="72">
        <f t="shared" si="1"/>
        <v>0</v>
      </c>
      <c r="N16" s="33"/>
    </row>
    <row r="17" spans="1:15" s="34" customFormat="1" ht="24.95" customHeight="1" thickBot="1" x14ac:dyDescent="0.3">
      <c r="A17" s="192"/>
      <c r="B17" s="21" t="s">
        <v>34</v>
      </c>
      <c r="C17" s="22">
        <f>[21]NUMERIK!K28</f>
        <v>884</v>
      </c>
      <c r="D17" s="73" t="s">
        <v>33</v>
      </c>
      <c r="E17" s="24">
        <f>C17/[21]NUMERIK!K$25*100%</f>
        <v>0.14306522090953228</v>
      </c>
      <c r="F17" s="25">
        <f t="shared" si="0"/>
        <v>0</v>
      </c>
      <c r="G17" s="45" t="str">
        <f>[21]Outcome!Q136</f>
        <v xml:space="preserve">Jalan Paving Block RT007-RW001, Jalan Paving Block RT002-RW002, Jalan Lingkungan RT001-RW001, , , , , , , , , , , , , , , , , , , , , , , , , , , , , , , , , , , , , , , , , , </v>
      </c>
      <c r="H17" s="37">
        <f>[21]Outcome!M136</f>
        <v>221</v>
      </c>
      <c r="I17" s="38" t="s">
        <v>33</v>
      </c>
      <c r="J17" s="39">
        <f>IF(H17&gt;C17,0,C17-H17)</f>
        <v>663</v>
      </c>
      <c r="K17" s="40" t="s">
        <v>33</v>
      </c>
      <c r="L17" s="41">
        <f>J17/[21]NUMERIK!K$25*100%</f>
        <v>0.10729891568214922</v>
      </c>
      <c r="M17" s="42">
        <f t="shared" si="1"/>
        <v>0</v>
      </c>
      <c r="N17" s="33"/>
    </row>
    <row r="18" spans="1:15" s="34" customFormat="1" ht="30" customHeight="1" thickBot="1" x14ac:dyDescent="0.3">
      <c r="A18" s="52" t="s">
        <v>35</v>
      </c>
      <c r="B18" s="53"/>
      <c r="C18" s="54"/>
      <c r="D18" s="55"/>
      <c r="E18" s="56">
        <f>IF(SUM(F16:F17)&gt;0,(SUMIF(F16:F17,"&gt;0",E16:E17)/2),0)</f>
        <v>0</v>
      </c>
      <c r="F18" s="57"/>
      <c r="G18" s="58"/>
      <c r="H18" s="59"/>
      <c r="I18" s="59"/>
      <c r="J18" s="60"/>
      <c r="K18" s="61"/>
      <c r="L18" s="56">
        <f>IF(SUM(M16:M17)&gt;0,(SUMIF(M16:M17,"&gt;0",L16:L17)/2),0)</f>
        <v>0</v>
      </c>
      <c r="M18" s="62"/>
      <c r="N18" s="33"/>
    </row>
    <row r="19" spans="1:15" s="34" customFormat="1" ht="24.95" customHeight="1" x14ac:dyDescent="0.25">
      <c r="A19" s="213" t="s">
        <v>36</v>
      </c>
      <c r="B19" s="21" t="s">
        <v>37</v>
      </c>
      <c r="C19" s="22">
        <f>[21]NUMERIK!K31</f>
        <v>0</v>
      </c>
      <c r="D19" s="73" t="s">
        <v>12</v>
      </c>
      <c r="E19" s="74">
        <f>C19/E$7*100%</f>
        <v>0</v>
      </c>
      <c r="F19" s="25">
        <f t="shared" si="0"/>
        <v>0</v>
      </c>
      <c r="G19" s="36" t="str">
        <f>[21]Outcome!Q181</f>
        <v xml:space="preserve">, , , , , , , , , , , , , , , , , , , </v>
      </c>
      <c r="H19" s="27">
        <f>[21]Outcome!Q182</f>
        <v>0</v>
      </c>
      <c r="I19" s="38" t="s">
        <v>12</v>
      </c>
      <c r="J19" s="39">
        <f>IF(H19&gt;C19,0,C19-H19)</f>
        <v>0</v>
      </c>
      <c r="K19" s="75" t="s">
        <v>12</v>
      </c>
      <c r="L19" s="76">
        <f>J19/E$7*100%</f>
        <v>0</v>
      </c>
      <c r="M19" s="42">
        <f t="shared" si="1"/>
        <v>0</v>
      </c>
      <c r="N19" s="33"/>
    </row>
    <row r="20" spans="1:15" s="34" customFormat="1" ht="24.95" customHeight="1" thickBot="1" x14ac:dyDescent="0.3">
      <c r="A20" s="213"/>
      <c r="B20" s="21" t="s">
        <v>38</v>
      </c>
      <c r="C20" s="22">
        <f>[21]NUMERIK!K33</f>
        <v>4</v>
      </c>
      <c r="D20" s="73" t="s">
        <v>12</v>
      </c>
      <c r="E20" s="74">
        <f>C20/E$7*100%</f>
        <v>7.0052539404553416E-3</v>
      </c>
      <c r="F20" s="25">
        <f t="shared" si="0"/>
        <v>0</v>
      </c>
      <c r="G20" s="45" t="str">
        <f>[21]Outcome!Q201</f>
        <v xml:space="preserve">, , , , , , , , , , , , , , , , , , , , , , , , , , , , , , , , , , , , , , , , , , , , </v>
      </c>
      <c r="H20" s="37">
        <f>[21]Outcome!Q202</f>
        <v>0</v>
      </c>
      <c r="I20" s="38" t="s">
        <v>12</v>
      </c>
      <c r="J20" s="39">
        <f>IF(H20&gt;C20,0,C20-H20)</f>
        <v>4</v>
      </c>
      <c r="K20" s="75" t="s">
        <v>12</v>
      </c>
      <c r="L20" s="76">
        <f>J20/E$7*100%</f>
        <v>7.0052539404553416E-3</v>
      </c>
      <c r="M20" s="42">
        <f t="shared" si="1"/>
        <v>0</v>
      </c>
      <c r="N20" s="33"/>
    </row>
    <row r="21" spans="1:15" s="77" customFormat="1" ht="30" customHeight="1" thickBot="1" x14ac:dyDescent="0.3">
      <c r="A21" s="52" t="s">
        <v>39</v>
      </c>
      <c r="B21" s="53"/>
      <c r="C21" s="54"/>
      <c r="D21" s="55"/>
      <c r="E21" s="56">
        <f>IF(SUM(F19:F20)&gt;0,(SUMIF(F19:F20,"&gt;0",E19:E20)/2),0)</f>
        <v>0</v>
      </c>
      <c r="F21" s="57"/>
      <c r="G21" s="58"/>
      <c r="H21" s="59"/>
      <c r="I21" s="59"/>
      <c r="J21" s="60"/>
      <c r="K21" s="61"/>
      <c r="L21" s="56">
        <f>IF(SUM(M19:M20)&gt;0,(SUMIF(M19:M20,"&gt;0",L19:L20)/2),0)</f>
        <v>0</v>
      </c>
      <c r="M21" s="62"/>
      <c r="N21" s="33"/>
      <c r="O21" s="34"/>
    </row>
    <row r="22" spans="1:15" s="34" customFormat="1" ht="20.100000000000001" customHeight="1" x14ac:dyDescent="0.25">
      <c r="A22" s="192" t="s">
        <v>40</v>
      </c>
      <c r="B22" s="78" t="s">
        <v>41</v>
      </c>
      <c r="C22" s="22">
        <f>[21]NUMERIK!K36</f>
        <v>0</v>
      </c>
      <c r="D22" s="73" t="s">
        <v>3</v>
      </c>
      <c r="E22" s="79">
        <f>C22/E$4*100%</f>
        <v>0</v>
      </c>
      <c r="F22" s="25">
        <f t="shared" si="0"/>
        <v>0</v>
      </c>
      <c r="G22" s="36" t="str">
        <f>[21]Outcome!Q246</f>
        <v xml:space="preserve">, , , , , , , , , , , , , , , , , , , </v>
      </c>
      <c r="H22" s="27">
        <f>[21]Outcome!M246</f>
        <v>0</v>
      </c>
      <c r="I22" s="38" t="s">
        <v>3</v>
      </c>
      <c r="J22" s="39">
        <f>IF(H22&gt;C22,0,C22-H22)</f>
        <v>0</v>
      </c>
      <c r="K22" s="40" t="s">
        <v>3</v>
      </c>
      <c r="L22" s="41">
        <f>J22/E$4*100%</f>
        <v>0</v>
      </c>
      <c r="M22" s="42">
        <f t="shared" si="1"/>
        <v>0</v>
      </c>
      <c r="N22" s="33"/>
    </row>
    <row r="23" spans="1:15" s="34" customFormat="1" ht="25.5" customHeight="1" x14ac:dyDescent="0.25">
      <c r="A23" s="192"/>
      <c r="B23" s="21" t="s">
        <v>42</v>
      </c>
      <c r="C23" s="22">
        <f>([21]NUMERIK!K38-[21]NUMERIK!K40)</f>
        <v>1980</v>
      </c>
      <c r="D23" s="73" t="s">
        <v>33</v>
      </c>
      <c r="E23" s="79">
        <f>C23/[21]NUMERIK!K$38*100%</f>
        <v>0.19867549668874171</v>
      </c>
      <c r="F23" s="25">
        <f t="shared" si="0"/>
        <v>0</v>
      </c>
      <c r="G23" s="36" t="str">
        <f>[21]Outcome!Q266</f>
        <v xml:space="preserve">, , , , , , , , , , , , , , , , , , , , , , , , , , , , , , , , , , , , , , , , , , , , </v>
      </c>
      <c r="H23" s="37">
        <f>[21]Outcome!M266</f>
        <v>0</v>
      </c>
      <c r="I23" s="38" t="s">
        <v>33</v>
      </c>
      <c r="J23" s="39">
        <f>IF(H23&gt;C23,0,C23-H23)</f>
        <v>1980</v>
      </c>
      <c r="K23" s="40" t="s">
        <v>33</v>
      </c>
      <c r="L23" s="41">
        <f>J23/[21]NUMERIK!K$38*100%</f>
        <v>0.19867549668874171</v>
      </c>
      <c r="M23" s="42">
        <f t="shared" si="1"/>
        <v>0</v>
      </c>
      <c r="N23" s="33"/>
    </row>
    <row r="24" spans="1:15" s="34" customFormat="1" ht="20.100000000000001" customHeight="1" x14ac:dyDescent="0.25">
      <c r="A24" s="192"/>
      <c r="B24" s="21" t="s">
        <v>43</v>
      </c>
      <c r="C24" s="22">
        <f>[21]NUMERIK!K42</f>
        <v>0</v>
      </c>
      <c r="D24" s="73" t="s">
        <v>33</v>
      </c>
      <c r="E24" s="79">
        <f>C24/[21]NUMERIK!K$38*100%</f>
        <v>0</v>
      </c>
      <c r="F24" s="25">
        <f t="shared" si="0"/>
        <v>0</v>
      </c>
      <c r="G24" s="36" t="str">
        <f>[21]Outcome!Q311</f>
        <v xml:space="preserve">, , , , , , , , , , , , , , , , , , , </v>
      </c>
      <c r="H24" s="37">
        <f>[21]Outcome!M311</f>
        <v>0</v>
      </c>
      <c r="I24" s="38" t="s">
        <v>33</v>
      </c>
      <c r="J24" s="39">
        <f>IF(H24&gt;C24,0,C24-H24)</f>
        <v>0</v>
      </c>
      <c r="K24" s="40" t="s">
        <v>33</v>
      </c>
      <c r="L24" s="41">
        <f>J24/[21]NUMERIK!K$38*100%</f>
        <v>0</v>
      </c>
      <c r="M24" s="42">
        <f t="shared" si="1"/>
        <v>0</v>
      </c>
      <c r="N24" s="33"/>
    </row>
    <row r="25" spans="1:15" s="34" customFormat="1" ht="20.100000000000001" customHeight="1" x14ac:dyDescent="0.25">
      <c r="A25" s="192"/>
      <c r="B25" s="21" t="s">
        <v>44</v>
      </c>
      <c r="C25" s="22">
        <f>[21]NUMERIK!K45</f>
        <v>9966</v>
      </c>
      <c r="D25" s="73" t="s">
        <v>33</v>
      </c>
      <c r="E25" s="79">
        <f>C25/[21]NUMERIK!K$38*100%</f>
        <v>1</v>
      </c>
      <c r="F25" s="25">
        <f t="shared" si="0"/>
        <v>5</v>
      </c>
      <c r="G25" s="36" t="str">
        <f>[21]Outcome!Q331</f>
        <v xml:space="preserve">, , , , , , , , , , , , , , , , , , , </v>
      </c>
      <c r="H25" s="37">
        <f>[21]Outcome!M331</f>
        <v>0</v>
      </c>
      <c r="I25" s="38" t="s">
        <v>33</v>
      </c>
      <c r="J25" s="39">
        <f>IF(H25&gt;C25,0,C25-H25)</f>
        <v>9966</v>
      </c>
      <c r="K25" s="40" t="s">
        <v>33</v>
      </c>
      <c r="L25" s="41">
        <f>J25/[21]NUMERIK!K$38*100%</f>
        <v>1</v>
      </c>
      <c r="M25" s="42">
        <f t="shared" si="1"/>
        <v>5</v>
      </c>
      <c r="N25" s="33"/>
    </row>
    <row r="26" spans="1:15" s="34" customFormat="1" ht="20.100000000000001" customHeight="1" thickBot="1" x14ac:dyDescent="0.3">
      <c r="A26" s="192"/>
      <c r="B26" s="78" t="s">
        <v>45</v>
      </c>
      <c r="C26" s="22">
        <f>[21]NUMERIK!K48</f>
        <v>2792</v>
      </c>
      <c r="D26" s="73" t="s">
        <v>33</v>
      </c>
      <c r="E26" s="79">
        <f>C26/[21]NUMERIK!K$38*100%</f>
        <v>0.28015251856311457</v>
      </c>
      <c r="F26" s="25">
        <f t="shared" si="0"/>
        <v>1</v>
      </c>
      <c r="G26" s="36" t="str">
        <f>[21]Outcome!Q351</f>
        <v xml:space="preserve">, , , , , , , , , , , , , , , , , , , , , , , , , , , , , , , , , , , , , , , , , , , , </v>
      </c>
      <c r="H26" s="37">
        <f>[21]Outcome!M351</f>
        <v>0</v>
      </c>
      <c r="I26" s="38" t="s">
        <v>33</v>
      </c>
      <c r="J26" s="39">
        <f>IF(H26&gt;C26,0,C26-H26)</f>
        <v>2792</v>
      </c>
      <c r="K26" s="40" t="s">
        <v>33</v>
      </c>
      <c r="L26" s="41">
        <f>J26/[21]NUMERIK!K$38*100%</f>
        <v>0.28015251856311457</v>
      </c>
      <c r="M26" s="42">
        <f t="shared" si="1"/>
        <v>1</v>
      </c>
      <c r="N26" s="33"/>
    </row>
    <row r="27" spans="1:15" s="88" customFormat="1" ht="30" customHeight="1" thickBot="1" x14ac:dyDescent="0.3">
      <c r="A27" s="80" t="s">
        <v>46</v>
      </c>
      <c r="B27" s="81"/>
      <c r="C27" s="55"/>
      <c r="D27" s="55"/>
      <c r="E27" s="82">
        <f>IF(SUM(F22:F26)&gt;0,(SUMIF(F22:F26,"&gt;0",E22:E26)/5),0)</f>
        <v>0.25603050371262293</v>
      </c>
      <c r="F27" s="83"/>
      <c r="G27" s="58"/>
      <c r="H27" s="59"/>
      <c r="I27" s="59"/>
      <c r="J27" s="84"/>
      <c r="K27" s="85"/>
      <c r="L27" s="82">
        <f>IF(SUM(M22:M26)&gt;0,(SUMIF(M22:M26,"&gt;0",L22:L26)/5),0)</f>
        <v>0.25603050371262293</v>
      </c>
      <c r="M27" s="86"/>
      <c r="N27" s="87"/>
    </row>
    <row r="28" spans="1:15" s="34" customFormat="1" ht="27.75" customHeight="1" x14ac:dyDescent="0.25">
      <c r="A28" s="213" t="s">
        <v>47</v>
      </c>
      <c r="B28" s="21" t="s">
        <v>48</v>
      </c>
      <c r="C28" s="22">
        <f>[21]NUMERIK!K51</f>
        <v>10</v>
      </c>
      <c r="D28" s="73" t="s">
        <v>12</v>
      </c>
      <c r="E28" s="89">
        <f>C28/E$7*100%</f>
        <v>1.7513134851138354E-2</v>
      </c>
      <c r="F28" s="25">
        <f t="shared" si="0"/>
        <v>0</v>
      </c>
      <c r="G28" s="36" t="str">
        <f>[21]Outcome!Q396</f>
        <v xml:space="preserve">, , , , , , , , , , , , , , , , , , , , , , , , , , , , , , , , , , , , , , , , , , , , </v>
      </c>
      <c r="H28" s="37">
        <f>[21]Outcome!Q397</f>
        <v>0</v>
      </c>
      <c r="I28" s="38" t="s">
        <v>12</v>
      </c>
      <c r="J28" s="39">
        <f>IF(H28&gt;C28,0,C28-H28)</f>
        <v>10</v>
      </c>
      <c r="K28" s="40" t="s">
        <v>12</v>
      </c>
      <c r="L28" s="41">
        <f>J28/E$7*100%</f>
        <v>1.7513134851138354E-2</v>
      </c>
      <c r="M28" s="42">
        <f t="shared" si="1"/>
        <v>0</v>
      </c>
      <c r="N28" s="33"/>
    </row>
    <row r="29" spans="1:15" s="34" customFormat="1" ht="30" customHeight="1" thickBot="1" x14ac:dyDescent="0.3">
      <c r="A29" s="213"/>
      <c r="B29" s="21" t="s">
        <v>49</v>
      </c>
      <c r="C29" s="22">
        <f>[21]NUMERIK!K53</f>
        <v>14</v>
      </c>
      <c r="D29" s="73" t="s">
        <v>12</v>
      </c>
      <c r="E29" s="89">
        <f>C29/E$7*100%</f>
        <v>2.4518388791593695E-2</v>
      </c>
      <c r="F29" s="25">
        <f t="shared" si="0"/>
        <v>0</v>
      </c>
      <c r="G29" s="45" t="str">
        <f>[21]Outcome!Q441</f>
        <v xml:space="preserve">, , , , , , , , , , , , , , , , , , , , , , , , , , , , , , , , , , , , , , , , , , , , , , , , , , , , , , </v>
      </c>
      <c r="H29" s="37">
        <f>[21]Outcome!Q442</f>
        <v>0</v>
      </c>
      <c r="I29" s="38" t="s">
        <v>12</v>
      </c>
      <c r="J29" s="39">
        <f>IF(H29&gt;C29,0,C29-H29)</f>
        <v>14</v>
      </c>
      <c r="K29" s="40" t="s">
        <v>12</v>
      </c>
      <c r="L29" s="41">
        <f>J29/E$7*100%</f>
        <v>2.4518388791593695E-2</v>
      </c>
      <c r="M29" s="42">
        <f t="shared" si="1"/>
        <v>0</v>
      </c>
      <c r="N29" s="33"/>
    </row>
    <row r="30" spans="1:15" s="88" customFormat="1" ht="30" customHeight="1" thickBot="1" x14ac:dyDescent="0.3">
      <c r="A30" s="90" t="s">
        <v>50</v>
      </c>
      <c r="B30" s="81"/>
      <c r="C30" s="55"/>
      <c r="D30" s="55"/>
      <c r="E30" s="82">
        <f>IF(SUM(F28:F29)&gt;0,(SUMIF(F28:F29,"&gt;0",E28:E29)/2),0)</f>
        <v>0</v>
      </c>
      <c r="F30" s="83"/>
      <c r="G30" s="91"/>
      <c r="H30" s="92"/>
      <c r="I30" s="92"/>
      <c r="J30" s="84"/>
      <c r="K30" s="85"/>
      <c r="L30" s="82">
        <f>IF(SUM(M28:M29)&gt;0,(SUMIF(M28:M29,"&gt;0",L28:L29)/2),0)</f>
        <v>0</v>
      </c>
      <c r="M30" s="86"/>
      <c r="N30" s="87"/>
    </row>
    <row r="31" spans="1:15" s="34" customFormat="1" ht="31.5" customHeight="1" x14ac:dyDescent="0.25">
      <c r="A31" s="192" t="s">
        <v>51</v>
      </c>
      <c r="B31" s="21" t="s">
        <v>52</v>
      </c>
      <c r="C31" s="93">
        <f>[21]NUMERIK!K56</f>
        <v>571</v>
      </c>
      <c r="D31" s="94" t="s">
        <v>12</v>
      </c>
      <c r="E31" s="89">
        <f>C31/E$7*100%</f>
        <v>1</v>
      </c>
      <c r="F31" s="25">
        <f t="shared" si="0"/>
        <v>5</v>
      </c>
      <c r="G31" s="36" t="str">
        <f>[21]Outcome!Q496</f>
        <v xml:space="preserve">, , , , , , , , , , , , , , , , , , , , , , , , , , , , , , , , , , , , , , , , , , , , </v>
      </c>
      <c r="H31" s="37">
        <f>[21]Outcome!Q497</f>
        <v>0</v>
      </c>
      <c r="I31" s="38" t="s">
        <v>12</v>
      </c>
      <c r="J31" s="39">
        <f>IF(H31&gt;C31,0,C31-H31)</f>
        <v>571</v>
      </c>
      <c r="K31" s="40" t="s">
        <v>12</v>
      </c>
      <c r="L31" s="41">
        <f>J31/E$7*100%</f>
        <v>1</v>
      </c>
      <c r="M31" s="42">
        <f t="shared" si="1"/>
        <v>5</v>
      </c>
      <c r="N31" s="33"/>
    </row>
    <row r="32" spans="1:15" s="34" customFormat="1" ht="32.25" customHeight="1" x14ac:dyDescent="0.25">
      <c r="A32" s="192"/>
      <c r="B32" s="21" t="s">
        <v>53</v>
      </c>
      <c r="C32" s="93">
        <f>[21]NUMERIK!K59</f>
        <v>45</v>
      </c>
      <c r="D32" s="94" t="s">
        <v>12</v>
      </c>
      <c r="E32" s="89">
        <f>C32/E$7*100%</f>
        <v>7.8809106830122586E-2</v>
      </c>
      <c r="F32" s="25">
        <f t="shared" si="0"/>
        <v>0</v>
      </c>
      <c r="G32" s="36" t="str">
        <f>[21]Outcome!Q541</f>
        <v xml:space="preserve">, , , , , , , , , , , , , , , , , , , , , , , , , , , , , , , , , , , , , , , , , , , , </v>
      </c>
      <c r="H32" s="37">
        <f>[21]Outcome!Q542</f>
        <v>0</v>
      </c>
      <c r="I32" s="38" t="s">
        <v>12</v>
      </c>
      <c r="J32" s="39">
        <f>IF(H32&gt;C32,0,C32-H32)</f>
        <v>45</v>
      </c>
      <c r="K32" s="40" t="s">
        <v>12</v>
      </c>
      <c r="L32" s="41">
        <f>J32/E$7*100%</f>
        <v>7.8809106830122586E-2</v>
      </c>
      <c r="M32" s="42">
        <f t="shared" si="1"/>
        <v>0</v>
      </c>
      <c r="N32" s="33"/>
    </row>
    <row r="33" spans="1:14" s="34" customFormat="1" ht="30.75" customHeight="1" thickBot="1" x14ac:dyDescent="0.3">
      <c r="A33" s="192"/>
      <c r="B33" s="21" t="s">
        <v>54</v>
      </c>
      <c r="C33" s="93">
        <f>[21]NUMERIK!K61</f>
        <v>571</v>
      </c>
      <c r="D33" s="94" t="s">
        <v>12</v>
      </c>
      <c r="E33" s="89">
        <f>C33/E$7*100%</f>
        <v>1</v>
      </c>
      <c r="F33" s="25">
        <f t="shared" si="0"/>
        <v>5</v>
      </c>
      <c r="G33" s="36" t="str">
        <f>[21]Outcome!Q586</f>
        <v xml:space="preserve">, , , , , , , , , , , , , , , , , , , , , , , , , , , , , , , , , , , , , , , , , , , , </v>
      </c>
      <c r="H33" s="37">
        <f>[21]Outcome!Q587</f>
        <v>0</v>
      </c>
      <c r="I33" s="38" t="s">
        <v>12</v>
      </c>
      <c r="J33" s="39">
        <f>IF(H33&gt;C33,0,C33-H33)</f>
        <v>571</v>
      </c>
      <c r="K33" s="40" t="s">
        <v>12</v>
      </c>
      <c r="L33" s="41">
        <f>J33/E$7*100%</f>
        <v>1</v>
      </c>
      <c r="M33" s="42">
        <f t="shared" si="1"/>
        <v>5</v>
      </c>
      <c r="N33" s="33"/>
    </row>
    <row r="34" spans="1:14" s="88" customFormat="1" ht="30" customHeight="1" thickBot="1" x14ac:dyDescent="0.3">
      <c r="A34" s="80" t="s">
        <v>55</v>
      </c>
      <c r="B34" s="81"/>
      <c r="C34" s="55"/>
      <c r="D34" s="55"/>
      <c r="E34" s="82">
        <f>IF(SUM(F31:F33)&gt;0,(SUMIF(F31:F33,"&gt;0",E31:E33)/3),0)</f>
        <v>0.66666666666666663</v>
      </c>
      <c r="F34" s="83"/>
      <c r="G34" s="91"/>
      <c r="H34" s="92"/>
      <c r="I34" s="92"/>
      <c r="J34" s="84"/>
      <c r="K34" s="85"/>
      <c r="L34" s="82">
        <f>IF(SUM(M31:M33)&gt;0,(SUMIF(M31:M33,"&gt;0",L31:L33)/3),0)</f>
        <v>0.66666666666666663</v>
      </c>
      <c r="M34" s="86"/>
      <c r="N34" s="87"/>
    </row>
    <row r="35" spans="1:14" s="34" customFormat="1" ht="24.95" customHeight="1" x14ac:dyDescent="0.25">
      <c r="A35" s="213" t="s">
        <v>56</v>
      </c>
      <c r="B35" s="95" t="s">
        <v>57</v>
      </c>
      <c r="C35" s="93">
        <f>[21]NUMERIK!K64</f>
        <v>0</v>
      </c>
      <c r="D35" s="94" t="s">
        <v>8</v>
      </c>
      <c r="E35" s="79">
        <f>C35/E$5*100%</f>
        <v>0</v>
      </c>
      <c r="F35" s="25">
        <f t="shared" si="0"/>
        <v>0</v>
      </c>
      <c r="G35" s="36" t="str">
        <f>[21]Outcome!Q631</f>
        <v xml:space="preserve">, , , , , , , , , , , , , , , , , , , </v>
      </c>
      <c r="H35" s="27">
        <f>[21]Outcome!Q632</f>
        <v>0</v>
      </c>
      <c r="I35" s="38" t="s">
        <v>8</v>
      </c>
      <c r="J35" s="39">
        <f>IF(H35&gt;C35,0,C35-H35)</f>
        <v>0</v>
      </c>
      <c r="K35" s="40" t="s">
        <v>8</v>
      </c>
      <c r="L35" s="41">
        <f>J35/E$5*100%</f>
        <v>0</v>
      </c>
      <c r="M35" s="42">
        <f t="shared" si="1"/>
        <v>0</v>
      </c>
      <c r="N35" s="33"/>
    </row>
    <row r="36" spans="1:14" s="34" customFormat="1" ht="24.95" customHeight="1" thickBot="1" x14ac:dyDescent="0.3">
      <c r="A36" s="213"/>
      <c r="B36" s="95" t="s">
        <v>58</v>
      </c>
      <c r="C36" s="96">
        <f>[21]NUMERIK!K66</f>
        <v>477</v>
      </c>
      <c r="D36" s="94" t="s">
        <v>8</v>
      </c>
      <c r="E36" s="79">
        <f>C36/E$5*100%</f>
        <v>1</v>
      </c>
      <c r="F36" s="25">
        <f t="shared" si="0"/>
        <v>5</v>
      </c>
      <c r="G36" s="36" t="str">
        <f>[21]Outcome!Q651</f>
        <v xml:space="preserve">, , , , , , , , , , , , , , , , , , , </v>
      </c>
      <c r="H36" s="37">
        <f>[21]Outcome!Q652</f>
        <v>0</v>
      </c>
      <c r="I36" s="97" t="s">
        <v>8</v>
      </c>
      <c r="J36" s="98">
        <f>IF(H36&gt;C36,0,C36-H36)</f>
        <v>477</v>
      </c>
      <c r="K36" s="99" t="s">
        <v>8</v>
      </c>
      <c r="L36" s="100">
        <f>J36/E$5*100%</f>
        <v>1</v>
      </c>
      <c r="M36" s="51">
        <f t="shared" si="1"/>
        <v>5</v>
      </c>
      <c r="N36" s="33"/>
    </row>
    <row r="37" spans="1:14" s="77" customFormat="1" ht="30" customHeight="1" thickBot="1" x14ac:dyDescent="0.3">
      <c r="A37" s="80" t="s">
        <v>59</v>
      </c>
      <c r="B37" s="101"/>
      <c r="C37" s="102"/>
      <c r="D37" s="102"/>
      <c r="E37" s="82">
        <f>IF(SUM(F35:F36)&gt;0,(SUMIF(F35:F36,"&gt;0",E35:E36)/2),0)</f>
        <v>0.5</v>
      </c>
      <c r="F37" s="103"/>
      <c r="G37" s="104"/>
      <c r="H37" s="105"/>
      <c r="I37" s="105"/>
      <c r="J37" s="106"/>
      <c r="K37" s="107"/>
      <c r="L37" s="82">
        <f>IF(SUM(M35:M36)&gt;0,(SUMIF(M35:M36,"&gt;0",L35:L36)/2),0)</f>
        <v>0.5</v>
      </c>
      <c r="M37" s="108"/>
      <c r="N37" s="109"/>
    </row>
    <row r="38" spans="1:14" ht="15" customHeight="1" x14ac:dyDescent="0.25">
      <c r="A38" s="110"/>
      <c r="B38" s="111" t="s">
        <v>60</v>
      </c>
      <c r="D38" s="218" t="s">
        <v>61</v>
      </c>
      <c r="E38" s="219"/>
      <c r="F38" s="222">
        <f>SUM(F12:F36)</f>
        <v>22</v>
      </c>
      <c r="G38" s="112"/>
      <c r="H38" s="112"/>
      <c r="I38" s="112"/>
      <c r="J38" s="112"/>
      <c r="K38" s="238" t="s">
        <v>61</v>
      </c>
      <c r="L38" s="239"/>
      <c r="M38" s="224">
        <f>SUM(M12:M36)</f>
        <v>22</v>
      </c>
    </row>
    <row r="39" spans="1:14" ht="15" customHeight="1" x14ac:dyDescent="0.25">
      <c r="A39" s="110"/>
      <c r="B39" s="113" t="s">
        <v>62</v>
      </c>
      <c r="D39" s="220"/>
      <c r="E39" s="221"/>
      <c r="F39" s="223"/>
      <c r="G39" s="114"/>
      <c r="H39" s="114"/>
      <c r="I39" s="114"/>
      <c r="J39" s="114"/>
      <c r="K39" s="240"/>
      <c r="L39" s="241"/>
      <c r="M39" s="225"/>
    </row>
    <row r="40" spans="1:14" ht="15" customHeight="1" x14ac:dyDescent="0.25">
      <c r="A40" s="110"/>
      <c r="B40" s="115" t="s">
        <v>63</v>
      </c>
      <c r="D40" s="226" t="s">
        <v>64</v>
      </c>
      <c r="E40" s="227"/>
      <c r="F40" s="230" t="str">
        <f>IF(F38="N/A","TIDAK KUMUH",IF(F38&gt;=71,"KUMUH BERAT",IF(AND(F38&lt;=70,F38&gt;=45),"KUMUH SEDANG",IF(AND(F38&lt;=44,F38&gt;=19),"KUMUH RINGAN","TIDAK KUMUH"))))</f>
        <v>KUMUH RINGAN</v>
      </c>
      <c r="G40" s="116"/>
      <c r="H40" s="116"/>
      <c r="I40" s="116"/>
      <c r="J40" s="116"/>
      <c r="K40" s="232" t="s">
        <v>64</v>
      </c>
      <c r="L40" s="233"/>
      <c r="M40" s="236" t="str">
        <f>IF(M38="N/A","TIDAK KUMUH",IF(M38&gt;=71,"KUMUH BERAT",IF(AND(M38&lt;=70,M38&gt;=45),"KUMUH SEDANG",IF(AND(M38&lt;=44,M38&gt;=19),"KUMUH RINGAN","TIDAK KUMUH"))))</f>
        <v>KUMUH RINGAN</v>
      </c>
    </row>
    <row r="41" spans="1:14" ht="15" customHeight="1" thickBot="1" x14ac:dyDescent="0.3">
      <c r="A41" s="110"/>
      <c r="B41" s="117" t="s">
        <v>65</v>
      </c>
      <c r="D41" s="228"/>
      <c r="E41" s="229"/>
      <c r="F41" s="231" t="str">
        <f>IF(E41&gt;71,"KB",IF(E41&gt;=47,"KS","KR"))</f>
        <v>KR</v>
      </c>
      <c r="G41" s="116"/>
      <c r="H41" s="116"/>
      <c r="I41" s="116"/>
      <c r="J41" s="116"/>
      <c r="K41" s="234"/>
      <c r="L41" s="235"/>
      <c r="M41" s="237" t="str">
        <f>IF(L41&gt;71,"KB",IF(L41&gt;=47,"KS","KR"))</f>
        <v>KR</v>
      </c>
    </row>
    <row r="42" spans="1:14" ht="21" customHeight="1" x14ac:dyDescent="0.25">
      <c r="B42" s="118" t="s">
        <v>66</v>
      </c>
      <c r="C42" s="119"/>
      <c r="D42" s="120"/>
      <c r="E42" s="121" t="s">
        <v>67</v>
      </c>
      <c r="F42" s="122">
        <f>AVERAGE(E15,E18,E21,E27,E30,E34,E37)</f>
        <v>0.21951478993838108</v>
      </c>
      <c r="J42" s="123"/>
      <c r="K42" s="124"/>
      <c r="L42" s="125" t="s">
        <v>67</v>
      </c>
      <c r="M42" s="126">
        <f>AVERAGE(L15,L18,L21,L27,L30,L34,L37)</f>
        <v>0.21951478993838108</v>
      </c>
    </row>
    <row r="43" spans="1:14" ht="21" customHeight="1" x14ac:dyDescent="0.25">
      <c r="B43" s="127"/>
      <c r="C43" s="119"/>
      <c r="D43" s="120"/>
      <c r="E43" s="121" t="s">
        <v>68</v>
      </c>
      <c r="F43" s="122">
        <v>0</v>
      </c>
      <c r="J43" s="123"/>
      <c r="K43" s="124"/>
      <c r="L43" s="125" t="s">
        <v>68</v>
      </c>
      <c r="M43" s="126">
        <f>(F42-M42)/F42</f>
        <v>0</v>
      </c>
      <c r="N43"/>
    </row>
    <row r="44" spans="1:14" x14ac:dyDescent="0.25">
      <c r="M44" s="128"/>
    </row>
    <row r="55" spans="12:12" x14ac:dyDescent="0.25">
      <c r="L55" s="129"/>
    </row>
  </sheetData>
  <mergeCells count="23">
    <mergeCell ref="M38:M39"/>
    <mergeCell ref="D40:E41"/>
    <mergeCell ref="F40:F41"/>
    <mergeCell ref="K40:L41"/>
    <mergeCell ref="M40:M41"/>
    <mergeCell ref="K38:L39"/>
    <mergeCell ref="A28:A29"/>
    <mergeCell ref="A31:A33"/>
    <mergeCell ref="A35:A36"/>
    <mergeCell ref="D38:E39"/>
    <mergeCell ref="F38:F39"/>
    <mergeCell ref="J9:M10"/>
    <mergeCell ref="G10:I10"/>
    <mergeCell ref="A12:A14"/>
    <mergeCell ref="A16:A17"/>
    <mergeCell ref="A19:A20"/>
    <mergeCell ref="G9:I9"/>
    <mergeCell ref="A22:A26"/>
    <mergeCell ref="A1:F1"/>
    <mergeCell ref="A2:B2"/>
    <mergeCell ref="A9:A11"/>
    <mergeCell ref="B9:B11"/>
    <mergeCell ref="C9:F10"/>
  </mergeCells>
  <conditionalFormatting sqref="F40:J41">
    <cfRule type="expression" dxfId="143" priority="6">
      <formula>F40="KUMUH SEDANG"</formula>
    </cfRule>
    <cfRule type="expression" dxfId="142" priority="7">
      <formula>F40="TIDAK KUMUH"</formula>
    </cfRule>
    <cfRule type="expression" dxfId="141" priority="8">
      <formula>F40="KUMUH BERAT"</formula>
    </cfRule>
    <cfRule type="expression" dxfId="140" priority="9">
      <formula>F40="KUMUH RINGAN"</formula>
    </cfRule>
  </conditionalFormatting>
  <conditionalFormatting sqref="G12:G14 G16:G17 G19:G20 G22:G26 G28:G29 G31:G33 G35:G36">
    <cfRule type="cellIs" dxfId="139" priority="1" operator="equal">
      <formula>", , , , , , "</formula>
    </cfRule>
  </conditionalFormatting>
  <conditionalFormatting sqref="M40:M41">
    <cfRule type="expression" dxfId="138" priority="2">
      <formula>M40="KUMUH SEDANG"</formula>
    </cfRule>
    <cfRule type="expression" dxfId="137" priority="3">
      <formula>M40="TIDAK KUMUH"</formula>
    </cfRule>
    <cfRule type="expression" dxfId="136" priority="4">
      <formula>M40="KUMUH BERAT"</formula>
    </cfRule>
    <cfRule type="expression" dxfId="135" priority="5">
      <formula>M40="KUMUH RINGAN"</formula>
    </cfRule>
  </conditionalFormatting>
  <pageMargins left="0.7" right="0.2" top="0.75" bottom="0.75" header="0.3" footer="0.3"/>
  <pageSetup paperSize="9" scale="70" orientation="portrait" horizontalDpi="4294967293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AD330-57AA-4B5F-9CA1-7A18165F3C5D}">
  <sheetPr>
    <tabColor rgb="FF0070C0"/>
  </sheetPr>
  <dimension ref="A1:O55"/>
  <sheetViews>
    <sheetView showGridLines="0" zoomScale="60" zoomScaleNormal="60" zoomScaleSheetLayoutView="75" zoomScalePageLayoutView="90" workbookViewId="0">
      <pane xSplit="1" ySplit="11" topLeftCell="B28" activePane="bottomRight" state="frozen"/>
      <selection pane="topRight" activeCell="B1" sqref="B1"/>
      <selection pane="bottomLeft" activeCell="A12" sqref="A12"/>
      <selection pane="bottomRight" activeCell="F12" sqref="F12:F37"/>
    </sheetView>
  </sheetViews>
  <sheetFormatPr defaultColWidth="8.85546875" defaultRowHeight="15" x14ac:dyDescent="0.25"/>
  <cols>
    <col min="1" max="1" width="24" customWidth="1"/>
    <col min="2" max="2" width="45.85546875" customWidth="1"/>
    <col min="3" max="3" width="12.42578125" customWidth="1"/>
    <col min="4" max="4" width="9.140625" customWidth="1"/>
    <col min="5" max="5" width="12.140625" customWidth="1"/>
    <col min="6" max="6" width="9.140625" customWidth="1"/>
    <col min="7" max="7" width="36.42578125" customWidth="1"/>
    <col min="8" max="9" width="9.140625" customWidth="1"/>
    <col min="10" max="10" width="10" bestFit="1" customWidth="1"/>
    <col min="11" max="12" width="9.140625" customWidth="1"/>
    <col min="13" max="13" width="11.28515625" customWidth="1"/>
    <col min="14" max="14" width="2.28515625" style="3" customWidth="1"/>
  </cols>
  <sheetData>
    <row r="1" spans="1:14" ht="18.75" customHeight="1" x14ac:dyDescent="0.3">
      <c r="A1" s="193" t="s">
        <v>0</v>
      </c>
      <c r="B1" s="193"/>
      <c r="C1" s="193"/>
      <c r="D1" s="193"/>
      <c r="E1" s="193"/>
      <c r="F1" s="193"/>
      <c r="G1" s="1"/>
      <c r="H1" s="1"/>
      <c r="I1" s="1"/>
      <c r="J1" s="1"/>
      <c r="K1" s="1"/>
      <c r="L1" s="1"/>
      <c r="M1" s="2"/>
    </row>
    <row r="2" spans="1:14" ht="3.75" customHeight="1" x14ac:dyDescent="0.25">
      <c r="A2" s="194"/>
      <c r="B2" s="194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4" ht="15.75" customHeight="1" x14ac:dyDescent="0.25">
      <c r="A3" s="6" t="s">
        <v>1</v>
      </c>
      <c r="B3" s="6" t="str">
        <f>": "&amp;[22]NUMERIK!E14</f>
        <v>: JAWA TIMUR</v>
      </c>
      <c r="C3" s="7" t="s">
        <v>2</v>
      </c>
      <c r="D3" s="8"/>
      <c r="E3" s="9">
        <f>[22]NUMERIK!K6</f>
        <v>15.610000000000001</v>
      </c>
      <c r="F3" t="s">
        <v>3</v>
      </c>
    </row>
    <row r="4" spans="1:14" ht="15.75" customHeight="1" x14ac:dyDescent="0.25">
      <c r="A4" s="6" t="s">
        <v>4</v>
      </c>
      <c r="B4" s="6" t="str">
        <f>": "&amp;[22]NUMERIK!E12</f>
        <v>: KAB. MAGETAN</v>
      </c>
      <c r="C4" s="7" t="s">
        <v>5</v>
      </c>
      <c r="D4" s="8"/>
      <c r="E4" s="9">
        <f>[22]NUMERIK!K8</f>
        <v>15.610000000000001</v>
      </c>
      <c r="F4" t="s">
        <v>3</v>
      </c>
    </row>
    <row r="5" spans="1:14" ht="15.75" customHeight="1" x14ac:dyDescent="0.25">
      <c r="A5" s="10" t="s">
        <v>6</v>
      </c>
      <c r="B5" s="10" t="str">
        <f>": "&amp;[22]NUMERIK!E10</f>
        <v>: MAGETAN</v>
      </c>
      <c r="C5" s="7" t="s">
        <v>7</v>
      </c>
      <c r="D5" s="8"/>
      <c r="E5" s="11">
        <f>[22]NUMERIK!K10</f>
        <v>571</v>
      </c>
      <c r="F5" t="s">
        <v>8</v>
      </c>
    </row>
    <row r="6" spans="1:14" ht="15.75" customHeight="1" x14ac:dyDescent="0.25">
      <c r="A6" s="10" t="s">
        <v>9</v>
      </c>
      <c r="B6" s="10" t="str">
        <f>": "&amp;[22]NUMERIK!E6</f>
        <v>: CANDIREJO</v>
      </c>
      <c r="C6" s="7" t="s">
        <v>10</v>
      </c>
      <c r="D6" s="8"/>
      <c r="E6" s="12">
        <f>[22]NUMERIK!K12</f>
        <v>2167</v>
      </c>
      <c r="F6" t="s">
        <v>11</v>
      </c>
    </row>
    <row r="7" spans="1:14" ht="15.75" customHeight="1" x14ac:dyDescent="0.25">
      <c r="A7" s="4"/>
      <c r="B7" s="13"/>
      <c r="C7" s="7" t="s">
        <v>7</v>
      </c>
      <c r="D7" s="5"/>
      <c r="E7" s="12">
        <f>[22]NUMERIK!K14</f>
        <v>679</v>
      </c>
      <c r="F7" t="s">
        <v>12</v>
      </c>
    </row>
    <row r="8" spans="1:14" ht="5.25" customHeight="1" thickBot="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4" ht="12" customHeight="1" x14ac:dyDescent="0.25">
      <c r="A9" s="195" t="s">
        <v>13</v>
      </c>
      <c r="B9" s="197" t="s">
        <v>14</v>
      </c>
      <c r="C9" s="199" t="s">
        <v>15</v>
      </c>
      <c r="D9" s="200"/>
      <c r="E9" s="200"/>
      <c r="F9" s="201"/>
      <c r="G9" s="216" t="s">
        <v>16</v>
      </c>
      <c r="H9" s="217"/>
      <c r="I9" s="217"/>
      <c r="J9" s="205" t="s">
        <v>17</v>
      </c>
      <c r="K9" s="206"/>
      <c r="L9" s="206"/>
      <c r="M9" s="207"/>
    </row>
    <row r="10" spans="1:14" ht="9.75" customHeight="1" x14ac:dyDescent="0.25">
      <c r="A10" s="196"/>
      <c r="B10" s="198"/>
      <c r="C10" s="202"/>
      <c r="D10" s="203"/>
      <c r="E10" s="203"/>
      <c r="F10" s="204"/>
      <c r="G10" s="211" t="s">
        <v>18</v>
      </c>
      <c r="H10" s="212"/>
      <c r="I10" s="212"/>
      <c r="J10" s="208"/>
      <c r="K10" s="209"/>
      <c r="L10" s="209"/>
      <c r="M10" s="210"/>
    </row>
    <row r="11" spans="1:14" ht="15.75" thickBot="1" x14ac:dyDescent="0.3">
      <c r="A11" s="196"/>
      <c r="B11" s="198"/>
      <c r="C11" s="14" t="s">
        <v>19</v>
      </c>
      <c r="D11" s="14" t="s">
        <v>20</v>
      </c>
      <c r="E11" s="14" t="s">
        <v>21</v>
      </c>
      <c r="F11" s="15" t="s">
        <v>22</v>
      </c>
      <c r="G11" s="16" t="s">
        <v>23</v>
      </c>
      <c r="H11" s="17" t="s">
        <v>24</v>
      </c>
      <c r="I11" s="17" t="s">
        <v>20</v>
      </c>
      <c r="J11" s="18" t="s">
        <v>19</v>
      </c>
      <c r="K11" s="19" t="s">
        <v>20</v>
      </c>
      <c r="L11" s="19" t="s">
        <v>25</v>
      </c>
      <c r="M11" s="20" t="s">
        <v>22</v>
      </c>
    </row>
    <row r="12" spans="1:14" s="34" customFormat="1" ht="24.95" customHeight="1" x14ac:dyDescent="0.25">
      <c r="A12" s="213" t="s">
        <v>26</v>
      </c>
      <c r="B12" s="21" t="s">
        <v>27</v>
      </c>
      <c r="C12" s="22">
        <f>[22]NUMERIK!K18</f>
        <v>401</v>
      </c>
      <c r="D12" s="23" t="s">
        <v>8</v>
      </c>
      <c r="E12" s="24">
        <f>C12/E5*100%</f>
        <v>0.70227670753064797</v>
      </c>
      <c r="F12" s="25">
        <f t="shared" ref="F12:F36" si="0">IF(AND(E12&gt;=24.995%,E12&lt;50.995%),1,IF(AND(E12&gt;=50.995%,E12&lt;75.995%),3,IF(E12&gt;=75.995%,5,0)))</f>
        <v>3</v>
      </c>
      <c r="G12" s="26" t="str">
        <f>[22]Outcome!Q6</f>
        <v xml:space="preserve">, , , , , , , , , , , , , , , , , , , , , , , , , , , , , , , , , , , , , , , , , , , , </v>
      </c>
      <c r="H12" s="27">
        <f>[22]Outcome!M6</f>
        <v>0</v>
      </c>
      <c r="I12" s="28" t="s">
        <v>8</v>
      </c>
      <c r="J12" s="29">
        <f>IF(H12&gt;C12,0,C12-H12)</f>
        <v>401</v>
      </c>
      <c r="K12" s="30" t="s">
        <v>8</v>
      </c>
      <c r="L12" s="31">
        <f>J12/E$5*100%</f>
        <v>0.70227670753064797</v>
      </c>
      <c r="M12" s="32">
        <f t="shared" ref="M12:M36" si="1">IF(AND(L12&gt;=24.995%,L12&lt;50.995%),1,IF(AND(L12&gt;=50.995%,L12&lt;75.995%),3,IF(L12&gt;=75.995%,5,0)))</f>
        <v>3</v>
      </c>
      <c r="N12" s="33"/>
    </row>
    <row r="13" spans="1:14" s="34" customFormat="1" ht="24.95" customHeight="1" x14ac:dyDescent="0.25">
      <c r="A13" s="213"/>
      <c r="B13" s="21" t="s">
        <v>28</v>
      </c>
      <c r="C13" s="35">
        <f>[22]NUMERIK!K20</f>
        <v>0</v>
      </c>
      <c r="D13" s="23" t="s">
        <v>3</v>
      </c>
      <c r="E13" s="24">
        <f>C13/E4*100%</f>
        <v>0</v>
      </c>
      <c r="F13" s="25">
        <f t="shared" si="0"/>
        <v>0</v>
      </c>
      <c r="G13" s="36" t="str">
        <f>[22]Outcome!Q51</f>
        <v xml:space="preserve">, , , , , , , , , , , , , , , , , , , </v>
      </c>
      <c r="H13" s="37">
        <f>[22]Outcome!M51</f>
        <v>0</v>
      </c>
      <c r="I13" s="38" t="s">
        <v>3</v>
      </c>
      <c r="J13" s="39">
        <f>IF(H13&gt;C13,0,C13-H13)</f>
        <v>0</v>
      </c>
      <c r="K13" s="40" t="s">
        <v>3</v>
      </c>
      <c r="L13" s="41">
        <f>J13/E$4*100%</f>
        <v>0</v>
      </c>
      <c r="M13" s="42">
        <f t="shared" si="1"/>
        <v>0</v>
      </c>
      <c r="N13" s="33"/>
    </row>
    <row r="14" spans="1:14" s="34" customFormat="1" ht="24.95" customHeight="1" thickBot="1" x14ac:dyDescent="0.3">
      <c r="A14" s="214"/>
      <c r="B14" s="43" t="s">
        <v>29</v>
      </c>
      <c r="C14" s="35">
        <f>[22]NUMERIK!K22</f>
        <v>79</v>
      </c>
      <c r="D14" s="23" t="s">
        <v>8</v>
      </c>
      <c r="E14" s="24">
        <f>C14/E5*100%</f>
        <v>0.13835376532399299</v>
      </c>
      <c r="F14" s="44">
        <f t="shared" si="0"/>
        <v>0</v>
      </c>
      <c r="G14" s="45" t="str">
        <f>[22]Outcome!Q71</f>
        <v xml:space="preserve">BangunanGedung RT004-RW004, BangunanGedung RT001-RW003, BangunanGedung RT003-RW001, BangunanGedung RT002-RW003, BangunanGedung RT003-RW003, BangunanGedung RT005-RW002, BangunanGedung RT003-RW004, , , , , , , , , , , , , , , , , , , , , , , , , , , , , , , , , , , , , , </v>
      </c>
      <c r="H14" s="46">
        <f>[22]Outcome!M71</f>
        <v>9</v>
      </c>
      <c r="I14" s="47" t="s">
        <v>8</v>
      </c>
      <c r="J14" s="48">
        <f>IF(H14&gt;C14,0,C14-H14)</f>
        <v>70</v>
      </c>
      <c r="K14" s="49" t="s">
        <v>8</v>
      </c>
      <c r="L14" s="50">
        <f>J14/E$5*100%</f>
        <v>0.12259194395796848</v>
      </c>
      <c r="M14" s="51">
        <f t="shared" si="1"/>
        <v>0</v>
      </c>
      <c r="N14" s="33"/>
    </row>
    <row r="15" spans="1:14" s="34" customFormat="1" ht="30" customHeight="1" thickBot="1" x14ac:dyDescent="0.3">
      <c r="A15" s="52" t="s">
        <v>30</v>
      </c>
      <c r="B15" s="53"/>
      <c r="C15" s="54"/>
      <c r="D15" s="55"/>
      <c r="E15" s="56">
        <f>IF(SUM(F12:F14)&gt;0,(SUMIF(F12:F14,"&gt;0",E12:E14)/3),0)</f>
        <v>0.23409223584354932</v>
      </c>
      <c r="F15" s="57"/>
      <c r="G15" s="58"/>
      <c r="H15" s="59"/>
      <c r="I15" s="59"/>
      <c r="J15" s="60"/>
      <c r="K15" s="61"/>
      <c r="L15" s="56">
        <f>IF(SUM(M12:M14)&gt;0,(SUMIF(M12:M14,"&gt;0",L12:L14)/3),0)</f>
        <v>0.23409223584354932</v>
      </c>
      <c r="M15" s="62"/>
      <c r="N15" s="33"/>
    </row>
    <row r="16" spans="1:14" s="34" customFormat="1" ht="24.95" customHeight="1" x14ac:dyDescent="0.25">
      <c r="A16" s="215" t="s">
        <v>31</v>
      </c>
      <c r="B16" s="63" t="s">
        <v>32</v>
      </c>
      <c r="C16" s="64">
        <f>[22]NUMERIK!K25-[22]NUMERIK!K26</f>
        <v>1348</v>
      </c>
      <c r="D16" s="65" t="s">
        <v>33</v>
      </c>
      <c r="E16" s="66">
        <f>C16/[22]NUMERIK!K$25*100%</f>
        <v>7.8372093023255818E-2</v>
      </c>
      <c r="F16" s="67">
        <f t="shared" si="0"/>
        <v>0</v>
      </c>
      <c r="G16" s="36" t="str">
        <f>[22]Outcome!Q116</f>
        <v xml:space="preserve">, , , , , , , , , , , , , , , , , , , </v>
      </c>
      <c r="H16" s="27">
        <f>[22]Outcome!M116</f>
        <v>0</v>
      </c>
      <c r="I16" s="68" t="s">
        <v>33</v>
      </c>
      <c r="J16" s="69">
        <f>IF(H16&gt;C16,0,C16-H16)</f>
        <v>1348</v>
      </c>
      <c r="K16" s="70" t="s">
        <v>33</v>
      </c>
      <c r="L16" s="71">
        <f>J16/[22]NUMERIK!K$25*100%</f>
        <v>7.8372093023255818E-2</v>
      </c>
      <c r="M16" s="72">
        <f t="shared" si="1"/>
        <v>0</v>
      </c>
      <c r="N16" s="33"/>
    </row>
    <row r="17" spans="1:15" s="34" customFormat="1" ht="24.95" customHeight="1" thickBot="1" x14ac:dyDescent="0.3">
      <c r="A17" s="192"/>
      <c r="B17" s="21" t="s">
        <v>34</v>
      </c>
      <c r="C17" s="22">
        <f>[22]NUMERIK!K28</f>
        <v>7370</v>
      </c>
      <c r="D17" s="73" t="s">
        <v>33</v>
      </c>
      <c r="E17" s="24">
        <f>C17/[22]NUMERIK!K$25*100%</f>
        <v>0.42848837209302326</v>
      </c>
      <c r="F17" s="25">
        <f t="shared" si="0"/>
        <v>1</v>
      </c>
      <c r="G17" s="45" t="str">
        <f>[22]Outcome!Q136</f>
        <v xml:space="preserve">Jalan Lingkungan RT005-RW001, Jalan Lingkungan RT002-RW002, Jalan Lingkungan RT002-RW003, Jalan Lingkungan RT003-RW004, , , , , , , , , , , , , , , , , , , , , , , , , , , , , , , , , , , , , , , , , </v>
      </c>
      <c r="H17" s="37">
        <f>[22]Outcome!M136</f>
        <v>925</v>
      </c>
      <c r="I17" s="38" t="s">
        <v>33</v>
      </c>
      <c r="J17" s="39">
        <f>IF(H17&gt;C17,0,C17-H17)</f>
        <v>6445</v>
      </c>
      <c r="K17" s="40" t="s">
        <v>33</v>
      </c>
      <c r="L17" s="41">
        <f>J17/[22]NUMERIK!K$25*100%</f>
        <v>0.37470930232558142</v>
      </c>
      <c r="M17" s="42">
        <f t="shared" si="1"/>
        <v>1</v>
      </c>
      <c r="N17" s="33"/>
    </row>
    <row r="18" spans="1:15" s="34" customFormat="1" ht="30" customHeight="1" thickBot="1" x14ac:dyDescent="0.3">
      <c r="A18" s="52" t="s">
        <v>35</v>
      </c>
      <c r="B18" s="53"/>
      <c r="C18" s="54"/>
      <c r="D18" s="55"/>
      <c r="E18" s="56">
        <f>IF(SUM(F16:F17)&gt;0,(SUMIF(F16:F17,"&gt;0",E16:E17)/2),0)</f>
        <v>0.21424418604651163</v>
      </c>
      <c r="F18" s="57"/>
      <c r="G18" s="58"/>
      <c r="H18" s="59"/>
      <c r="I18" s="59"/>
      <c r="J18" s="60"/>
      <c r="K18" s="61"/>
      <c r="L18" s="56">
        <f>IF(SUM(M16:M17)&gt;0,(SUMIF(M16:M17,"&gt;0",L16:L17)/2),0)</f>
        <v>0.18735465116279071</v>
      </c>
      <c r="M18" s="62"/>
      <c r="N18" s="33"/>
    </row>
    <row r="19" spans="1:15" s="34" customFormat="1" ht="24.95" customHeight="1" x14ac:dyDescent="0.25">
      <c r="A19" s="213" t="s">
        <v>36</v>
      </c>
      <c r="B19" s="21" t="s">
        <v>37</v>
      </c>
      <c r="C19" s="22">
        <f>[22]NUMERIK!K31</f>
        <v>4</v>
      </c>
      <c r="D19" s="73" t="s">
        <v>12</v>
      </c>
      <c r="E19" s="74">
        <f>C19/E$7*100%</f>
        <v>5.8910162002945507E-3</v>
      </c>
      <c r="F19" s="25">
        <f t="shared" si="0"/>
        <v>0</v>
      </c>
      <c r="G19" s="36" t="str">
        <f>[22]Outcome!Q181</f>
        <v xml:space="preserve">, , , , , , , , , , , , , , , , , , , </v>
      </c>
      <c r="H19" s="27">
        <f>[22]Outcome!Q182</f>
        <v>0</v>
      </c>
      <c r="I19" s="38" t="s">
        <v>12</v>
      </c>
      <c r="J19" s="39">
        <f>IF(H19&gt;C19,0,C19-H19)</f>
        <v>4</v>
      </c>
      <c r="K19" s="75" t="s">
        <v>12</v>
      </c>
      <c r="L19" s="76">
        <f>J19/E$7*100%</f>
        <v>5.8910162002945507E-3</v>
      </c>
      <c r="M19" s="42">
        <f t="shared" si="1"/>
        <v>0</v>
      </c>
      <c r="N19" s="33"/>
    </row>
    <row r="20" spans="1:15" s="34" customFormat="1" ht="24.95" customHeight="1" thickBot="1" x14ac:dyDescent="0.3">
      <c r="A20" s="213"/>
      <c r="B20" s="21" t="s">
        <v>38</v>
      </c>
      <c r="C20" s="22">
        <f>[22]NUMERIK!K33</f>
        <v>7</v>
      </c>
      <c r="D20" s="73" t="s">
        <v>12</v>
      </c>
      <c r="E20" s="74">
        <f>C20/E$7*100%</f>
        <v>1.0309278350515464E-2</v>
      </c>
      <c r="F20" s="25">
        <f t="shared" si="0"/>
        <v>0</v>
      </c>
      <c r="G20" s="45" t="str">
        <f>[22]Outcome!Q201</f>
        <v xml:space="preserve">, , , , , , , , , , , , , , , , , , , , , , , , , , , , , , , , , , , , , , , , , , , , </v>
      </c>
      <c r="H20" s="37">
        <f>[22]Outcome!Q202</f>
        <v>0</v>
      </c>
      <c r="I20" s="38" t="s">
        <v>12</v>
      </c>
      <c r="J20" s="39">
        <f>IF(H20&gt;C20,0,C20-H20)</f>
        <v>7</v>
      </c>
      <c r="K20" s="75" t="s">
        <v>12</v>
      </c>
      <c r="L20" s="76">
        <f>J20/E$7*100%</f>
        <v>1.0309278350515464E-2</v>
      </c>
      <c r="M20" s="42">
        <f t="shared" si="1"/>
        <v>0</v>
      </c>
      <c r="N20" s="33"/>
    </row>
    <row r="21" spans="1:15" s="77" customFormat="1" ht="30" customHeight="1" thickBot="1" x14ac:dyDescent="0.3">
      <c r="A21" s="52" t="s">
        <v>39</v>
      </c>
      <c r="B21" s="53"/>
      <c r="C21" s="54"/>
      <c r="D21" s="55"/>
      <c r="E21" s="56">
        <f>IF(SUM(F19:F20)&gt;0,(SUMIF(F19:F20,"&gt;0",E19:E20)/2),0)</f>
        <v>0</v>
      </c>
      <c r="F21" s="57"/>
      <c r="G21" s="58"/>
      <c r="H21" s="59"/>
      <c r="I21" s="59"/>
      <c r="J21" s="60"/>
      <c r="K21" s="61"/>
      <c r="L21" s="56">
        <f>IF(SUM(M19:M20)&gt;0,(SUMIF(M19:M20,"&gt;0",L19:L20)/2),0)</f>
        <v>0</v>
      </c>
      <c r="M21" s="62"/>
      <c r="N21" s="33"/>
      <c r="O21" s="34"/>
    </row>
    <row r="22" spans="1:15" s="34" customFormat="1" ht="20.100000000000001" customHeight="1" x14ac:dyDescent="0.25">
      <c r="A22" s="192" t="s">
        <v>40</v>
      </c>
      <c r="B22" s="78" t="s">
        <v>41</v>
      </c>
      <c r="C22" s="22">
        <f>[22]NUMERIK!K36</f>
        <v>0</v>
      </c>
      <c r="D22" s="73" t="s">
        <v>3</v>
      </c>
      <c r="E22" s="79">
        <f>C22/E$4*100%</f>
        <v>0</v>
      </c>
      <c r="F22" s="25">
        <f t="shared" si="0"/>
        <v>0</v>
      </c>
      <c r="G22" s="36" t="str">
        <f>[22]Outcome!Q246</f>
        <v xml:space="preserve">Drainase Lingkungan RT003-RW004, , , , , , , , , , , , , , , , , , , </v>
      </c>
      <c r="H22" s="27">
        <f>[22]Outcome!M246</f>
        <v>17</v>
      </c>
      <c r="I22" s="38" t="s">
        <v>3</v>
      </c>
      <c r="J22" s="39">
        <f>IF(H22&gt;C22,0,C22-H22)</f>
        <v>0</v>
      </c>
      <c r="K22" s="40" t="s">
        <v>3</v>
      </c>
      <c r="L22" s="41">
        <f>J22/E$4*100%</f>
        <v>0</v>
      </c>
      <c r="M22" s="42">
        <f t="shared" si="1"/>
        <v>0</v>
      </c>
      <c r="N22" s="33"/>
    </row>
    <row r="23" spans="1:15" s="34" customFormat="1" ht="25.5" customHeight="1" x14ac:dyDescent="0.25">
      <c r="A23" s="192"/>
      <c r="B23" s="21" t="s">
        <v>42</v>
      </c>
      <c r="C23" s="22">
        <f>([22]NUMERIK!K38-[22]NUMERIK!K40)</f>
        <v>1955</v>
      </c>
      <c r="D23" s="73" t="s">
        <v>33</v>
      </c>
      <c r="E23" s="79">
        <f>C23/[22]NUMERIK!K$38*100%</f>
        <v>0.26773486715968225</v>
      </c>
      <c r="F23" s="25">
        <f t="shared" si="0"/>
        <v>1</v>
      </c>
      <c r="G23" s="36" t="str">
        <f>[22]Outcome!Q266</f>
        <v xml:space="preserve">, , , , , , , , , , , , , , , , , , , , , , , , , , , , , , , , , , , , , , , , , , , , </v>
      </c>
      <c r="H23" s="37">
        <f>[22]Outcome!M266</f>
        <v>0</v>
      </c>
      <c r="I23" s="38" t="s">
        <v>33</v>
      </c>
      <c r="J23" s="39">
        <f>IF(H23&gt;C23,0,C23-H23)</f>
        <v>1955</v>
      </c>
      <c r="K23" s="40" t="s">
        <v>33</v>
      </c>
      <c r="L23" s="41">
        <f>J23/[22]NUMERIK!K$38*100%</f>
        <v>0.26773486715968225</v>
      </c>
      <c r="M23" s="42">
        <f t="shared" si="1"/>
        <v>1</v>
      </c>
      <c r="N23" s="33"/>
    </row>
    <row r="24" spans="1:15" s="34" customFormat="1" ht="20.100000000000001" customHeight="1" x14ac:dyDescent="0.25">
      <c r="A24" s="192"/>
      <c r="B24" s="21" t="s">
        <v>43</v>
      </c>
      <c r="C24" s="22">
        <f>[22]NUMERIK!K42</f>
        <v>0</v>
      </c>
      <c r="D24" s="73" t="s">
        <v>33</v>
      </c>
      <c r="E24" s="79">
        <f>C24/[22]NUMERIK!K$38*100%</f>
        <v>0</v>
      </c>
      <c r="F24" s="25">
        <f t="shared" si="0"/>
        <v>0</v>
      </c>
      <c r="G24" s="36" t="str">
        <f>[22]Outcome!Q311</f>
        <v xml:space="preserve">, , , , , , , , , , , , , , , , , , , </v>
      </c>
      <c r="H24" s="37">
        <f>[22]Outcome!M311</f>
        <v>0</v>
      </c>
      <c r="I24" s="38" t="s">
        <v>33</v>
      </c>
      <c r="J24" s="39">
        <f>IF(H24&gt;C24,0,C24-H24)</f>
        <v>0</v>
      </c>
      <c r="K24" s="40" t="s">
        <v>33</v>
      </c>
      <c r="L24" s="41">
        <f>J24/[22]NUMERIK!K$38*100%</f>
        <v>0</v>
      </c>
      <c r="M24" s="42">
        <f t="shared" si="1"/>
        <v>0</v>
      </c>
      <c r="N24" s="33"/>
    </row>
    <row r="25" spans="1:15" s="34" customFormat="1" ht="20.100000000000001" customHeight="1" x14ac:dyDescent="0.25">
      <c r="A25" s="192"/>
      <c r="B25" s="21" t="s">
        <v>44</v>
      </c>
      <c r="C25" s="22">
        <f>[22]NUMERIK!K45</f>
        <v>7152</v>
      </c>
      <c r="D25" s="73" t="s">
        <v>33</v>
      </c>
      <c r="E25" s="79">
        <f>C25/[22]NUMERIK!K$38*100%</f>
        <v>0.97945768282662282</v>
      </c>
      <c r="F25" s="25">
        <f t="shared" si="0"/>
        <v>5</v>
      </c>
      <c r="G25" s="36" t="str">
        <f>[22]Outcome!Q331</f>
        <v xml:space="preserve">, , , , , , , , , , , , , , , , , , , </v>
      </c>
      <c r="H25" s="37">
        <f>[22]Outcome!M331</f>
        <v>0</v>
      </c>
      <c r="I25" s="38" t="s">
        <v>33</v>
      </c>
      <c r="J25" s="39">
        <f>IF(H25&gt;C25,0,C25-H25)</f>
        <v>7152</v>
      </c>
      <c r="K25" s="40" t="s">
        <v>33</v>
      </c>
      <c r="L25" s="41">
        <f>J25/[22]NUMERIK!K$38*100%</f>
        <v>0.97945768282662282</v>
      </c>
      <c r="M25" s="42">
        <f t="shared" si="1"/>
        <v>5</v>
      </c>
      <c r="N25" s="33"/>
    </row>
    <row r="26" spans="1:15" s="34" customFormat="1" ht="20.100000000000001" customHeight="1" thickBot="1" x14ac:dyDescent="0.3">
      <c r="A26" s="192"/>
      <c r="B26" s="78" t="s">
        <v>45</v>
      </c>
      <c r="C26" s="22">
        <f>[22]NUMERIK!K48</f>
        <v>4435</v>
      </c>
      <c r="D26" s="73" t="s">
        <v>33</v>
      </c>
      <c r="E26" s="79">
        <f>C26/[22]NUMERIK!K$38*100%</f>
        <v>0.60736784442618463</v>
      </c>
      <c r="F26" s="25">
        <f t="shared" si="0"/>
        <v>3</v>
      </c>
      <c r="G26" s="36" t="str">
        <f>[22]Outcome!Q351</f>
        <v xml:space="preserve">, , , , , , , , , , , , , , , , , , , , , , , , , , , , , , , , , , , , , , , , , , , , </v>
      </c>
      <c r="H26" s="37">
        <f>[22]Outcome!M351</f>
        <v>0</v>
      </c>
      <c r="I26" s="38" t="s">
        <v>33</v>
      </c>
      <c r="J26" s="39">
        <f>IF(H26&gt;C26,0,C26-H26)</f>
        <v>4435</v>
      </c>
      <c r="K26" s="40" t="s">
        <v>33</v>
      </c>
      <c r="L26" s="41">
        <f>J26/[22]NUMERIK!K$38*100%</f>
        <v>0.60736784442618463</v>
      </c>
      <c r="M26" s="42">
        <f t="shared" si="1"/>
        <v>3</v>
      </c>
      <c r="N26" s="33"/>
    </row>
    <row r="27" spans="1:15" s="88" customFormat="1" ht="30" customHeight="1" thickBot="1" x14ac:dyDescent="0.3">
      <c r="A27" s="80" t="s">
        <v>46</v>
      </c>
      <c r="B27" s="81"/>
      <c r="C27" s="55"/>
      <c r="D27" s="55"/>
      <c r="E27" s="82">
        <f>IF(SUM(F22:F26)&gt;0,(SUMIF(F22:F26,"&gt;0",E22:E26)/5),0)</f>
        <v>0.37091207888249789</v>
      </c>
      <c r="F27" s="83"/>
      <c r="G27" s="58"/>
      <c r="H27" s="59"/>
      <c r="I27" s="59"/>
      <c r="J27" s="84"/>
      <c r="K27" s="85"/>
      <c r="L27" s="82">
        <f>IF(SUM(M22:M26)&gt;0,(SUMIF(M22:M26,"&gt;0",L22:L26)/5),0)</f>
        <v>0.37091207888249789</v>
      </c>
      <c r="M27" s="86"/>
      <c r="N27" s="87"/>
    </row>
    <row r="28" spans="1:15" s="34" customFormat="1" ht="27.75" customHeight="1" x14ac:dyDescent="0.25">
      <c r="A28" s="213" t="s">
        <v>47</v>
      </c>
      <c r="B28" s="21" t="s">
        <v>48</v>
      </c>
      <c r="C28" s="22">
        <f>[22]NUMERIK!K51</f>
        <v>36</v>
      </c>
      <c r="D28" s="73" t="s">
        <v>12</v>
      </c>
      <c r="E28" s="89">
        <f>C28/E$7*100%</f>
        <v>5.3019145802650956E-2</v>
      </c>
      <c r="F28" s="25">
        <f t="shared" si="0"/>
        <v>0</v>
      </c>
      <c r="G28" s="36" t="str">
        <f>[22]Outcome!Q396</f>
        <v xml:space="preserve">, , , , , , , , , , , , , , , , , , , , , , , , , , , , , , , , , , , , , , , , , , , , </v>
      </c>
      <c r="H28" s="37">
        <f>[22]Outcome!Q397</f>
        <v>0</v>
      </c>
      <c r="I28" s="38" t="s">
        <v>12</v>
      </c>
      <c r="J28" s="39">
        <f>IF(H28&gt;C28,0,C28-H28)</f>
        <v>36</v>
      </c>
      <c r="K28" s="40" t="s">
        <v>12</v>
      </c>
      <c r="L28" s="41">
        <f>J28/E$7*100%</f>
        <v>5.3019145802650956E-2</v>
      </c>
      <c r="M28" s="42">
        <f t="shared" si="1"/>
        <v>0</v>
      </c>
      <c r="N28" s="33"/>
    </row>
    <row r="29" spans="1:15" s="34" customFormat="1" ht="30" customHeight="1" thickBot="1" x14ac:dyDescent="0.3">
      <c r="A29" s="213"/>
      <c r="B29" s="21" t="s">
        <v>49</v>
      </c>
      <c r="C29" s="22">
        <f>[22]NUMERIK!K53</f>
        <v>45</v>
      </c>
      <c r="D29" s="73" t="s">
        <v>12</v>
      </c>
      <c r="E29" s="89">
        <f>C29/E$7*100%</f>
        <v>6.6273932253313697E-2</v>
      </c>
      <c r="F29" s="25">
        <f t="shared" si="0"/>
        <v>0</v>
      </c>
      <c r="G29" s="45" t="str">
        <f>[22]Outcome!Q441</f>
        <v xml:space="preserve">, , , , , , , , , , , , , , , , , , , , , , , , , , , , , , , , , , , , , , , , , , , , , , , , , , , , , , </v>
      </c>
      <c r="H29" s="37">
        <f>[22]Outcome!Q442</f>
        <v>0</v>
      </c>
      <c r="I29" s="38" t="s">
        <v>12</v>
      </c>
      <c r="J29" s="39">
        <f>IF(H29&gt;C29,0,C29-H29)</f>
        <v>45</v>
      </c>
      <c r="K29" s="40" t="s">
        <v>12</v>
      </c>
      <c r="L29" s="41">
        <f>J29/E$7*100%</f>
        <v>6.6273932253313697E-2</v>
      </c>
      <c r="M29" s="42">
        <f t="shared" si="1"/>
        <v>0</v>
      </c>
      <c r="N29" s="33"/>
    </row>
    <row r="30" spans="1:15" s="88" customFormat="1" ht="30" customHeight="1" thickBot="1" x14ac:dyDescent="0.3">
      <c r="A30" s="90" t="s">
        <v>50</v>
      </c>
      <c r="B30" s="81"/>
      <c r="C30" s="55"/>
      <c r="D30" s="55"/>
      <c r="E30" s="82">
        <f>IF(SUM(F28:F29)&gt;0,(SUMIF(F28:F29,"&gt;0",E28:E29)/2),0)</f>
        <v>0</v>
      </c>
      <c r="F30" s="83"/>
      <c r="G30" s="91"/>
      <c r="H30" s="92"/>
      <c r="I30" s="92"/>
      <c r="J30" s="84"/>
      <c r="K30" s="85"/>
      <c r="L30" s="82">
        <f>IF(SUM(M28:M29)&gt;0,(SUMIF(M28:M29,"&gt;0",L28:L29)/2),0)</f>
        <v>0</v>
      </c>
      <c r="M30" s="86"/>
      <c r="N30" s="87"/>
    </row>
    <row r="31" spans="1:15" s="34" customFormat="1" ht="31.5" customHeight="1" x14ac:dyDescent="0.25">
      <c r="A31" s="192" t="s">
        <v>51</v>
      </c>
      <c r="B31" s="21" t="s">
        <v>52</v>
      </c>
      <c r="C31" s="93">
        <f>[22]NUMERIK!K56</f>
        <v>679</v>
      </c>
      <c r="D31" s="94" t="s">
        <v>12</v>
      </c>
      <c r="E31" s="89">
        <f>C31/E$7*100%</f>
        <v>1</v>
      </c>
      <c r="F31" s="25">
        <f t="shared" si="0"/>
        <v>5</v>
      </c>
      <c r="G31" s="36" t="str">
        <f>[22]Outcome!Q496</f>
        <v xml:space="preserve">, , , , , , , , , , , , , , , , , , , , , , , , , , , , , , , , , , , , , , , , , , , , </v>
      </c>
      <c r="H31" s="37">
        <f>[22]Outcome!Q497</f>
        <v>0</v>
      </c>
      <c r="I31" s="38" t="s">
        <v>12</v>
      </c>
      <c r="J31" s="39">
        <f>IF(H31&gt;C31,0,C31-H31)</f>
        <v>679</v>
      </c>
      <c r="K31" s="40" t="s">
        <v>12</v>
      </c>
      <c r="L31" s="41">
        <f>J31/E$7*100%</f>
        <v>1</v>
      </c>
      <c r="M31" s="42">
        <f t="shared" si="1"/>
        <v>5</v>
      </c>
      <c r="N31" s="33"/>
    </row>
    <row r="32" spans="1:15" s="34" customFormat="1" ht="32.25" customHeight="1" x14ac:dyDescent="0.25">
      <c r="A32" s="192"/>
      <c r="B32" s="21" t="s">
        <v>53</v>
      </c>
      <c r="C32" s="93">
        <f>[22]NUMERIK!K59</f>
        <v>568</v>
      </c>
      <c r="D32" s="94" t="s">
        <v>12</v>
      </c>
      <c r="E32" s="89">
        <f>C32/E$7*100%</f>
        <v>0.83652430044182624</v>
      </c>
      <c r="F32" s="25">
        <f t="shared" si="0"/>
        <v>5</v>
      </c>
      <c r="G32" s="36" t="str">
        <f>[22]Outcome!Q541</f>
        <v xml:space="preserve">, , , , , , , , , , , , , , , , , , , , , , , , , , , , , , , , , , , , , , , , , , , , </v>
      </c>
      <c r="H32" s="37">
        <f>[22]Outcome!Q542</f>
        <v>0</v>
      </c>
      <c r="I32" s="38" t="s">
        <v>12</v>
      </c>
      <c r="J32" s="39">
        <f>IF(H32&gt;C32,0,C32-H32)</f>
        <v>568</v>
      </c>
      <c r="K32" s="40" t="s">
        <v>12</v>
      </c>
      <c r="L32" s="41">
        <f>J32/E$7*100%</f>
        <v>0.83652430044182624</v>
      </c>
      <c r="M32" s="42">
        <f t="shared" si="1"/>
        <v>5</v>
      </c>
      <c r="N32" s="33"/>
    </row>
    <row r="33" spans="1:14" s="34" customFormat="1" ht="30.75" customHeight="1" thickBot="1" x14ac:dyDescent="0.3">
      <c r="A33" s="192"/>
      <c r="B33" s="21" t="s">
        <v>54</v>
      </c>
      <c r="C33" s="93">
        <f>[22]NUMERIK!K61</f>
        <v>679</v>
      </c>
      <c r="D33" s="94" t="s">
        <v>12</v>
      </c>
      <c r="E33" s="89">
        <f>C33/E$7*100%</f>
        <v>1</v>
      </c>
      <c r="F33" s="25">
        <f t="shared" si="0"/>
        <v>5</v>
      </c>
      <c r="G33" s="36" t="str">
        <f>[22]Outcome!Q586</f>
        <v xml:space="preserve">, , , , , , , , , , , , , , , , , , , , , , , , , , , , , , , , , , , , , , , , , , , , </v>
      </c>
      <c r="H33" s="37">
        <f>[22]Outcome!Q587</f>
        <v>0</v>
      </c>
      <c r="I33" s="38" t="s">
        <v>12</v>
      </c>
      <c r="J33" s="39">
        <f>IF(H33&gt;C33,0,C33-H33)</f>
        <v>679</v>
      </c>
      <c r="K33" s="40" t="s">
        <v>12</v>
      </c>
      <c r="L33" s="41">
        <f>J33/E$7*100%</f>
        <v>1</v>
      </c>
      <c r="M33" s="42">
        <f t="shared" si="1"/>
        <v>5</v>
      </c>
      <c r="N33" s="33"/>
    </row>
    <row r="34" spans="1:14" s="88" customFormat="1" ht="30" customHeight="1" thickBot="1" x14ac:dyDescent="0.3">
      <c r="A34" s="80" t="s">
        <v>55</v>
      </c>
      <c r="B34" s="81"/>
      <c r="C34" s="55"/>
      <c r="D34" s="55"/>
      <c r="E34" s="82">
        <f>IF(SUM(F31:F33)&gt;0,(SUMIF(F31:F33,"&gt;0",E31:E33)/3),0)</f>
        <v>0.94550810014727549</v>
      </c>
      <c r="F34" s="83"/>
      <c r="G34" s="91"/>
      <c r="H34" s="92"/>
      <c r="I34" s="92"/>
      <c r="J34" s="84"/>
      <c r="K34" s="85"/>
      <c r="L34" s="82">
        <f>IF(SUM(M31:M33)&gt;0,(SUMIF(M31:M33,"&gt;0",L31:L33)/3),0)</f>
        <v>0.94550810014727549</v>
      </c>
      <c r="M34" s="86"/>
      <c r="N34" s="87"/>
    </row>
    <row r="35" spans="1:14" s="34" customFormat="1" ht="24.95" customHeight="1" x14ac:dyDescent="0.25">
      <c r="A35" s="213" t="s">
        <v>56</v>
      </c>
      <c r="B35" s="95" t="s">
        <v>57</v>
      </c>
      <c r="C35" s="93">
        <f>[22]NUMERIK!K64</f>
        <v>68</v>
      </c>
      <c r="D35" s="94" t="s">
        <v>8</v>
      </c>
      <c r="E35" s="79">
        <f>C35/E$5*100%</f>
        <v>0.11908931698774081</v>
      </c>
      <c r="F35" s="25">
        <f t="shared" si="0"/>
        <v>0</v>
      </c>
      <c r="G35" s="36" t="str">
        <f>[22]Outcome!Q631</f>
        <v xml:space="preserve">, , , , , , , , , , , , , , , , , , , </v>
      </c>
      <c r="H35" s="27">
        <f>[22]Outcome!Q632</f>
        <v>0</v>
      </c>
      <c r="I35" s="38" t="s">
        <v>8</v>
      </c>
      <c r="J35" s="39">
        <f>IF(H35&gt;C35,0,C35-H35)</f>
        <v>68</v>
      </c>
      <c r="K35" s="40" t="s">
        <v>8</v>
      </c>
      <c r="L35" s="41">
        <f>J35/E$5*100%</f>
        <v>0.11908931698774081</v>
      </c>
      <c r="M35" s="42">
        <f t="shared" si="1"/>
        <v>0</v>
      </c>
      <c r="N35" s="33"/>
    </row>
    <row r="36" spans="1:14" s="34" customFormat="1" ht="24.95" customHeight="1" thickBot="1" x14ac:dyDescent="0.3">
      <c r="A36" s="213"/>
      <c r="B36" s="95" t="s">
        <v>58</v>
      </c>
      <c r="C36" s="96">
        <f>[22]NUMERIK!K66</f>
        <v>571</v>
      </c>
      <c r="D36" s="94" t="s">
        <v>8</v>
      </c>
      <c r="E36" s="79">
        <f>C36/E$5*100%</f>
        <v>1</v>
      </c>
      <c r="F36" s="25">
        <f t="shared" si="0"/>
        <v>5</v>
      </c>
      <c r="G36" s="36" t="str">
        <f>[22]Outcome!Q651</f>
        <v xml:space="preserve">, , , , , , , , , , , , , , , , , , , </v>
      </c>
      <c r="H36" s="37">
        <f>[22]Outcome!Q652</f>
        <v>0</v>
      </c>
      <c r="I36" s="97" t="s">
        <v>8</v>
      </c>
      <c r="J36" s="98">
        <f>IF(H36&gt;C36,0,C36-H36)</f>
        <v>571</v>
      </c>
      <c r="K36" s="99" t="s">
        <v>8</v>
      </c>
      <c r="L36" s="100">
        <f>J36/E$5*100%</f>
        <v>1</v>
      </c>
      <c r="M36" s="51">
        <f t="shared" si="1"/>
        <v>5</v>
      </c>
      <c r="N36" s="33"/>
    </row>
    <row r="37" spans="1:14" s="77" customFormat="1" ht="30" customHeight="1" thickBot="1" x14ac:dyDescent="0.3">
      <c r="A37" s="80" t="s">
        <v>59</v>
      </c>
      <c r="B37" s="101"/>
      <c r="C37" s="102"/>
      <c r="D37" s="102"/>
      <c r="E37" s="82">
        <f>IF(SUM(F35:F36)&gt;0,(SUMIF(F35:F36,"&gt;0",E35:E36)/2),0)</f>
        <v>0.5</v>
      </c>
      <c r="F37" s="103"/>
      <c r="G37" s="104"/>
      <c r="H37" s="105"/>
      <c r="I37" s="105"/>
      <c r="J37" s="106"/>
      <c r="K37" s="107"/>
      <c r="L37" s="82">
        <f>IF(SUM(M35:M36)&gt;0,(SUMIF(M35:M36,"&gt;0",L35:L36)/2),0)</f>
        <v>0.5</v>
      </c>
      <c r="M37" s="108"/>
      <c r="N37" s="109"/>
    </row>
    <row r="38" spans="1:14" ht="15" customHeight="1" x14ac:dyDescent="0.25">
      <c r="A38" s="110"/>
      <c r="B38" s="111" t="s">
        <v>60</v>
      </c>
      <c r="D38" s="218" t="s">
        <v>61</v>
      </c>
      <c r="E38" s="219"/>
      <c r="F38" s="222">
        <f>SUM(F12:F36)</f>
        <v>33</v>
      </c>
      <c r="G38" s="112"/>
      <c r="H38" s="112"/>
      <c r="I38" s="112"/>
      <c r="J38" s="112"/>
      <c r="K38" s="238" t="s">
        <v>61</v>
      </c>
      <c r="L38" s="239"/>
      <c r="M38" s="224">
        <f>SUM(M12:M36)</f>
        <v>33</v>
      </c>
    </row>
    <row r="39" spans="1:14" ht="15" customHeight="1" x14ac:dyDescent="0.25">
      <c r="A39" s="110"/>
      <c r="B39" s="113" t="s">
        <v>62</v>
      </c>
      <c r="D39" s="220"/>
      <c r="E39" s="221"/>
      <c r="F39" s="223"/>
      <c r="G39" s="114"/>
      <c r="H39" s="114"/>
      <c r="I39" s="114"/>
      <c r="J39" s="114"/>
      <c r="K39" s="240"/>
      <c r="L39" s="241"/>
      <c r="M39" s="225"/>
    </row>
    <row r="40" spans="1:14" ht="15" customHeight="1" x14ac:dyDescent="0.25">
      <c r="A40" s="110"/>
      <c r="B40" s="115" t="s">
        <v>63</v>
      </c>
      <c r="D40" s="226" t="s">
        <v>64</v>
      </c>
      <c r="E40" s="227"/>
      <c r="F40" s="230" t="str">
        <f>IF(F38="N/A","TIDAK KUMUH",IF(F38&gt;=71,"KUMUH BERAT",IF(AND(F38&lt;=70,F38&gt;=45),"KUMUH SEDANG",IF(AND(F38&lt;=44,F38&gt;=19),"KUMUH RINGAN","TIDAK KUMUH"))))</f>
        <v>KUMUH RINGAN</v>
      </c>
      <c r="G40" s="116"/>
      <c r="H40" s="116"/>
      <c r="I40" s="116"/>
      <c r="J40" s="116"/>
      <c r="K40" s="232" t="s">
        <v>64</v>
      </c>
      <c r="L40" s="233"/>
      <c r="M40" s="236" t="str">
        <f>IF(M38="N/A","TIDAK KUMUH",IF(M38&gt;=71,"KUMUH BERAT",IF(AND(M38&lt;=70,M38&gt;=45),"KUMUH SEDANG",IF(AND(M38&lt;=44,M38&gt;=19),"KUMUH RINGAN","TIDAK KUMUH"))))</f>
        <v>KUMUH RINGAN</v>
      </c>
    </row>
    <row r="41" spans="1:14" ht="15" customHeight="1" thickBot="1" x14ac:dyDescent="0.3">
      <c r="A41" s="110"/>
      <c r="B41" s="117" t="s">
        <v>65</v>
      </c>
      <c r="D41" s="228"/>
      <c r="E41" s="229"/>
      <c r="F41" s="231" t="str">
        <f>IF(E41&gt;71,"KB",IF(E41&gt;=47,"KS","KR"))</f>
        <v>KR</v>
      </c>
      <c r="G41" s="116"/>
      <c r="H41" s="116"/>
      <c r="I41" s="116"/>
      <c r="J41" s="116"/>
      <c r="K41" s="234"/>
      <c r="L41" s="235"/>
      <c r="M41" s="237" t="str">
        <f>IF(L41&gt;71,"KB",IF(L41&gt;=47,"KS","KR"))</f>
        <v>KR</v>
      </c>
    </row>
    <row r="42" spans="1:14" ht="21" customHeight="1" x14ac:dyDescent="0.25">
      <c r="B42" s="118" t="s">
        <v>66</v>
      </c>
      <c r="C42" s="119"/>
      <c r="D42" s="120"/>
      <c r="E42" s="121" t="s">
        <v>67</v>
      </c>
      <c r="F42" s="122">
        <f>AVERAGE(E15,E18,E21,E27,E30,E34,E37)</f>
        <v>0.32353665727426201</v>
      </c>
      <c r="J42" s="123"/>
      <c r="K42" s="124"/>
      <c r="L42" s="125" t="s">
        <v>67</v>
      </c>
      <c r="M42" s="126">
        <f>AVERAGE(L15,L18,L21,L27,L30,L34,L37)</f>
        <v>0.3196952951480162</v>
      </c>
    </row>
    <row r="43" spans="1:14" ht="21" customHeight="1" x14ac:dyDescent="0.25">
      <c r="B43" s="127"/>
      <c r="C43" s="119"/>
      <c r="D43" s="120"/>
      <c r="E43" s="121" t="s">
        <v>68</v>
      </c>
      <c r="F43" s="122">
        <v>0</v>
      </c>
      <c r="J43" s="123"/>
      <c r="K43" s="124"/>
      <c r="L43" s="125" t="s">
        <v>68</v>
      </c>
      <c r="M43" s="126">
        <f>(F42-M42)/F42</f>
        <v>1.1873035218353895E-2</v>
      </c>
      <c r="N43"/>
    </row>
    <row r="44" spans="1:14" x14ac:dyDescent="0.25">
      <c r="M44" s="128"/>
    </row>
    <row r="55" spans="12:12" x14ac:dyDescent="0.25">
      <c r="L55" s="129"/>
    </row>
  </sheetData>
  <mergeCells count="23">
    <mergeCell ref="M38:M39"/>
    <mergeCell ref="D40:E41"/>
    <mergeCell ref="F40:F41"/>
    <mergeCell ref="K40:L41"/>
    <mergeCell ref="M40:M41"/>
    <mergeCell ref="K38:L39"/>
    <mergeCell ref="A28:A29"/>
    <mergeCell ref="A31:A33"/>
    <mergeCell ref="A35:A36"/>
    <mergeCell ref="D38:E39"/>
    <mergeCell ref="F38:F39"/>
    <mergeCell ref="J9:M10"/>
    <mergeCell ref="G10:I10"/>
    <mergeCell ref="A12:A14"/>
    <mergeCell ref="A16:A17"/>
    <mergeCell ref="A19:A20"/>
    <mergeCell ref="G9:I9"/>
    <mergeCell ref="A22:A26"/>
    <mergeCell ref="A1:F1"/>
    <mergeCell ref="A2:B2"/>
    <mergeCell ref="A9:A11"/>
    <mergeCell ref="B9:B11"/>
    <mergeCell ref="C9:F10"/>
  </mergeCells>
  <conditionalFormatting sqref="F40:J41">
    <cfRule type="expression" dxfId="134" priority="6">
      <formula>F40="KUMUH SEDANG"</formula>
    </cfRule>
    <cfRule type="expression" dxfId="133" priority="7">
      <formula>F40="TIDAK KUMUH"</formula>
    </cfRule>
    <cfRule type="expression" dxfId="132" priority="8">
      <formula>F40="KUMUH BERAT"</formula>
    </cfRule>
    <cfRule type="expression" dxfId="131" priority="9">
      <formula>F40="KUMUH RINGAN"</formula>
    </cfRule>
  </conditionalFormatting>
  <conditionalFormatting sqref="G12:G14 G16:G17 G19:G20 G22:G26 G28:G29 G31:G33 G35:G36">
    <cfRule type="cellIs" dxfId="130" priority="1" operator="equal">
      <formula>", , , , , , "</formula>
    </cfRule>
  </conditionalFormatting>
  <conditionalFormatting sqref="M40:M41">
    <cfRule type="expression" dxfId="129" priority="2">
      <formula>M40="KUMUH SEDANG"</formula>
    </cfRule>
    <cfRule type="expression" dxfId="128" priority="3">
      <formula>M40="TIDAK KUMUH"</formula>
    </cfRule>
    <cfRule type="expression" dxfId="127" priority="4">
      <formula>M40="KUMUH BERAT"</formula>
    </cfRule>
    <cfRule type="expression" dxfId="126" priority="5">
      <formula>M40="KUMUH RINGAN"</formula>
    </cfRule>
  </conditionalFormatting>
  <pageMargins left="0.7" right="0.2" top="0.75" bottom="0.75" header="0.3" footer="0.3"/>
  <pageSetup paperSize="9" scale="70" orientation="portrait" horizontalDpi="4294967293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B0EB0-E26D-4155-B754-763CA4CA30E1}">
  <sheetPr>
    <tabColor rgb="FF0070C0"/>
  </sheetPr>
  <dimension ref="A1:O55"/>
  <sheetViews>
    <sheetView showGridLines="0" zoomScale="50" zoomScaleNormal="50" zoomScaleSheetLayoutView="75" zoomScalePageLayoutView="90" workbookViewId="0">
      <pane xSplit="1" ySplit="11" topLeftCell="B24" activePane="bottomRight" state="frozen"/>
      <selection pane="topRight" activeCell="B1" sqref="B1"/>
      <selection pane="bottomLeft" activeCell="A12" sqref="A12"/>
      <selection pane="bottomRight" activeCell="B5" sqref="B5"/>
    </sheetView>
  </sheetViews>
  <sheetFormatPr defaultColWidth="8.85546875" defaultRowHeight="15" x14ac:dyDescent="0.25"/>
  <cols>
    <col min="1" max="1" width="24" customWidth="1"/>
    <col min="2" max="2" width="45.85546875" customWidth="1"/>
    <col min="3" max="3" width="12.42578125" customWidth="1"/>
    <col min="4" max="4" width="9.140625" customWidth="1"/>
    <col min="5" max="5" width="12.140625" customWidth="1"/>
    <col min="6" max="6" width="9.140625" customWidth="1"/>
    <col min="7" max="7" width="36.42578125" customWidth="1"/>
    <col min="8" max="9" width="9.140625" customWidth="1"/>
    <col min="10" max="10" width="10" bestFit="1" customWidth="1"/>
    <col min="11" max="12" width="9.140625" customWidth="1"/>
    <col min="13" max="13" width="11.28515625" customWidth="1"/>
    <col min="14" max="14" width="2.28515625" style="3" customWidth="1"/>
  </cols>
  <sheetData>
    <row r="1" spans="1:14" ht="18.75" customHeight="1" x14ac:dyDescent="0.3">
      <c r="A1" s="193" t="s">
        <v>0</v>
      </c>
      <c r="B1" s="193"/>
      <c r="C1" s="193"/>
      <c r="D1" s="193"/>
      <c r="E1" s="193"/>
      <c r="F1" s="193"/>
      <c r="G1" s="1"/>
      <c r="H1" s="1"/>
      <c r="I1" s="1"/>
      <c r="J1" s="1"/>
      <c r="K1" s="1"/>
      <c r="L1" s="1"/>
      <c r="M1" s="2"/>
    </row>
    <row r="2" spans="1:14" ht="3.75" customHeight="1" x14ac:dyDescent="0.25">
      <c r="A2" s="194"/>
      <c r="B2" s="194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4" ht="15.75" customHeight="1" x14ac:dyDescent="0.25">
      <c r="A3" s="6" t="s">
        <v>1</v>
      </c>
      <c r="B3" s="6" t="e">
        <f>": "&amp;[23]NUMERIK!E14</f>
        <v>#REF!</v>
      </c>
      <c r="C3" s="7" t="s">
        <v>2</v>
      </c>
      <c r="D3" s="8"/>
      <c r="E3" s="9">
        <f>[23]NUMERIK!K6</f>
        <v>8.9000000000000021</v>
      </c>
      <c r="F3" t="s">
        <v>3</v>
      </c>
    </row>
    <row r="4" spans="1:14" ht="15.75" customHeight="1" x14ac:dyDescent="0.25">
      <c r="A4" s="6" t="s">
        <v>4</v>
      </c>
      <c r="B4" s="6" t="e">
        <f>": "&amp;[23]NUMERIK!E12</f>
        <v>#REF!</v>
      </c>
      <c r="C4" s="7" t="s">
        <v>5</v>
      </c>
      <c r="D4" s="8"/>
      <c r="E4" s="9">
        <f>[23]NUMERIK!K8</f>
        <v>8.9000000000000021</v>
      </c>
      <c r="F4" t="s">
        <v>3</v>
      </c>
    </row>
    <row r="5" spans="1:14" ht="15.75" customHeight="1" x14ac:dyDescent="0.25">
      <c r="A5" s="10" t="s">
        <v>6</v>
      </c>
      <c r="B5" s="10" t="e">
        <f>": "&amp;[23]NUMERIK!E10</f>
        <v>#REF!</v>
      </c>
      <c r="C5" s="7" t="s">
        <v>7</v>
      </c>
      <c r="D5" s="8"/>
      <c r="E5" s="11">
        <f>[23]NUMERIK!K10</f>
        <v>195</v>
      </c>
      <c r="F5" t="s">
        <v>8</v>
      </c>
    </row>
    <row r="6" spans="1:14" ht="15.75" customHeight="1" x14ac:dyDescent="0.25">
      <c r="A6" s="10" t="s">
        <v>9</v>
      </c>
      <c r="B6" s="10" t="e">
        <f>": "&amp;[23]NUMERIK!E6</f>
        <v>#REF!</v>
      </c>
      <c r="C6" s="7" t="s">
        <v>10</v>
      </c>
      <c r="D6" s="8"/>
      <c r="E6" s="12">
        <f>[23]NUMERIK!K12</f>
        <v>741</v>
      </c>
      <c r="F6" t="s">
        <v>11</v>
      </c>
    </row>
    <row r="7" spans="1:14" ht="15.75" customHeight="1" x14ac:dyDescent="0.25">
      <c r="A7" s="4"/>
      <c r="B7" s="13"/>
      <c r="C7" s="7" t="s">
        <v>7</v>
      </c>
      <c r="D7" s="5"/>
      <c r="E7" s="12">
        <f>[23]NUMERIK!K14</f>
        <v>240</v>
      </c>
      <c r="F7" t="s">
        <v>12</v>
      </c>
    </row>
    <row r="8" spans="1:14" ht="5.25" customHeight="1" thickBot="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4" ht="12" customHeight="1" x14ac:dyDescent="0.25">
      <c r="A9" s="195" t="s">
        <v>13</v>
      </c>
      <c r="B9" s="197" t="s">
        <v>14</v>
      </c>
      <c r="C9" s="199" t="s">
        <v>15</v>
      </c>
      <c r="D9" s="200"/>
      <c r="E9" s="200"/>
      <c r="F9" s="201"/>
      <c r="G9" s="216" t="s">
        <v>16</v>
      </c>
      <c r="H9" s="217"/>
      <c r="I9" s="217"/>
      <c r="J9" s="205" t="s">
        <v>17</v>
      </c>
      <c r="K9" s="206"/>
      <c r="L9" s="206"/>
      <c r="M9" s="207"/>
    </row>
    <row r="10" spans="1:14" ht="9.75" customHeight="1" x14ac:dyDescent="0.25">
      <c r="A10" s="196"/>
      <c r="B10" s="198"/>
      <c r="C10" s="202"/>
      <c r="D10" s="203"/>
      <c r="E10" s="203"/>
      <c r="F10" s="204"/>
      <c r="G10" s="211" t="s">
        <v>18</v>
      </c>
      <c r="H10" s="212"/>
      <c r="I10" s="212"/>
      <c r="J10" s="208"/>
      <c r="K10" s="209"/>
      <c r="L10" s="209"/>
      <c r="M10" s="210"/>
    </row>
    <row r="11" spans="1:14" ht="15.75" thickBot="1" x14ac:dyDescent="0.3">
      <c r="A11" s="196"/>
      <c r="B11" s="198"/>
      <c r="C11" s="14" t="s">
        <v>19</v>
      </c>
      <c r="D11" s="14" t="s">
        <v>20</v>
      </c>
      <c r="E11" s="14" t="s">
        <v>21</v>
      </c>
      <c r="F11" s="15" t="s">
        <v>22</v>
      </c>
      <c r="G11" s="16" t="s">
        <v>23</v>
      </c>
      <c r="H11" s="17" t="s">
        <v>24</v>
      </c>
      <c r="I11" s="17" t="s">
        <v>20</v>
      </c>
      <c r="J11" s="18" t="s">
        <v>19</v>
      </c>
      <c r="K11" s="19" t="s">
        <v>20</v>
      </c>
      <c r="L11" s="19" t="s">
        <v>25</v>
      </c>
      <c r="M11" s="20" t="s">
        <v>22</v>
      </c>
    </row>
    <row r="12" spans="1:14" s="34" customFormat="1" ht="24.95" customHeight="1" x14ac:dyDescent="0.25">
      <c r="A12" s="213" t="s">
        <v>26</v>
      </c>
      <c r="B12" s="21" t="s">
        <v>27</v>
      </c>
      <c r="C12" s="22">
        <f>[23]NUMERIK!K18</f>
        <v>195</v>
      </c>
      <c r="D12" s="23" t="s">
        <v>8</v>
      </c>
      <c r="E12" s="24">
        <f>C12/E5*100%</f>
        <v>1</v>
      </c>
      <c r="F12" s="25">
        <f t="shared" ref="F12:F36" si="0">IF(AND(E12&gt;=24.995%,E12&lt;50.995%),1,IF(AND(E12&gt;=50.995%,E12&lt;75.995%),3,IF(E12&gt;=75.995%,5,0)))</f>
        <v>5</v>
      </c>
      <c r="G12" s="26" t="str">
        <f>[23]Outcome!Q6</f>
        <v xml:space="preserve">, , , , , , , , , , , , , , , , , , , , , , , , , , , , , , , , , , , , , , , , , , , , </v>
      </c>
      <c r="H12" s="27">
        <f>[23]Outcome!M6</f>
        <v>0</v>
      </c>
      <c r="I12" s="28" t="s">
        <v>8</v>
      </c>
      <c r="J12" s="29">
        <f>IF(H12&gt;C12,0,C12-H12)</f>
        <v>195</v>
      </c>
      <c r="K12" s="30" t="s">
        <v>8</v>
      </c>
      <c r="L12" s="31">
        <f>J12/E$5*100%</f>
        <v>1</v>
      </c>
      <c r="M12" s="32">
        <f t="shared" ref="M12:M36" si="1">IF(AND(L12&gt;=24.995%,L12&lt;50.995%),1,IF(AND(L12&gt;=50.995%,L12&lt;75.995%),3,IF(L12&gt;=75.995%,5,0)))</f>
        <v>5</v>
      </c>
      <c r="N12" s="33"/>
    </row>
    <row r="13" spans="1:14" s="34" customFormat="1" ht="24.95" customHeight="1" x14ac:dyDescent="0.25">
      <c r="A13" s="213"/>
      <c r="B13" s="21" t="s">
        <v>28</v>
      </c>
      <c r="C13" s="35">
        <f>[23]NUMERIK!K20</f>
        <v>0</v>
      </c>
      <c r="D13" s="23" t="s">
        <v>3</v>
      </c>
      <c r="E13" s="24">
        <f>C13/E4*100%</f>
        <v>0</v>
      </c>
      <c r="F13" s="25">
        <f t="shared" si="0"/>
        <v>0</v>
      </c>
      <c r="G13" s="36" t="str">
        <f>[23]Outcome!Q51</f>
        <v xml:space="preserve">, , , , , , , , , , , , , , , , , , , </v>
      </c>
      <c r="H13" s="37">
        <f>[23]Outcome!M51</f>
        <v>0</v>
      </c>
      <c r="I13" s="38" t="s">
        <v>3</v>
      </c>
      <c r="J13" s="39">
        <f>IF(H13&gt;C13,0,C13-H13)</f>
        <v>0</v>
      </c>
      <c r="K13" s="40" t="s">
        <v>3</v>
      </c>
      <c r="L13" s="41">
        <f>J13/E$4*100%</f>
        <v>0</v>
      </c>
      <c r="M13" s="42">
        <f t="shared" si="1"/>
        <v>0</v>
      </c>
      <c r="N13" s="33"/>
    </row>
    <row r="14" spans="1:14" s="34" customFormat="1" ht="24.95" customHeight="1" thickBot="1" x14ac:dyDescent="0.3">
      <c r="A14" s="214"/>
      <c r="B14" s="43" t="s">
        <v>29</v>
      </c>
      <c r="C14" s="35">
        <f>[23]NUMERIK!K22</f>
        <v>31</v>
      </c>
      <c r="D14" s="23" t="s">
        <v>8</v>
      </c>
      <c r="E14" s="24">
        <f>C14/E5*100%</f>
        <v>0.15897435897435896</v>
      </c>
      <c r="F14" s="44">
        <f t="shared" si="0"/>
        <v>0</v>
      </c>
      <c r="G14" s="45" t="str">
        <f>[23]Outcome!Q71</f>
        <v xml:space="preserve">Bangunan Gedung RT003-RW002, Bangunan Gedung RT004-RW001, Bangunan Gedung RT003-RW002, Bangunan Gedung RT002-RW001, Bangunan Gedung RT003-RW002, Bangunan Gedung RT004-RW001, , , , , , , , , , , , , , , , , , , , , , , , , , , , , , , , , , , , , , , </v>
      </c>
      <c r="H14" s="46">
        <f>[23]Outcome!M71</f>
        <v>13</v>
      </c>
      <c r="I14" s="47" t="s">
        <v>8</v>
      </c>
      <c r="J14" s="48">
        <f>IF(H14&gt;C14,0,C14-H14)</f>
        <v>18</v>
      </c>
      <c r="K14" s="49" t="s">
        <v>8</v>
      </c>
      <c r="L14" s="50">
        <f>J14/E$5*100%</f>
        <v>9.2307692307692313E-2</v>
      </c>
      <c r="M14" s="51">
        <f t="shared" si="1"/>
        <v>0</v>
      </c>
      <c r="N14" s="33"/>
    </row>
    <row r="15" spans="1:14" s="34" customFormat="1" ht="30" customHeight="1" thickBot="1" x14ac:dyDescent="0.3">
      <c r="A15" s="52" t="s">
        <v>30</v>
      </c>
      <c r="B15" s="53"/>
      <c r="C15" s="54"/>
      <c r="D15" s="55"/>
      <c r="E15" s="56">
        <f>IF(SUM(F12:F14)&gt;0,(SUMIF(F12:F14,"&gt;0",E12:E14)/3),0)</f>
        <v>0.33333333333333331</v>
      </c>
      <c r="F15" s="57"/>
      <c r="G15" s="58"/>
      <c r="H15" s="59"/>
      <c r="I15" s="59"/>
      <c r="J15" s="60"/>
      <c r="K15" s="61"/>
      <c r="L15" s="56">
        <f>IF(SUM(M12:M14)&gt;0,(SUMIF(M12:M14,"&gt;0",L12:L14)/3),0)</f>
        <v>0.33333333333333331</v>
      </c>
      <c r="M15" s="62"/>
      <c r="N15" s="33"/>
    </row>
    <row r="16" spans="1:14" s="34" customFormat="1" ht="24.95" customHeight="1" x14ac:dyDescent="0.25">
      <c r="A16" s="215" t="s">
        <v>31</v>
      </c>
      <c r="B16" s="63" t="s">
        <v>32</v>
      </c>
      <c r="C16" s="64">
        <f>[23]NUMERIK!K25-[23]NUMERIK!K26</f>
        <v>0</v>
      </c>
      <c r="D16" s="65" t="s">
        <v>33</v>
      </c>
      <c r="E16" s="66">
        <f>C16/[23]NUMERIK!K$25*100%</f>
        <v>0</v>
      </c>
      <c r="F16" s="67">
        <f t="shared" si="0"/>
        <v>0</v>
      </c>
      <c r="G16" s="36" t="str">
        <f>[23]Outcome!Q116</f>
        <v xml:space="preserve">, , , , , , , , , , , , , , , , , , , </v>
      </c>
      <c r="H16" s="27">
        <f>[23]Outcome!M116</f>
        <v>0</v>
      </c>
      <c r="I16" s="68" t="s">
        <v>33</v>
      </c>
      <c r="J16" s="69">
        <f>IF(H16&gt;C16,0,C16-H16)</f>
        <v>0</v>
      </c>
      <c r="K16" s="70" t="s">
        <v>33</v>
      </c>
      <c r="L16" s="71">
        <f>J16/[23]NUMERIK!K$25*100%</f>
        <v>0</v>
      </c>
      <c r="M16" s="72">
        <f t="shared" si="1"/>
        <v>0</v>
      </c>
      <c r="N16" s="33"/>
    </row>
    <row r="17" spans="1:15" s="34" customFormat="1" ht="24.95" customHeight="1" thickBot="1" x14ac:dyDescent="0.3">
      <c r="A17" s="192"/>
      <c r="B17" s="21" t="s">
        <v>34</v>
      </c>
      <c r="C17" s="22">
        <f>[23]NUMERIK!K28</f>
        <v>1644</v>
      </c>
      <c r="D17" s="73" t="s">
        <v>33</v>
      </c>
      <c r="E17" s="24">
        <f>C17/[23]NUMERIK!K$25*100%</f>
        <v>0.54203758654797229</v>
      </c>
      <c r="F17" s="25">
        <f t="shared" si="0"/>
        <v>3</v>
      </c>
      <c r="G17" s="45" t="str">
        <f>[23]Outcome!Q136</f>
        <v xml:space="preserve">, , , , , , , , , , , , , , , , , , , , , , , , , , , , , , , , , , , , , , , , , , , , </v>
      </c>
      <c r="H17" s="37">
        <f>[23]Outcome!M136</f>
        <v>0</v>
      </c>
      <c r="I17" s="38" t="s">
        <v>33</v>
      </c>
      <c r="J17" s="39">
        <f>IF(H17&gt;C17,0,C17-H17)</f>
        <v>1644</v>
      </c>
      <c r="K17" s="40" t="s">
        <v>33</v>
      </c>
      <c r="L17" s="41">
        <f>J17/[23]NUMERIK!K$25*100%</f>
        <v>0.54203758654797229</v>
      </c>
      <c r="M17" s="42">
        <f t="shared" si="1"/>
        <v>3</v>
      </c>
      <c r="N17" s="33"/>
    </row>
    <row r="18" spans="1:15" s="34" customFormat="1" ht="30" customHeight="1" thickBot="1" x14ac:dyDescent="0.3">
      <c r="A18" s="52" t="s">
        <v>35</v>
      </c>
      <c r="B18" s="53"/>
      <c r="C18" s="54"/>
      <c r="D18" s="55"/>
      <c r="E18" s="56">
        <f>IF(SUM(F16:F17)&gt;0,(SUMIF(F16:F17,"&gt;0",E16:E17)/2),0)</f>
        <v>0.27101879327398615</v>
      </c>
      <c r="F18" s="57"/>
      <c r="G18" s="58"/>
      <c r="H18" s="59"/>
      <c r="I18" s="59"/>
      <c r="J18" s="60"/>
      <c r="K18" s="61"/>
      <c r="L18" s="56">
        <f>IF(SUM(M16:M17)&gt;0,(SUMIF(M16:M17,"&gt;0",L16:L17)/2),0)</f>
        <v>0.27101879327398615</v>
      </c>
      <c r="M18" s="62"/>
      <c r="N18" s="33"/>
    </row>
    <row r="19" spans="1:15" s="34" customFormat="1" ht="24.95" customHeight="1" x14ac:dyDescent="0.25">
      <c r="A19" s="213" t="s">
        <v>36</v>
      </c>
      <c r="B19" s="21" t="s">
        <v>37</v>
      </c>
      <c r="C19" s="22">
        <f>[23]NUMERIK!K31</f>
        <v>1</v>
      </c>
      <c r="D19" s="73" t="s">
        <v>12</v>
      </c>
      <c r="E19" s="74">
        <f>C19/E$7*100%</f>
        <v>4.1666666666666666E-3</v>
      </c>
      <c r="F19" s="25">
        <f t="shared" si="0"/>
        <v>0</v>
      </c>
      <c r="G19" s="36" t="str">
        <f>[23]Outcome!Q181</f>
        <v xml:space="preserve">, , , , , , , , , , , , , , , , , , , </v>
      </c>
      <c r="H19" s="27">
        <f>[23]Outcome!Q182</f>
        <v>0</v>
      </c>
      <c r="I19" s="38" t="s">
        <v>12</v>
      </c>
      <c r="J19" s="39">
        <f>IF(H19&gt;C19,0,C19-H19)</f>
        <v>1</v>
      </c>
      <c r="K19" s="75" t="s">
        <v>12</v>
      </c>
      <c r="L19" s="76">
        <f>J19/E$7*100%</f>
        <v>4.1666666666666666E-3</v>
      </c>
      <c r="M19" s="42">
        <f t="shared" si="1"/>
        <v>0</v>
      </c>
      <c r="N19" s="33"/>
    </row>
    <row r="20" spans="1:15" s="34" customFormat="1" ht="24.95" customHeight="1" thickBot="1" x14ac:dyDescent="0.3">
      <c r="A20" s="213"/>
      <c r="B20" s="21" t="s">
        <v>38</v>
      </c>
      <c r="C20" s="22">
        <f>[23]NUMERIK!K33</f>
        <v>9</v>
      </c>
      <c r="D20" s="73" t="s">
        <v>12</v>
      </c>
      <c r="E20" s="74">
        <f>C20/E$7*100%</f>
        <v>3.7499999999999999E-2</v>
      </c>
      <c r="F20" s="25">
        <f t="shared" si="0"/>
        <v>0</v>
      </c>
      <c r="G20" s="45" t="str">
        <f>[23]Outcome!Q201</f>
        <v xml:space="preserve">, , , , , , , , , , , , , , , , , , , , , , , , , , , , , , , , , , , , , , , , , , , , </v>
      </c>
      <c r="H20" s="37">
        <f>[23]Outcome!Q202</f>
        <v>0</v>
      </c>
      <c r="I20" s="38" t="s">
        <v>12</v>
      </c>
      <c r="J20" s="39">
        <f>IF(H20&gt;C20,0,C20-H20)</f>
        <v>9</v>
      </c>
      <c r="K20" s="75" t="s">
        <v>12</v>
      </c>
      <c r="L20" s="76">
        <f>J20/E$7*100%</f>
        <v>3.7499999999999999E-2</v>
      </c>
      <c r="M20" s="42">
        <f t="shared" si="1"/>
        <v>0</v>
      </c>
      <c r="N20" s="33"/>
    </row>
    <row r="21" spans="1:15" s="77" customFormat="1" ht="30" customHeight="1" thickBot="1" x14ac:dyDescent="0.3">
      <c r="A21" s="52" t="s">
        <v>39</v>
      </c>
      <c r="B21" s="53"/>
      <c r="C21" s="54"/>
      <c r="D21" s="55"/>
      <c r="E21" s="56">
        <f>IF(SUM(F19:F20)&gt;0,(SUMIF(F19:F20,"&gt;0",E19:E20)/2),0)</f>
        <v>0</v>
      </c>
      <c r="F21" s="57"/>
      <c r="G21" s="58"/>
      <c r="H21" s="59"/>
      <c r="I21" s="59"/>
      <c r="J21" s="60"/>
      <c r="K21" s="61"/>
      <c r="L21" s="56">
        <f>IF(SUM(M19:M20)&gt;0,(SUMIF(M19:M20,"&gt;0",L19:L20)/2),0)</f>
        <v>0</v>
      </c>
      <c r="M21" s="62"/>
      <c r="N21" s="33"/>
      <c r="O21" s="34"/>
    </row>
    <row r="22" spans="1:15" s="34" customFormat="1" ht="20.100000000000001" customHeight="1" x14ac:dyDescent="0.25">
      <c r="A22" s="192" t="s">
        <v>40</v>
      </c>
      <c r="B22" s="78" t="s">
        <v>41</v>
      </c>
      <c r="C22" s="22">
        <f>[23]NUMERIK!K36</f>
        <v>0</v>
      </c>
      <c r="D22" s="73" t="s">
        <v>3</v>
      </c>
      <c r="E22" s="79">
        <f>C22/E$4*100%</f>
        <v>0</v>
      </c>
      <c r="F22" s="25">
        <f t="shared" si="0"/>
        <v>0</v>
      </c>
      <c r="G22" s="36" t="str">
        <f>[23]Outcome!Q246</f>
        <v xml:space="preserve">, , , , , , , , , , , , , , , , , , , </v>
      </c>
      <c r="H22" s="27">
        <f>[23]Outcome!M246</f>
        <v>0</v>
      </c>
      <c r="I22" s="38" t="s">
        <v>3</v>
      </c>
      <c r="J22" s="39">
        <f>IF(H22&gt;C22,0,C22-H22)</f>
        <v>0</v>
      </c>
      <c r="K22" s="40" t="s">
        <v>3</v>
      </c>
      <c r="L22" s="41">
        <f>J22/E$4*100%</f>
        <v>0</v>
      </c>
      <c r="M22" s="42">
        <f t="shared" si="1"/>
        <v>0</v>
      </c>
      <c r="N22" s="33"/>
    </row>
    <row r="23" spans="1:15" s="34" customFormat="1" ht="25.5" customHeight="1" x14ac:dyDescent="0.25">
      <c r="A23" s="192"/>
      <c r="B23" s="21" t="s">
        <v>42</v>
      </c>
      <c r="C23" s="22">
        <f>([23]NUMERIK!K38-[23]NUMERIK!K40)</f>
        <v>301</v>
      </c>
      <c r="D23" s="73" t="s">
        <v>33</v>
      </c>
      <c r="E23" s="79">
        <f>C23/[23]NUMERIK!K$38*100%</f>
        <v>8.043826830571886E-2</v>
      </c>
      <c r="F23" s="25">
        <f t="shared" si="0"/>
        <v>0</v>
      </c>
      <c r="G23" s="36" t="str">
        <f>[23]Outcome!Q266</f>
        <v xml:space="preserve">, , , , , , , , , , , , , , , , , , , , , , , , , , , , , , , , , , , , , , , , , , , , </v>
      </c>
      <c r="H23" s="37">
        <f>[23]Outcome!M266</f>
        <v>0</v>
      </c>
      <c r="I23" s="38" t="s">
        <v>33</v>
      </c>
      <c r="J23" s="39">
        <f>IF(H23&gt;C23,0,C23-H23)</f>
        <v>301</v>
      </c>
      <c r="K23" s="40" t="s">
        <v>33</v>
      </c>
      <c r="L23" s="41">
        <f>J23/[23]NUMERIK!K$38*100%</f>
        <v>8.043826830571886E-2</v>
      </c>
      <c r="M23" s="42">
        <f t="shared" si="1"/>
        <v>0</v>
      </c>
      <c r="N23" s="33"/>
    </row>
    <row r="24" spans="1:15" s="34" customFormat="1" ht="20.100000000000001" customHeight="1" x14ac:dyDescent="0.25">
      <c r="A24" s="192"/>
      <c r="B24" s="21" t="s">
        <v>43</v>
      </c>
      <c r="C24" s="22">
        <f>[23]NUMERIK!K42</f>
        <v>151</v>
      </c>
      <c r="D24" s="73" t="s">
        <v>33</v>
      </c>
      <c r="E24" s="79">
        <f>C24/[23]NUMERIK!K$38*100%</f>
        <v>4.0352752538749329E-2</v>
      </c>
      <c r="F24" s="25">
        <f t="shared" si="0"/>
        <v>0</v>
      </c>
      <c r="G24" s="36" t="str">
        <f>[23]Outcome!Q311</f>
        <v xml:space="preserve">, , , , , , , , , , , , , , , , , , , </v>
      </c>
      <c r="H24" s="37">
        <f>[23]Outcome!M311</f>
        <v>0</v>
      </c>
      <c r="I24" s="38" t="s">
        <v>33</v>
      </c>
      <c r="J24" s="39">
        <f>IF(H24&gt;C24,0,C24-H24)</f>
        <v>151</v>
      </c>
      <c r="K24" s="40" t="s">
        <v>33</v>
      </c>
      <c r="L24" s="41">
        <f>J24/[23]NUMERIK!K$38*100%</f>
        <v>4.0352752538749329E-2</v>
      </c>
      <c r="M24" s="42">
        <f t="shared" si="1"/>
        <v>0</v>
      </c>
      <c r="N24" s="33"/>
    </row>
    <row r="25" spans="1:15" s="34" customFormat="1" ht="20.100000000000001" customHeight="1" x14ac:dyDescent="0.25">
      <c r="A25" s="192"/>
      <c r="B25" s="21" t="s">
        <v>44</v>
      </c>
      <c r="C25" s="22">
        <f>[23]NUMERIK!K45</f>
        <v>3091</v>
      </c>
      <c r="D25" s="73" t="s">
        <v>33</v>
      </c>
      <c r="E25" s="79">
        <f>C25/[23]NUMERIK!K$38*100%</f>
        <v>0.82602886157135225</v>
      </c>
      <c r="F25" s="25">
        <f t="shared" si="0"/>
        <v>5</v>
      </c>
      <c r="G25" s="36" t="str">
        <f>[23]Outcome!Q331</f>
        <v xml:space="preserve">, , , , , , , , , , , , , , , , , , , </v>
      </c>
      <c r="H25" s="37">
        <f>[23]Outcome!M331</f>
        <v>0</v>
      </c>
      <c r="I25" s="38" t="s">
        <v>33</v>
      </c>
      <c r="J25" s="39">
        <f>IF(H25&gt;C25,0,C25-H25)</f>
        <v>3091</v>
      </c>
      <c r="K25" s="40" t="s">
        <v>33</v>
      </c>
      <c r="L25" s="41">
        <f>J25/[23]NUMERIK!K$38*100%</f>
        <v>0.82602886157135225</v>
      </c>
      <c r="M25" s="42">
        <f t="shared" si="1"/>
        <v>5</v>
      </c>
      <c r="N25" s="33"/>
    </row>
    <row r="26" spans="1:15" s="34" customFormat="1" ht="20.100000000000001" customHeight="1" thickBot="1" x14ac:dyDescent="0.3">
      <c r="A26" s="192"/>
      <c r="B26" s="78" t="s">
        <v>45</v>
      </c>
      <c r="C26" s="22">
        <f>[23]NUMERIK!K48</f>
        <v>1799</v>
      </c>
      <c r="D26" s="73" t="s">
        <v>33</v>
      </c>
      <c r="E26" s="79">
        <f>C26/[23]NUMERIK!K$38*100%</f>
        <v>0.48075895243185462</v>
      </c>
      <c r="F26" s="25">
        <f t="shared" si="0"/>
        <v>1</v>
      </c>
      <c r="G26" s="36" t="str">
        <f>[23]Outcome!Q351</f>
        <v xml:space="preserve">, , , , , , , , , , , , , , , , , , , , , , , , , , , , , , , , , , , , , , , , , , , , </v>
      </c>
      <c r="H26" s="37">
        <f>[23]Outcome!M351</f>
        <v>0</v>
      </c>
      <c r="I26" s="38" t="s">
        <v>33</v>
      </c>
      <c r="J26" s="39">
        <f>IF(H26&gt;C26,0,C26-H26)</f>
        <v>1799</v>
      </c>
      <c r="K26" s="40" t="s">
        <v>33</v>
      </c>
      <c r="L26" s="41">
        <f>J26/[23]NUMERIK!K$38*100%</f>
        <v>0.48075895243185462</v>
      </c>
      <c r="M26" s="42">
        <f t="shared" si="1"/>
        <v>1</v>
      </c>
      <c r="N26" s="33"/>
    </row>
    <row r="27" spans="1:15" s="88" customFormat="1" ht="30" customHeight="1" thickBot="1" x14ac:dyDescent="0.3">
      <c r="A27" s="80" t="s">
        <v>46</v>
      </c>
      <c r="B27" s="81"/>
      <c r="C27" s="55"/>
      <c r="D27" s="55"/>
      <c r="E27" s="82">
        <f>IF(SUM(F22:F26)&gt;0,(SUMIF(F22:F26,"&gt;0",E22:E26)/5),0)</f>
        <v>0.26135756280064137</v>
      </c>
      <c r="F27" s="83"/>
      <c r="G27" s="58"/>
      <c r="H27" s="59"/>
      <c r="I27" s="59"/>
      <c r="J27" s="84"/>
      <c r="K27" s="85"/>
      <c r="L27" s="82">
        <f>IF(SUM(M22:M26)&gt;0,(SUMIF(M22:M26,"&gt;0",L22:L26)/5),0)</f>
        <v>0.26135756280064137</v>
      </c>
      <c r="M27" s="86"/>
      <c r="N27" s="87"/>
    </row>
    <row r="28" spans="1:15" s="34" customFormat="1" ht="27.75" customHeight="1" x14ac:dyDescent="0.25">
      <c r="A28" s="213" t="s">
        <v>47</v>
      </c>
      <c r="B28" s="21" t="s">
        <v>48</v>
      </c>
      <c r="C28" s="22">
        <f>[23]NUMERIK!K51</f>
        <v>6</v>
      </c>
      <c r="D28" s="73" t="s">
        <v>12</v>
      </c>
      <c r="E28" s="89">
        <f>C28/E$7*100%</f>
        <v>2.5000000000000001E-2</v>
      </c>
      <c r="F28" s="25">
        <f t="shared" si="0"/>
        <v>0</v>
      </c>
      <c r="G28" s="36" t="str">
        <f>[23]Outcome!Q396</f>
        <v xml:space="preserve">, , , , , , , , , , , , , , , , , , , , , , , , , , , , , , , , , , , , , , , , , , , , </v>
      </c>
      <c r="H28" s="37">
        <f>[23]Outcome!Q397</f>
        <v>0</v>
      </c>
      <c r="I28" s="38" t="s">
        <v>12</v>
      </c>
      <c r="J28" s="39">
        <f>IF(H28&gt;C28,0,C28-H28)</f>
        <v>6</v>
      </c>
      <c r="K28" s="40" t="s">
        <v>12</v>
      </c>
      <c r="L28" s="41">
        <f>J28/E$7*100%</f>
        <v>2.5000000000000001E-2</v>
      </c>
      <c r="M28" s="42">
        <f t="shared" si="1"/>
        <v>0</v>
      </c>
      <c r="N28" s="33"/>
    </row>
    <row r="29" spans="1:15" s="34" customFormat="1" ht="30" customHeight="1" thickBot="1" x14ac:dyDescent="0.3">
      <c r="A29" s="213"/>
      <c r="B29" s="21" t="s">
        <v>49</v>
      </c>
      <c r="C29" s="22">
        <f>[23]NUMERIK!K53</f>
        <v>3</v>
      </c>
      <c r="D29" s="73" t="s">
        <v>12</v>
      </c>
      <c r="E29" s="89">
        <f>C29/E$7*100%</f>
        <v>1.2500000000000001E-2</v>
      </c>
      <c r="F29" s="25">
        <f t="shared" si="0"/>
        <v>0</v>
      </c>
      <c r="G29" s="45" t="str">
        <f>[23]Outcome!Q441</f>
        <v xml:space="preserve">, , , , , , , , , , , , , , , , , , , , , , , , , , , , , , , , , , , , , , , , , , , , , , , , , , , , , , </v>
      </c>
      <c r="H29" s="37">
        <f>[23]Outcome!Q442</f>
        <v>0</v>
      </c>
      <c r="I29" s="38" t="s">
        <v>12</v>
      </c>
      <c r="J29" s="39">
        <f>IF(H29&gt;C29,0,C29-H29)</f>
        <v>3</v>
      </c>
      <c r="K29" s="40" t="s">
        <v>12</v>
      </c>
      <c r="L29" s="41">
        <f>J29/E$7*100%</f>
        <v>1.2500000000000001E-2</v>
      </c>
      <c r="M29" s="42">
        <f t="shared" si="1"/>
        <v>0</v>
      </c>
      <c r="N29" s="33"/>
    </row>
    <row r="30" spans="1:15" s="88" customFormat="1" ht="30" customHeight="1" thickBot="1" x14ac:dyDescent="0.3">
      <c r="A30" s="90" t="s">
        <v>50</v>
      </c>
      <c r="B30" s="81"/>
      <c r="C30" s="55"/>
      <c r="D30" s="55"/>
      <c r="E30" s="82">
        <f>IF(SUM(F28:F29)&gt;0,(SUMIF(F28:F29,"&gt;0",E28:E29)/2),0)</f>
        <v>0</v>
      </c>
      <c r="F30" s="83"/>
      <c r="G30" s="91"/>
      <c r="H30" s="92"/>
      <c r="I30" s="92"/>
      <c r="J30" s="84"/>
      <c r="K30" s="85"/>
      <c r="L30" s="82">
        <f>IF(SUM(M28:M29)&gt;0,(SUMIF(M28:M29,"&gt;0",L28:L29)/2),0)</f>
        <v>0</v>
      </c>
      <c r="M30" s="86"/>
      <c r="N30" s="87"/>
    </row>
    <row r="31" spans="1:15" s="34" customFormat="1" ht="31.5" customHeight="1" x14ac:dyDescent="0.25">
      <c r="A31" s="192" t="s">
        <v>51</v>
      </c>
      <c r="B31" s="21" t="s">
        <v>52</v>
      </c>
      <c r="C31" s="93">
        <f>[23]NUMERIK!K56</f>
        <v>19</v>
      </c>
      <c r="D31" s="94" t="s">
        <v>12</v>
      </c>
      <c r="E31" s="89">
        <f>C31/E$7*100%</f>
        <v>7.9166666666666663E-2</v>
      </c>
      <c r="F31" s="25">
        <f t="shared" si="0"/>
        <v>0</v>
      </c>
      <c r="G31" s="36" t="str">
        <f>[23]Outcome!Q496</f>
        <v xml:space="preserve">, , , , , , , , , , , , , , , , , , , , , , , , , , , , , , , , , , , , , , , , , , , , </v>
      </c>
      <c r="H31" s="37">
        <f>[23]Outcome!Q497</f>
        <v>0</v>
      </c>
      <c r="I31" s="38" t="s">
        <v>12</v>
      </c>
      <c r="J31" s="39">
        <f>IF(H31&gt;C31,0,C31-H31)</f>
        <v>19</v>
      </c>
      <c r="K31" s="40" t="s">
        <v>12</v>
      </c>
      <c r="L31" s="41">
        <f>J31/E$7*100%</f>
        <v>7.9166666666666663E-2</v>
      </c>
      <c r="M31" s="42">
        <f t="shared" si="1"/>
        <v>0</v>
      </c>
      <c r="N31" s="33"/>
    </row>
    <row r="32" spans="1:15" s="34" customFormat="1" ht="32.25" customHeight="1" x14ac:dyDescent="0.25">
      <c r="A32" s="192"/>
      <c r="B32" s="21" t="s">
        <v>53</v>
      </c>
      <c r="C32" s="93">
        <f>[23]NUMERIK!K59</f>
        <v>29</v>
      </c>
      <c r="D32" s="94" t="s">
        <v>12</v>
      </c>
      <c r="E32" s="89">
        <f>C32/E$7*100%</f>
        <v>0.12083333333333333</v>
      </c>
      <c r="F32" s="25">
        <f t="shared" si="0"/>
        <v>0</v>
      </c>
      <c r="G32" s="36" t="str">
        <f>[23]Outcome!Q541</f>
        <v xml:space="preserve">, , , , , , , , , , , , , , , , , , , , , , , , , , , , , , , , , , , , , , , , , , , , </v>
      </c>
      <c r="H32" s="37">
        <f>[23]Outcome!Q542</f>
        <v>0</v>
      </c>
      <c r="I32" s="38" t="s">
        <v>12</v>
      </c>
      <c r="J32" s="39">
        <f>IF(H32&gt;C32,0,C32-H32)</f>
        <v>29</v>
      </c>
      <c r="K32" s="40" t="s">
        <v>12</v>
      </c>
      <c r="L32" s="41">
        <f>J32/E$7*100%</f>
        <v>0.12083333333333333</v>
      </c>
      <c r="M32" s="42">
        <f t="shared" si="1"/>
        <v>0</v>
      </c>
      <c r="N32" s="33"/>
    </row>
    <row r="33" spans="1:14" s="34" customFormat="1" ht="30.75" customHeight="1" thickBot="1" x14ac:dyDescent="0.3">
      <c r="A33" s="192"/>
      <c r="B33" s="21" t="s">
        <v>54</v>
      </c>
      <c r="C33" s="93">
        <f>[23]NUMERIK!K61</f>
        <v>206</v>
      </c>
      <c r="D33" s="94" t="s">
        <v>12</v>
      </c>
      <c r="E33" s="89">
        <f>C33/E$7*100%</f>
        <v>0.85833333333333328</v>
      </c>
      <c r="F33" s="25">
        <f t="shared" si="0"/>
        <v>5</v>
      </c>
      <c r="G33" s="36" t="str">
        <f>[23]Outcome!Q586</f>
        <v xml:space="preserve">, , , , , , , , , , , , , , , , , , , , , , , , , , , , , , , , , , , , , , , , , , , , </v>
      </c>
      <c r="H33" s="37">
        <f>[23]Outcome!Q587</f>
        <v>0</v>
      </c>
      <c r="I33" s="38" t="s">
        <v>12</v>
      </c>
      <c r="J33" s="39">
        <f>IF(H33&gt;C33,0,C33-H33)</f>
        <v>206</v>
      </c>
      <c r="K33" s="40" t="s">
        <v>12</v>
      </c>
      <c r="L33" s="41">
        <f>J33/E$7*100%</f>
        <v>0.85833333333333328</v>
      </c>
      <c r="M33" s="42">
        <f t="shared" si="1"/>
        <v>5</v>
      </c>
      <c r="N33" s="33"/>
    </row>
    <row r="34" spans="1:14" s="88" customFormat="1" ht="30" customHeight="1" thickBot="1" x14ac:dyDescent="0.3">
      <c r="A34" s="80" t="s">
        <v>55</v>
      </c>
      <c r="B34" s="81"/>
      <c r="C34" s="55"/>
      <c r="D34" s="55"/>
      <c r="E34" s="82">
        <f>IF(SUM(F31:F33)&gt;0,(SUMIF(F31:F33,"&gt;0",E31:E33)/3),0)</f>
        <v>0.28611111111111109</v>
      </c>
      <c r="F34" s="83"/>
      <c r="G34" s="91"/>
      <c r="H34" s="92"/>
      <c r="I34" s="92"/>
      <c r="J34" s="84"/>
      <c r="K34" s="85"/>
      <c r="L34" s="82">
        <f>IF(SUM(M31:M33)&gt;0,(SUMIF(M31:M33,"&gt;0",L31:L33)/3),0)</f>
        <v>0.28611111111111109</v>
      </c>
      <c r="M34" s="86"/>
      <c r="N34" s="87"/>
    </row>
    <row r="35" spans="1:14" s="34" customFormat="1" ht="24.95" customHeight="1" x14ac:dyDescent="0.25">
      <c r="A35" s="213" t="s">
        <v>56</v>
      </c>
      <c r="B35" s="95" t="s">
        <v>57</v>
      </c>
      <c r="C35" s="93">
        <f>[23]NUMERIK!K64</f>
        <v>0</v>
      </c>
      <c r="D35" s="94" t="s">
        <v>8</v>
      </c>
      <c r="E35" s="79">
        <f>C35/E$5*100%</f>
        <v>0</v>
      </c>
      <c r="F35" s="25">
        <f t="shared" si="0"/>
        <v>0</v>
      </c>
      <c r="G35" s="36" t="str">
        <f>[23]Outcome!Q631</f>
        <v xml:space="preserve">, , , , , , , , , , , , , , , , , , , </v>
      </c>
      <c r="H35" s="27">
        <f>[23]Outcome!Q632</f>
        <v>0</v>
      </c>
      <c r="I35" s="38" t="s">
        <v>8</v>
      </c>
      <c r="J35" s="39">
        <f>IF(H35&gt;C35,0,C35-H35)</f>
        <v>0</v>
      </c>
      <c r="K35" s="40" t="s">
        <v>8</v>
      </c>
      <c r="L35" s="41">
        <f>J35/E$5*100%</f>
        <v>0</v>
      </c>
      <c r="M35" s="42">
        <f t="shared" si="1"/>
        <v>0</v>
      </c>
      <c r="N35" s="33"/>
    </row>
    <row r="36" spans="1:14" s="34" customFormat="1" ht="24.95" customHeight="1" thickBot="1" x14ac:dyDescent="0.3">
      <c r="A36" s="213"/>
      <c r="B36" s="95" t="s">
        <v>58</v>
      </c>
      <c r="C36" s="96">
        <f>[23]NUMERIK!K66</f>
        <v>195</v>
      </c>
      <c r="D36" s="94" t="s">
        <v>8</v>
      </c>
      <c r="E36" s="79">
        <f>C36/E$5*100%</f>
        <v>1</v>
      </c>
      <c r="F36" s="25">
        <f t="shared" si="0"/>
        <v>5</v>
      </c>
      <c r="G36" s="36" t="str">
        <f>[23]Outcome!Q651</f>
        <v xml:space="preserve">, , , , , , , , , , , , , , , , , , , </v>
      </c>
      <c r="H36" s="37">
        <f>[23]Outcome!Q652</f>
        <v>0</v>
      </c>
      <c r="I36" s="97" t="s">
        <v>8</v>
      </c>
      <c r="J36" s="98">
        <f>IF(H36&gt;C36,0,C36-H36)</f>
        <v>195</v>
      </c>
      <c r="K36" s="99" t="s">
        <v>8</v>
      </c>
      <c r="L36" s="100">
        <f>J36/E$5*100%</f>
        <v>1</v>
      </c>
      <c r="M36" s="51">
        <f t="shared" si="1"/>
        <v>5</v>
      </c>
      <c r="N36" s="33"/>
    </row>
    <row r="37" spans="1:14" s="77" customFormat="1" ht="30" customHeight="1" thickBot="1" x14ac:dyDescent="0.3">
      <c r="A37" s="80" t="s">
        <v>59</v>
      </c>
      <c r="B37" s="101"/>
      <c r="C37" s="102"/>
      <c r="D37" s="102"/>
      <c r="E37" s="82">
        <f>IF(SUM(F35:F36)&gt;0,(SUMIF(F35:F36,"&gt;0",E35:E36)/2),0)</f>
        <v>0.5</v>
      </c>
      <c r="F37" s="103"/>
      <c r="G37" s="104"/>
      <c r="H37" s="105"/>
      <c r="I37" s="105"/>
      <c r="J37" s="106"/>
      <c r="K37" s="107"/>
      <c r="L37" s="82">
        <f>IF(SUM(M35:M36)&gt;0,(SUMIF(M35:M36,"&gt;0",L35:L36)/2),0)</f>
        <v>0.5</v>
      </c>
      <c r="M37" s="108"/>
      <c r="N37" s="109"/>
    </row>
    <row r="38" spans="1:14" ht="15" customHeight="1" x14ac:dyDescent="0.25">
      <c r="A38" s="110"/>
      <c r="B38" s="111" t="s">
        <v>60</v>
      </c>
      <c r="D38" s="218" t="s">
        <v>61</v>
      </c>
      <c r="E38" s="219"/>
      <c r="F38" s="222">
        <f>SUM(F12:F36)</f>
        <v>24</v>
      </c>
      <c r="G38" s="112"/>
      <c r="H38" s="112"/>
      <c r="I38" s="112"/>
      <c r="J38" s="112"/>
      <c r="K38" s="238" t="s">
        <v>61</v>
      </c>
      <c r="L38" s="239"/>
      <c r="M38" s="224">
        <f>SUM(M12:M36)</f>
        <v>24</v>
      </c>
    </row>
    <row r="39" spans="1:14" ht="15" customHeight="1" x14ac:dyDescent="0.25">
      <c r="A39" s="110"/>
      <c r="B39" s="113" t="s">
        <v>62</v>
      </c>
      <c r="D39" s="220"/>
      <c r="E39" s="221"/>
      <c r="F39" s="223"/>
      <c r="G39" s="114"/>
      <c r="H39" s="114"/>
      <c r="I39" s="114"/>
      <c r="J39" s="114"/>
      <c r="K39" s="240"/>
      <c r="L39" s="241"/>
      <c r="M39" s="225"/>
    </row>
    <row r="40" spans="1:14" ht="15" customHeight="1" x14ac:dyDescent="0.25">
      <c r="A40" s="110"/>
      <c r="B40" s="115" t="s">
        <v>63</v>
      </c>
      <c r="D40" s="226" t="s">
        <v>64</v>
      </c>
      <c r="E40" s="227"/>
      <c r="F40" s="230" t="str">
        <f>IF(F38="N/A","TIDAK KUMUH",IF(F38&gt;=71,"KUMUH BERAT",IF(AND(F38&lt;=70,F38&gt;=45),"KUMUH SEDANG",IF(AND(F38&lt;=44,F38&gt;=19),"KUMUH RINGAN","TIDAK KUMUH"))))</f>
        <v>KUMUH RINGAN</v>
      </c>
      <c r="G40" s="116"/>
      <c r="H40" s="116"/>
      <c r="I40" s="116"/>
      <c r="J40" s="116"/>
      <c r="K40" s="232" t="s">
        <v>64</v>
      </c>
      <c r="L40" s="233"/>
      <c r="M40" s="236" t="str">
        <f>IF(M38="N/A","TIDAK KUMUH",IF(M38&gt;=71,"KUMUH BERAT",IF(AND(M38&lt;=70,M38&gt;=45),"KUMUH SEDANG",IF(AND(M38&lt;=44,M38&gt;=19),"KUMUH RINGAN","TIDAK KUMUH"))))</f>
        <v>KUMUH RINGAN</v>
      </c>
    </row>
    <row r="41" spans="1:14" ht="15" customHeight="1" thickBot="1" x14ac:dyDescent="0.3">
      <c r="A41" s="110"/>
      <c r="B41" s="117" t="s">
        <v>65</v>
      </c>
      <c r="D41" s="228"/>
      <c r="E41" s="229"/>
      <c r="F41" s="231" t="str">
        <f>IF(E41&gt;71,"KB",IF(E41&gt;=47,"KS","KR"))</f>
        <v>KR</v>
      </c>
      <c r="G41" s="116"/>
      <c r="H41" s="116"/>
      <c r="I41" s="116"/>
      <c r="J41" s="116"/>
      <c r="K41" s="234"/>
      <c r="L41" s="235"/>
      <c r="M41" s="237" t="str">
        <f>IF(L41&gt;71,"KB",IF(L41&gt;=47,"KS","KR"))</f>
        <v>KR</v>
      </c>
    </row>
    <row r="42" spans="1:14" ht="21" customHeight="1" x14ac:dyDescent="0.25">
      <c r="B42" s="118" t="s">
        <v>66</v>
      </c>
      <c r="C42" s="119"/>
      <c r="D42" s="120"/>
      <c r="E42" s="121" t="s">
        <v>67</v>
      </c>
      <c r="F42" s="122">
        <f>AVERAGE(E15,E18,E21,E27,E30,E34,E37)</f>
        <v>0.23597440007415313</v>
      </c>
      <c r="J42" s="123"/>
      <c r="K42" s="124"/>
      <c r="L42" s="125" t="s">
        <v>67</v>
      </c>
      <c r="M42" s="126">
        <f>AVERAGE(L15,L18,L21,L27,L30,L34,L37)</f>
        <v>0.23597440007415313</v>
      </c>
    </row>
    <row r="43" spans="1:14" ht="21" customHeight="1" x14ac:dyDescent="0.25">
      <c r="B43" s="127"/>
      <c r="C43" s="119"/>
      <c r="D43" s="120"/>
      <c r="E43" s="121" t="s">
        <v>68</v>
      </c>
      <c r="F43" s="122">
        <v>0</v>
      </c>
      <c r="J43" s="123"/>
      <c r="K43" s="124"/>
      <c r="L43" s="125" t="s">
        <v>68</v>
      </c>
      <c r="M43" s="126">
        <f>(F42-M42)/F42</f>
        <v>0</v>
      </c>
      <c r="N43"/>
    </row>
    <row r="44" spans="1:14" x14ac:dyDescent="0.25">
      <c r="M44" s="128"/>
    </row>
    <row r="55" spans="12:12" x14ac:dyDescent="0.25">
      <c r="L55" s="129"/>
    </row>
  </sheetData>
  <mergeCells count="23">
    <mergeCell ref="M38:M39"/>
    <mergeCell ref="D40:E41"/>
    <mergeCell ref="F40:F41"/>
    <mergeCell ref="K40:L41"/>
    <mergeCell ref="M40:M41"/>
    <mergeCell ref="K38:L39"/>
    <mergeCell ref="A28:A29"/>
    <mergeCell ref="A31:A33"/>
    <mergeCell ref="A35:A36"/>
    <mergeCell ref="D38:E39"/>
    <mergeCell ref="F38:F39"/>
    <mergeCell ref="J9:M10"/>
    <mergeCell ref="G10:I10"/>
    <mergeCell ref="A12:A14"/>
    <mergeCell ref="A16:A17"/>
    <mergeCell ref="A19:A20"/>
    <mergeCell ref="G9:I9"/>
    <mergeCell ref="A22:A26"/>
    <mergeCell ref="A1:F1"/>
    <mergeCell ref="A2:B2"/>
    <mergeCell ref="A9:A11"/>
    <mergeCell ref="B9:B11"/>
    <mergeCell ref="C9:F10"/>
  </mergeCells>
  <conditionalFormatting sqref="F40:J41">
    <cfRule type="expression" dxfId="125" priority="6">
      <formula>F40="KUMUH SEDANG"</formula>
    </cfRule>
    <cfRule type="expression" dxfId="124" priority="7">
      <formula>F40="TIDAK KUMUH"</formula>
    </cfRule>
    <cfRule type="expression" dxfId="123" priority="8">
      <formula>F40="KUMUH BERAT"</formula>
    </cfRule>
    <cfRule type="expression" dxfId="122" priority="9">
      <formula>F40="KUMUH RINGAN"</formula>
    </cfRule>
  </conditionalFormatting>
  <conditionalFormatting sqref="G12:G14 G16:G17 G19:G20 G22:G26 G28:G29 G31:G33 G35:G36">
    <cfRule type="cellIs" dxfId="121" priority="1" operator="equal">
      <formula>", , , , , , "</formula>
    </cfRule>
  </conditionalFormatting>
  <conditionalFormatting sqref="M40:M41">
    <cfRule type="expression" dxfId="120" priority="2">
      <formula>M40="KUMUH SEDANG"</formula>
    </cfRule>
    <cfRule type="expression" dxfId="119" priority="3">
      <formula>M40="TIDAK KUMUH"</formula>
    </cfRule>
    <cfRule type="expression" dxfId="118" priority="4">
      <formula>M40="KUMUH BERAT"</formula>
    </cfRule>
    <cfRule type="expression" dxfId="117" priority="5">
      <formula>M40="KUMUH RINGAN"</formula>
    </cfRule>
  </conditionalFormatting>
  <pageMargins left="0.7" right="0.2" top="0.75" bottom="0.75" header="0.3" footer="0.3"/>
  <pageSetup paperSize="9" scale="70" orientation="portrait" horizontalDpi="4294967293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35BB8-6619-435D-9F97-86A4F8FAD066}">
  <sheetPr>
    <tabColor rgb="FF0070C0"/>
  </sheetPr>
  <dimension ref="A1:O55"/>
  <sheetViews>
    <sheetView showGridLines="0" topLeftCell="A5" zoomScale="70" zoomScaleNormal="70" zoomScaleSheetLayoutView="75" zoomScalePageLayoutView="90" workbookViewId="0">
      <selection activeCell="F12" sqref="F12:F37"/>
    </sheetView>
  </sheetViews>
  <sheetFormatPr defaultColWidth="8.85546875" defaultRowHeight="15" x14ac:dyDescent="0.25"/>
  <cols>
    <col min="1" max="1" width="24" customWidth="1"/>
    <col min="2" max="2" width="45.85546875" customWidth="1"/>
    <col min="3" max="3" width="12.42578125" customWidth="1"/>
    <col min="4" max="4" width="9.140625" customWidth="1"/>
    <col min="5" max="5" width="12.140625" customWidth="1"/>
    <col min="6" max="6" width="9.140625" customWidth="1"/>
    <col min="7" max="7" width="36.42578125" customWidth="1"/>
    <col min="8" max="9" width="9.140625" customWidth="1"/>
    <col min="10" max="10" width="10" bestFit="1" customWidth="1"/>
    <col min="11" max="12" width="9.140625" customWidth="1"/>
    <col min="13" max="13" width="11.28515625" customWidth="1"/>
    <col min="14" max="14" width="2.28515625" style="3" customWidth="1"/>
  </cols>
  <sheetData>
    <row r="1" spans="1:14" ht="18.75" customHeight="1" x14ac:dyDescent="0.3">
      <c r="A1" s="193" t="s">
        <v>0</v>
      </c>
      <c r="B1" s="193"/>
      <c r="C1" s="193"/>
      <c r="D1" s="193"/>
      <c r="E1" s="193"/>
      <c r="F1" s="193"/>
      <c r="G1" s="1"/>
      <c r="H1" s="1"/>
      <c r="I1" s="1"/>
      <c r="J1" s="1"/>
      <c r="K1" s="1"/>
      <c r="L1" s="1"/>
      <c r="M1" s="2"/>
    </row>
    <row r="2" spans="1:14" ht="3.75" customHeight="1" x14ac:dyDescent="0.25">
      <c r="A2" s="194"/>
      <c r="B2" s="194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4" ht="15.75" customHeight="1" x14ac:dyDescent="0.25">
      <c r="A3" s="6" t="s">
        <v>1</v>
      </c>
      <c r="B3" s="6" t="str">
        <f>": "&amp;[24]NUMERIK!E14</f>
        <v>: JAWA TIMUR</v>
      </c>
      <c r="C3" s="7" t="s">
        <v>2</v>
      </c>
      <c r="D3" s="8"/>
      <c r="E3" s="9">
        <f>[24]NUMERIK!K6</f>
        <v>59.199999999999989</v>
      </c>
      <c r="F3" t="s">
        <v>3</v>
      </c>
    </row>
    <row r="4" spans="1:14" ht="15.75" customHeight="1" x14ac:dyDescent="0.25">
      <c r="A4" s="6" t="s">
        <v>4</v>
      </c>
      <c r="B4" s="6" t="str">
        <f>": "&amp;[24]NUMERIK!E12</f>
        <v>: KAB. MAGETAN</v>
      </c>
      <c r="C4" s="7" t="s">
        <v>5</v>
      </c>
      <c r="D4" s="8"/>
      <c r="E4" s="9">
        <f>[24]NUMERIK!K8</f>
        <v>59.199999999999989</v>
      </c>
      <c r="F4" t="s">
        <v>3</v>
      </c>
    </row>
    <row r="5" spans="1:14" ht="15.75" customHeight="1" x14ac:dyDescent="0.25">
      <c r="A5" s="10" t="s">
        <v>6</v>
      </c>
      <c r="B5" s="10" t="str">
        <f>": "&amp;[24]NUMERIK!E10</f>
        <v>: MAGETAN</v>
      </c>
      <c r="C5" s="7" t="s">
        <v>7</v>
      </c>
      <c r="D5" s="8"/>
      <c r="E5" s="11">
        <f>[24]NUMERIK!K10</f>
        <v>807</v>
      </c>
      <c r="F5" t="s">
        <v>8</v>
      </c>
    </row>
    <row r="6" spans="1:14" ht="15.75" customHeight="1" x14ac:dyDescent="0.25">
      <c r="A6" s="10" t="s">
        <v>9</v>
      </c>
      <c r="B6" s="10" t="str">
        <f>": "&amp;[24]NUMERIK!E6</f>
        <v>: BARON</v>
      </c>
      <c r="C6" s="7" t="s">
        <v>10</v>
      </c>
      <c r="D6" s="8"/>
      <c r="E6" s="12">
        <f>[24]NUMERIK!K12</f>
        <v>2644</v>
      </c>
      <c r="F6" t="s">
        <v>11</v>
      </c>
    </row>
    <row r="7" spans="1:14" ht="15.75" customHeight="1" x14ac:dyDescent="0.25">
      <c r="A7" s="4"/>
      <c r="B7" s="13"/>
      <c r="C7" s="7" t="s">
        <v>7</v>
      </c>
      <c r="D7" s="5"/>
      <c r="E7" s="12">
        <f>[24]NUMERIK!K14</f>
        <v>917</v>
      </c>
      <c r="F7" t="s">
        <v>12</v>
      </c>
    </row>
    <row r="8" spans="1:14" ht="5.25" customHeight="1" thickBot="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4" ht="12" customHeight="1" x14ac:dyDescent="0.25">
      <c r="A9" s="195" t="s">
        <v>13</v>
      </c>
      <c r="B9" s="197" t="s">
        <v>14</v>
      </c>
      <c r="C9" s="199" t="s">
        <v>15</v>
      </c>
      <c r="D9" s="200"/>
      <c r="E9" s="200"/>
      <c r="F9" s="201"/>
      <c r="G9" s="216" t="s">
        <v>16</v>
      </c>
      <c r="H9" s="217"/>
      <c r="I9" s="217"/>
      <c r="J9" s="205" t="s">
        <v>17</v>
      </c>
      <c r="K9" s="206"/>
      <c r="L9" s="206"/>
      <c r="M9" s="207"/>
    </row>
    <row r="10" spans="1:14" ht="9.75" customHeight="1" x14ac:dyDescent="0.25">
      <c r="A10" s="196"/>
      <c r="B10" s="198"/>
      <c r="C10" s="202"/>
      <c r="D10" s="203"/>
      <c r="E10" s="203"/>
      <c r="F10" s="204"/>
      <c r="G10" s="211" t="s">
        <v>18</v>
      </c>
      <c r="H10" s="212"/>
      <c r="I10" s="212"/>
      <c r="J10" s="208"/>
      <c r="K10" s="209"/>
      <c r="L10" s="209"/>
      <c r="M10" s="210"/>
    </row>
    <row r="11" spans="1:14" ht="15.75" thickBot="1" x14ac:dyDescent="0.3">
      <c r="A11" s="196"/>
      <c r="B11" s="198"/>
      <c r="C11" s="14" t="s">
        <v>19</v>
      </c>
      <c r="D11" s="14" t="s">
        <v>20</v>
      </c>
      <c r="E11" s="14" t="s">
        <v>21</v>
      </c>
      <c r="F11" s="15" t="s">
        <v>22</v>
      </c>
      <c r="G11" s="16" t="s">
        <v>23</v>
      </c>
      <c r="H11" s="17" t="s">
        <v>24</v>
      </c>
      <c r="I11" s="17" t="s">
        <v>20</v>
      </c>
      <c r="J11" s="18" t="s">
        <v>19</v>
      </c>
      <c r="K11" s="19" t="s">
        <v>20</v>
      </c>
      <c r="L11" s="19" t="s">
        <v>25</v>
      </c>
      <c r="M11" s="20" t="s">
        <v>22</v>
      </c>
    </row>
    <row r="12" spans="1:14" s="34" customFormat="1" ht="24.95" customHeight="1" x14ac:dyDescent="0.25">
      <c r="A12" s="213" t="s">
        <v>26</v>
      </c>
      <c r="B12" s="21" t="s">
        <v>27</v>
      </c>
      <c r="C12" s="22">
        <f>[24]NUMERIK!K18</f>
        <v>73</v>
      </c>
      <c r="D12" s="23" t="s">
        <v>8</v>
      </c>
      <c r="E12" s="24">
        <f>C12/E5*100%</f>
        <v>9.0458488228004952E-2</v>
      </c>
      <c r="F12" s="25">
        <f t="shared" ref="F12:F36" si="0">IF(AND(E12&gt;=24.995%,E12&lt;50.995%),1,IF(AND(E12&gt;=50.995%,E12&lt;75.995%),3,IF(E12&gt;=75.995%,5,0)))</f>
        <v>0</v>
      </c>
      <c r="G12" s="26" t="str">
        <f>[24]Outcome!Q6</f>
        <v xml:space="preserve">, , , , , , , , , , , , , , , , , , , , , , , , , , , , , , , , , , , , , , , , , , , , </v>
      </c>
      <c r="H12" s="27">
        <f>[24]Outcome!M6</f>
        <v>0</v>
      </c>
      <c r="I12" s="28" t="s">
        <v>8</v>
      </c>
      <c r="J12" s="29">
        <f>IF(H12&gt;C12,0,C12-H12)</f>
        <v>73</v>
      </c>
      <c r="K12" s="30" t="s">
        <v>8</v>
      </c>
      <c r="L12" s="31">
        <f>J12/E$5*100%</f>
        <v>9.0458488228004952E-2</v>
      </c>
      <c r="M12" s="32">
        <f t="shared" ref="M12:M36" si="1">IF(AND(L12&gt;=24.995%,L12&lt;50.995%),1,IF(AND(L12&gt;=50.995%,L12&lt;75.995%),3,IF(L12&gt;=75.995%,5,0)))</f>
        <v>0</v>
      </c>
      <c r="N12" s="33"/>
    </row>
    <row r="13" spans="1:14" s="34" customFormat="1" ht="24.95" customHeight="1" x14ac:dyDescent="0.25">
      <c r="A13" s="213"/>
      <c r="B13" s="21" t="s">
        <v>28</v>
      </c>
      <c r="C13" s="35">
        <f>[24]NUMERIK!K20</f>
        <v>0</v>
      </c>
      <c r="D13" s="23" t="s">
        <v>3</v>
      </c>
      <c r="E13" s="24">
        <f>C13/E4*100%</f>
        <v>0</v>
      </c>
      <c r="F13" s="25">
        <f t="shared" si="0"/>
        <v>0</v>
      </c>
      <c r="G13" s="36" t="str">
        <f>[24]Outcome!Q51</f>
        <v xml:space="preserve">, , , , , , , , , , , , , , , , , , , </v>
      </c>
      <c r="H13" s="37">
        <f>[24]Outcome!M51</f>
        <v>0</v>
      </c>
      <c r="I13" s="38" t="s">
        <v>3</v>
      </c>
      <c r="J13" s="39">
        <f>IF(H13&gt;C13,0,C13-H13)</f>
        <v>0</v>
      </c>
      <c r="K13" s="40" t="s">
        <v>3</v>
      </c>
      <c r="L13" s="41">
        <f>J13/E$4*100%</f>
        <v>0</v>
      </c>
      <c r="M13" s="42">
        <f t="shared" si="1"/>
        <v>0</v>
      </c>
      <c r="N13" s="33"/>
    </row>
    <row r="14" spans="1:14" s="34" customFormat="1" ht="24.95" customHeight="1" thickBot="1" x14ac:dyDescent="0.3">
      <c r="A14" s="214"/>
      <c r="B14" s="43" t="s">
        <v>29</v>
      </c>
      <c r="C14" s="35">
        <f>[24]NUMERIK!K22</f>
        <v>57</v>
      </c>
      <c r="D14" s="23" t="s">
        <v>8</v>
      </c>
      <c r="E14" s="24">
        <f>C14/E5*100%</f>
        <v>7.0631970260223054E-2</v>
      </c>
      <c r="F14" s="44">
        <f t="shared" si="0"/>
        <v>0</v>
      </c>
      <c r="G14" s="45" t="str">
        <f>[24]Outcome!Q71</f>
        <v xml:space="preserve">Bangunan Gedung RT004-RW001, Bangunan Gedung RT006-RW001, Bangunan Gedung RT001-RW001, Bangunan Gedung RT007-RW001, Bangunan Gedung RT008-RW001, Bangunan Gedung RT002-RW002, Bangunan Gedung RT003-RW002, Bangunan Gedung RT005-RW002, Bangunan Gedung RT006-RW002, Bangunan Gedung RT004-RW002, Bangunan Gedung RT001-RW003, Bangunan Gedung RT004-RW003, Bangunan Gedung RT002-RW003, Bangunan Gedung RT003-RW003, Bangunan Gedung RT004-RW001, , , , , , , , , , , , , , , , , , , , , , , , , , , , , , </v>
      </c>
      <c r="H14" s="46">
        <f>[24]Outcome!M71</f>
        <v>25</v>
      </c>
      <c r="I14" s="47" t="s">
        <v>8</v>
      </c>
      <c r="J14" s="48">
        <f>IF(H14&gt;C14,0,C14-H14)</f>
        <v>32</v>
      </c>
      <c r="K14" s="49" t="s">
        <v>8</v>
      </c>
      <c r="L14" s="50">
        <f>J14/E$5*100%</f>
        <v>3.9653035935563817E-2</v>
      </c>
      <c r="M14" s="51">
        <f t="shared" si="1"/>
        <v>0</v>
      </c>
      <c r="N14" s="33"/>
    </row>
    <row r="15" spans="1:14" s="34" customFormat="1" ht="30" customHeight="1" thickBot="1" x14ac:dyDescent="0.3">
      <c r="A15" s="52" t="s">
        <v>30</v>
      </c>
      <c r="B15" s="53"/>
      <c r="C15" s="54"/>
      <c r="D15" s="55"/>
      <c r="E15" s="56">
        <f>IF(SUM(F12:F14)&gt;0,(SUMIF(F12:F14,"&gt;0",E12:E14)/3),0)</f>
        <v>0</v>
      </c>
      <c r="F15" s="57"/>
      <c r="G15" s="58"/>
      <c r="H15" s="59"/>
      <c r="I15" s="59"/>
      <c r="J15" s="60"/>
      <c r="K15" s="61"/>
      <c r="L15" s="56">
        <f>IF(SUM(M12:M14)&gt;0,(SUMIF(M12:M14,"&gt;0",L12:L14)/3),0)</f>
        <v>0</v>
      </c>
      <c r="M15" s="62"/>
      <c r="N15" s="33"/>
    </row>
    <row r="16" spans="1:14" s="34" customFormat="1" ht="24.95" customHeight="1" x14ac:dyDescent="0.25">
      <c r="A16" s="215" t="s">
        <v>31</v>
      </c>
      <c r="B16" s="63" t="s">
        <v>32</v>
      </c>
      <c r="C16" s="64">
        <f>[24]NUMERIK!K25-[24]NUMERIK!K26</f>
        <v>900</v>
      </c>
      <c r="D16" s="65" t="s">
        <v>33</v>
      </c>
      <c r="E16" s="66">
        <f>C16/[24]NUMERIK!K$25*100%</f>
        <v>6.7552353073632068E-2</v>
      </c>
      <c r="F16" s="67">
        <f t="shared" si="0"/>
        <v>0</v>
      </c>
      <c r="G16" s="36" t="str">
        <f>[24]Outcome!Q116</f>
        <v xml:space="preserve">, , , , , , , , , , , , , , , , , , , </v>
      </c>
      <c r="H16" s="27">
        <f>[24]Outcome!M116</f>
        <v>0</v>
      </c>
      <c r="I16" s="68" t="s">
        <v>33</v>
      </c>
      <c r="J16" s="69">
        <f>IF(H16&gt;C16,0,C16-H16)</f>
        <v>900</v>
      </c>
      <c r="K16" s="70" t="s">
        <v>33</v>
      </c>
      <c r="L16" s="71">
        <f>J16/[24]NUMERIK!K$25*100%</f>
        <v>6.7552353073632068E-2</v>
      </c>
      <c r="M16" s="72">
        <f t="shared" si="1"/>
        <v>0</v>
      </c>
      <c r="N16" s="33"/>
    </row>
    <row r="17" spans="1:15" s="34" customFormat="1" ht="24.95" customHeight="1" thickBot="1" x14ac:dyDescent="0.3">
      <c r="A17" s="192"/>
      <c r="B17" s="21" t="s">
        <v>34</v>
      </c>
      <c r="C17" s="22">
        <f>[24]NUMERIK!K28</f>
        <v>950</v>
      </c>
      <c r="D17" s="73" t="s">
        <v>33</v>
      </c>
      <c r="E17" s="24">
        <f>C17/[24]NUMERIK!K$25*100%</f>
        <v>7.1305261577722739E-2</v>
      </c>
      <c r="F17" s="25">
        <f t="shared" si="0"/>
        <v>0</v>
      </c>
      <c r="G17" s="45" t="str">
        <f>[24]Outcome!Q136</f>
        <v xml:space="preserve">Jalan Lingkungan RT006-RW001, Jalan Lingkungan RT001-RW001, Jalan Lingkungan RT006-RW001, Jalan Lingkungan RT004-RW001, Jalan Lingkungan RT007-RW001, Jalan Lingkungan RT002-RW001, Jalan Lingkungan RT003-RW001, , , , , , , , , , , , , , , , , , , , , , , , , , , , , , , , , , , , , , </v>
      </c>
      <c r="H17" s="37">
        <f>[24]Outcome!M136</f>
        <v>1776</v>
      </c>
      <c r="I17" s="38" t="s">
        <v>33</v>
      </c>
      <c r="J17" s="39">
        <f>IF(H17&gt;C17,0,C17-H17)</f>
        <v>0</v>
      </c>
      <c r="K17" s="40" t="s">
        <v>33</v>
      </c>
      <c r="L17" s="41">
        <f>J17/[24]NUMERIK!K$25*100%</f>
        <v>0</v>
      </c>
      <c r="M17" s="42">
        <f t="shared" si="1"/>
        <v>0</v>
      </c>
      <c r="N17" s="33"/>
    </row>
    <row r="18" spans="1:15" s="34" customFormat="1" ht="30" customHeight="1" thickBot="1" x14ac:dyDescent="0.3">
      <c r="A18" s="52" t="s">
        <v>35</v>
      </c>
      <c r="B18" s="53"/>
      <c r="C18" s="54"/>
      <c r="D18" s="55"/>
      <c r="E18" s="56">
        <f>IF(SUM(F16:F17)&gt;0,(SUMIF(F16:F17,"&gt;0",E16:E17)/2),0)</f>
        <v>0</v>
      </c>
      <c r="F18" s="57"/>
      <c r="G18" s="58"/>
      <c r="H18" s="59"/>
      <c r="I18" s="59"/>
      <c r="J18" s="60"/>
      <c r="K18" s="61"/>
      <c r="L18" s="56">
        <f>IF(SUM(M16:M17)&gt;0,(SUMIF(M16:M17,"&gt;0",L16:L17)/2),0)</f>
        <v>0</v>
      </c>
      <c r="M18" s="62"/>
      <c r="N18" s="33"/>
    </row>
    <row r="19" spans="1:15" s="34" customFormat="1" ht="24.95" customHeight="1" x14ac:dyDescent="0.25">
      <c r="A19" s="213" t="s">
        <v>36</v>
      </c>
      <c r="B19" s="21" t="s">
        <v>37</v>
      </c>
      <c r="C19" s="22">
        <f>[24]NUMERIK!K31</f>
        <v>52</v>
      </c>
      <c r="D19" s="73" t="s">
        <v>12</v>
      </c>
      <c r="E19" s="74">
        <f>C19/E$7*100%</f>
        <v>5.6706652126499453E-2</v>
      </c>
      <c r="F19" s="25">
        <f t="shared" si="0"/>
        <v>0</v>
      </c>
      <c r="G19" s="36" t="str">
        <f>[24]Outcome!Q181</f>
        <v xml:space="preserve">, , , , , , , , , , , , , , , , , , , </v>
      </c>
      <c r="H19" s="27">
        <f>[24]Outcome!Q182</f>
        <v>0</v>
      </c>
      <c r="I19" s="38" t="s">
        <v>12</v>
      </c>
      <c r="J19" s="39">
        <f>IF(H19&gt;C19,0,C19-H19)</f>
        <v>52</v>
      </c>
      <c r="K19" s="75" t="s">
        <v>12</v>
      </c>
      <c r="L19" s="76">
        <f>J19/E$7*100%</f>
        <v>5.6706652126499453E-2</v>
      </c>
      <c r="M19" s="42">
        <f t="shared" si="1"/>
        <v>0</v>
      </c>
      <c r="N19" s="33"/>
    </row>
    <row r="20" spans="1:15" s="34" customFormat="1" ht="24.95" customHeight="1" thickBot="1" x14ac:dyDescent="0.3">
      <c r="A20" s="213"/>
      <c r="B20" s="21" t="s">
        <v>38</v>
      </c>
      <c r="C20" s="22">
        <f>[24]NUMERIK!K33</f>
        <v>61</v>
      </c>
      <c r="D20" s="73" t="s">
        <v>12</v>
      </c>
      <c r="E20" s="74">
        <f>C20/E$7*100%</f>
        <v>6.6521264994547441E-2</v>
      </c>
      <c r="F20" s="25">
        <f t="shared" si="0"/>
        <v>0</v>
      </c>
      <c r="G20" s="45" t="str">
        <f>[24]Outcome!Q201</f>
        <v xml:space="preserve">, , , , , , , , , , , , , , , , , , , , , , , , , , , , , , , , , , , , , , , , , , , , </v>
      </c>
      <c r="H20" s="37">
        <f>[24]Outcome!Q202</f>
        <v>0</v>
      </c>
      <c r="I20" s="38" t="s">
        <v>12</v>
      </c>
      <c r="J20" s="39">
        <f>IF(H20&gt;C20,0,C20-H20)</f>
        <v>61</v>
      </c>
      <c r="K20" s="75" t="s">
        <v>12</v>
      </c>
      <c r="L20" s="76">
        <f>J20/E$7*100%</f>
        <v>6.6521264994547441E-2</v>
      </c>
      <c r="M20" s="42">
        <f t="shared" si="1"/>
        <v>0</v>
      </c>
      <c r="N20" s="33"/>
    </row>
    <row r="21" spans="1:15" s="77" customFormat="1" ht="30" customHeight="1" thickBot="1" x14ac:dyDescent="0.3">
      <c r="A21" s="52" t="s">
        <v>39</v>
      </c>
      <c r="B21" s="53"/>
      <c r="C21" s="54"/>
      <c r="D21" s="55"/>
      <c r="E21" s="56">
        <f>IF(SUM(F19:F20)&gt;0,(SUMIF(F19:F20,"&gt;0",E19:E20)/2),0)</f>
        <v>0</v>
      </c>
      <c r="F21" s="57"/>
      <c r="G21" s="58"/>
      <c r="H21" s="59"/>
      <c r="I21" s="59"/>
      <c r="J21" s="60"/>
      <c r="K21" s="61"/>
      <c r="L21" s="56">
        <f>IF(SUM(M19:M20)&gt;0,(SUMIF(M19:M20,"&gt;0",L19:L20)/2),0)</f>
        <v>0</v>
      </c>
      <c r="M21" s="62"/>
      <c r="N21" s="33"/>
      <c r="O21" s="34"/>
    </row>
    <row r="22" spans="1:15" s="34" customFormat="1" ht="20.100000000000001" customHeight="1" x14ac:dyDescent="0.25">
      <c r="A22" s="192" t="s">
        <v>40</v>
      </c>
      <c r="B22" s="78" t="s">
        <v>41</v>
      </c>
      <c r="C22" s="22">
        <f>[24]NUMERIK!K36</f>
        <v>0</v>
      </c>
      <c r="D22" s="73" t="s">
        <v>3</v>
      </c>
      <c r="E22" s="79">
        <f>C22/E$4*100%</f>
        <v>0</v>
      </c>
      <c r="F22" s="25">
        <f t="shared" si="0"/>
        <v>0</v>
      </c>
      <c r="G22" s="36" t="str">
        <f>[24]Outcome!Q246</f>
        <v xml:space="preserve">, , , , , , , , , , , , , , , , , , , </v>
      </c>
      <c r="H22" s="27">
        <f>[24]Outcome!M246</f>
        <v>0</v>
      </c>
      <c r="I22" s="38" t="s">
        <v>3</v>
      </c>
      <c r="J22" s="39">
        <f>IF(H22&gt;C22,0,C22-H22)</f>
        <v>0</v>
      </c>
      <c r="K22" s="40" t="s">
        <v>3</v>
      </c>
      <c r="L22" s="41">
        <f>J22/E$4*100%</f>
        <v>0</v>
      </c>
      <c r="M22" s="42">
        <f t="shared" si="1"/>
        <v>0</v>
      </c>
      <c r="N22" s="33"/>
    </row>
    <row r="23" spans="1:15" s="34" customFormat="1" ht="25.5" customHeight="1" x14ac:dyDescent="0.25">
      <c r="A23" s="192"/>
      <c r="B23" s="21" t="s">
        <v>42</v>
      </c>
      <c r="C23" s="22">
        <f>([24]NUMERIK!K38-[24]NUMERIK!K40)</f>
        <v>1535</v>
      </c>
      <c r="D23" s="73" t="s">
        <v>33</v>
      </c>
      <c r="E23" s="79">
        <f>C23/[24]NUMERIK!K$38*100%</f>
        <v>0.10608154803040774</v>
      </c>
      <c r="F23" s="25">
        <f t="shared" si="0"/>
        <v>0</v>
      </c>
      <c r="G23" s="36" t="str">
        <f>[24]Outcome!Q266</f>
        <v xml:space="preserve">, , , , , , , , , , , , , , , , , , , , , , , , , , , , , , , , , , , , , , , , , , , , </v>
      </c>
      <c r="H23" s="37">
        <f>[24]Outcome!M266</f>
        <v>0</v>
      </c>
      <c r="I23" s="38" t="s">
        <v>33</v>
      </c>
      <c r="J23" s="39">
        <f>IF(H23&gt;C23,0,C23-H23)</f>
        <v>1535</v>
      </c>
      <c r="K23" s="40" t="s">
        <v>33</v>
      </c>
      <c r="L23" s="41">
        <f>J23/[24]NUMERIK!K$38*100%</f>
        <v>0.10608154803040774</v>
      </c>
      <c r="M23" s="42">
        <f t="shared" si="1"/>
        <v>0</v>
      </c>
      <c r="N23" s="33"/>
    </row>
    <row r="24" spans="1:15" s="34" customFormat="1" ht="20.100000000000001" customHeight="1" x14ac:dyDescent="0.25">
      <c r="A24" s="192"/>
      <c r="B24" s="21" t="s">
        <v>43</v>
      </c>
      <c r="C24" s="22">
        <f>[24]NUMERIK!K42</f>
        <v>450</v>
      </c>
      <c r="D24" s="73" t="s">
        <v>33</v>
      </c>
      <c r="E24" s="79">
        <f>C24/[24]NUMERIK!K$38*100%</f>
        <v>3.1098825155494125E-2</v>
      </c>
      <c r="F24" s="25">
        <f t="shared" si="0"/>
        <v>0</v>
      </c>
      <c r="G24" s="36" t="str">
        <f>[24]Outcome!Q311</f>
        <v xml:space="preserve">, , , , , , , , , , , , , , , , , , , </v>
      </c>
      <c r="H24" s="37">
        <f>[24]Outcome!M311</f>
        <v>0</v>
      </c>
      <c r="I24" s="38" t="s">
        <v>33</v>
      </c>
      <c r="J24" s="39">
        <f>IF(H24&gt;C24,0,C24-H24)</f>
        <v>450</v>
      </c>
      <c r="K24" s="40" t="s">
        <v>33</v>
      </c>
      <c r="L24" s="41">
        <f>J24/[24]NUMERIK!K$38*100%</f>
        <v>3.1098825155494125E-2</v>
      </c>
      <c r="M24" s="42">
        <f t="shared" si="1"/>
        <v>0</v>
      </c>
      <c r="N24" s="33"/>
    </row>
    <row r="25" spans="1:15" s="34" customFormat="1" ht="20.100000000000001" customHeight="1" x14ac:dyDescent="0.25">
      <c r="A25" s="192"/>
      <c r="B25" s="21" t="s">
        <v>44</v>
      </c>
      <c r="C25" s="22">
        <f>[24]NUMERIK!K45</f>
        <v>10905</v>
      </c>
      <c r="D25" s="73" t="s">
        <v>33</v>
      </c>
      <c r="E25" s="79">
        <f>C25/[24]NUMERIK!K$38*100%</f>
        <v>0.75362819626814093</v>
      </c>
      <c r="F25" s="25">
        <f t="shared" si="0"/>
        <v>3</v>
      </c>
      <c r="G25" s="36" t="str">
        <f>[24]Outcome!Q331</f>
        <v xml:space="preserve">, , , , , , , , , , , , , , , , , , , </v>
      </c>
      <c r="H25" s="37">
        <f>[24]Outcome!M331</f>
        <v>0</v>
      </c>
      <c r="I25" s="38" t="s">
        <v>33</v>
      </c>
      <c r="J25" s="39">
        <f>IF(H25&gt;C25,0,C25-H25)</f>
        <v>10905</v>
      </c>
      <c r="K25" s="40" t="s">
        <v>33</v>
      </c>
      <c r="L25" s="41">
        <f>J25/[24]NUMERIK!K$38*100%</f>
        <v>0.75362819626814093</v>
      </c>
      <c r="M25" s="42">
        <f t="shared" si="1"/>
        <v>3</v>
      </c>
      <c r="N25" s="33"/>
    </row>
    <row r="26" spans="1:15" s="34" customFormat="1" ht="20.100000000000001" customHeight="1" thickBot="1" x14ac:dyDescent="0.3">
      <c r="A26" s="192"/>
      <c r="B26" s="78" t="s">
        <v>45</v>
      </c>
      <c r="C26" s="22">
        <f>[24]NUMERIK!K48</f>
        <v>2374</v>
      </c>
      <c r="D26" s="73" t="s">
        <v>33</v>
      </c>
      <c r="E26" s="79">
        <f>C26/[24]NUMERIK!K$38*100%</f>
        <v>0.16406357982031791</v>
      </c>
      <c r="F26" s="25">
        <f t="shared" si="0"/>
        <v>0</v>
      </c>
      <c r="G26" s="36" t="str">
        <f>[24]Outcome!Q351</f>
        <v xml:space="preserve">Drainase Lingkungan RT002-RW001, Drainase Lingkungan RT003-RW001, Drainase Lingkungan RT001-RW001, Drainase Lingkungan RT008-RW001, Drainase Lingkungan RT007-RW001, Drainase Lingkungan RT002-RW001, , , , , , , , , , , , , , , , , , , , , , , , , , , , , , , , , , , , , , , </v>
      </c>
      <c r="H26" s="37">
        <f>[24]Outcome!M351</f>
        <v>533</v>
      </c>
      <c r="I26" s="38" t="s">
        <v>33</v>
      </c>
      <c r="J26" s="39">
        <f>IF(H26&gt;C26,0,C26-H26)</f>
        <v>1841</v>
      </c>
      <c r="K26" s="40" t="s">
        <v>33</v>
      </c>
      <c r="L26" s="41">
        <f>J26/[24]NUMERIK!K$38*100%</f>
        <v>0.12722874913614374</v>
      </c>
      <c r="M26" s="42">
        <f t="shared" si="1"/>
        <v>0</v>
      </c>
      <c r="N26" s="33"/>
    </row>
    <row r="27" spans="1:15" s="88" customFormat="1" ht="30" customHeight="1" thickBot="1" x14ac:dyDescent="0.3">
      <c r="A27" s="80" t="s">
        <v>46</v>
      </c>
      <c r="B27" s="81"/>
      <c r="C27" s="55"/>
      <c r="D27" s="55"/>
      <c r="E27" s="82">
        <f>IF(SUM(F22:F26)&gt;0,(SUMIF(F22:F26,"&gt;0",E22:E26)/5),0)</f>
        <v>0.1507256392536282</v>
      </c>
      <c r="F27" s="83"/>
      <c r="G27" s="58"/>
      <c r="H27" s="59"/>
      <c r="I27" s="59"/>
      <c r="J27" s="84"/>
      <c r="K27" s="85"/>
      <c r="L27" s="82">
        <f>IF(SUM(M22:M26)&gt;0,(SUMIF(M22:M26,"&gt;0",L22:L26)/5),0)</f>
        <v>0.1507256392536282</v>
      </c>
      <c r="M27" s="86"/>
      <c r="N27" s="87"/>
    </row>
    <row r="28" spans="1:15" s="34" customFormat="1" ht="27.75" customHeight="1" x14ac:dyDescent="0.25">
      <c r="A28" s="213" t="s">
        <v>47</v>
      </c>
      <c r="B28" s="21" t="s">
        <v>48</v>
      </c>
      <c r="C28" s="22">
        <f>[24]NUMERIK!K51</f>
        <v>17</v>
      </c>
      <c r="D28" s="73" t="s">
        <v>12</v>
      </c>
      <c r="E28" s="89">
        <f>C28/E$7*100%</f>
        <v>1.8538713195201745E-2</v>
      </c>
      <c r="F28" s="25">
        <f t="shared" si="0"/>
        <v>0</v>
      </c>
      <c r="G28" s="36" t="str">
        <f>[24]Outcome!Q396</f>
        <v xml:space="preserve">, , , , , , , , , , , , , , , , , , , , , , , , , , , , , , , , , , , , , , , , , , , , </v>
      </c>
      <c r="H28" s="37">
        <f>[24]Outcome!Q397</f>
        <v>0</v>
      </c>
      <c r="I28" s="38" t="s">
        <v>12</v>
      </c>
      <c r="J28" s="39">
        <f>IF(H28&gt;C28,0,C28-H28)</f>
        <v>17</v>
      </c>
      <c r="K28" s="40" t="s">
        <v>12</v>
      </c>
      <c r="L28" s="41">
        <f>J28/E$7*100%</f>
        <v>1.8538713195201745E-2</v>
      </c>
      <c r="M28" s="42">
        <f t="shared" si="1"/>
        <v>0</v>
      </c>
      <c r="N28" s="33"/>
    </row>
    <row r="29" spans="1:15" s="34" customFormat="1" ht="30" customHeight="1" thickBot="1" x14ac:dyDescent="0.3">
      <c r="A29" s="213"/>
      <c r="B29" s="21" t="s">
        <v>49</v>
      </c>
      <c r="C29" s="22">
        <f>[24]NUMERIK!K53</f>
        <v>5</v>
      </c>
      <c r="D29" s="73" t="s">
        <v>12</v>
      </c>
      <c r="E29" s="89">
        <f>C29/E$7*100%</f>
        <v>5.4525627044711015E-3</v>
      </c>
      <c r="F29" s="25">
        <f t="shared" si="0"/>
        <v>0</v>
      </c>
      <c r="G29" s="45" t="str">
        <f>[24]Outcome!Q441</f>
        <v xml:space="preserve">, , , , , , , , , , , , , , , , , , , , , , , , , , , , , , , , , , , , , , , , , , , , , , , , , , , , , , </v>
      </c>
      <c r="H29" s="37">
        <f>[24]Outcome!Q442</f>
        <v>0</v>
      </c>
      <c r="I29" s="38" t="s">
        <v>12</v>
      </c>
      <c r="J29" s="39">
        <f>IF(H29&gt;C29,0,C29-H29)</f>
        <v>5</v>
      </c>
      <c r="K29" s="40" t="s">
        <v>12</v>
      </c>
      <c r="L29" s="41">
        <f>J29/E$7*100%</f>
        <v>5.4525627044711015E-3</v>
      </c>
      <c r="M29" s="42">
        <f t="shared" si="1"/>
        <v>0</v>
      </c>
      <c r="N29" s="33"/>
    </row>
    <row r="30" spans="1:15" s="88" customFormat="1" ht="30" customHeight="1" thickBot="1" x14ac:dyDescent="0.3">
      <c r="A30" s="90" t="s">
        <v>50</v>
      </c>
      <c r="B30" s="81"/>
      <c r="C30" s="55"/>
      <c r="D30" s="55"/>
      <c r="E30" s="82">
        <f>IF(SUM(F28:F29)&gt;0,(SUMIF(F28:F29,"&gt;0",E28:E29)/2),0)</f>
        <v>0</v>
      </c>
      <c r="F30" s="83"/>
      <c r="G30" s="91"/>
      <c r="H30" s="92"/>
      <c r="I30" s="92"/>
      <c r="J30" s="84"/>
      <c r="K30" s="85"/>
      <c r="L30" s="82">
        <f>IF(SUM(M28:M29)&gt;0,(SUMIF(M28:M29,"&gt;0",L28:L29)/2),0)</f>
        <v>0</v>
      </c>
      <c r="M30" s="86"/>
      <c r="N30" s="87"/>
    </row>
    <row r="31" spans="1:15" s="34" customFormat="1" ht="31.5" customHeight="1" x14ac:dyDescent="0.25">
      <c r="A31" s="192" t="s">
        <v>51</v>
      </c>
      <c r="B31" s="21" t="s">
        <v>52</v>
      </c>
      <c r="C31" s="93">
        <f>[24]NUMERIK!K56</f>
        <v>917</v>
      </c>
      <c r="D31" s="94" t="s">
        <v>12</v>
      </c>
      <c r="E31" s="89">
        <f>C31/E$7*100%</f>
        <v>1</v>
      </c>
      <c r="F31" s="25">
        <f t="shared" si="0"/>
        <v>5</v>
      </c>
      <c r="G31" s="36" t="str">
        <f>[24]Outcome!Q496</f>
        <v xml:space="preserve">, , , , , , , , , , , , , , , , , , , , , , , , , , , , , , , , , , , , , , , , , , , , </v>
      </c>
      <c r="H31" s="37">
        <f>[24]Outcome!Q497</f>
        <v>0</v>
      </c>
      <c r="I31" s="38" t="s">
        <v>12</v>
      </c>
      <c r="J31" s="39">
        <f>IF(H31&gt;C31,0,C31-H31)</f>
        <v>917</v>
      </c>
      <c r="K31" s="40" t="s">
        <v>12</v>
      </c>
      <c r="L31" s="41">
        <f>J31/E$7*100%</f>
        <v>1</v>
      </c>
      <c r="M31" s="42">
        <f t="shared" si="1"/>
        <v>5</v>
      </c>
      <c r="N31" s="33"/>
    </row>
    <row r="32" spans="1:15" s="34" customFormat="1" ht="32.25" customHeight="1" x14ac:dyDescent="0.25">
      <c r="A32" s="192"/>
      <c r="B32" s="21" t="s">
        <v>53</v>
      </c>
      <c r="C32" s="93">
        <f>[24]NUMERIK!K59</f>
        <v>835</v>
      </c>
      <c r="D32" s="94" t="s">
        <v>12</v>
      </c>
      <c r="E32" s="89">
        <f>C32/E$7*100%</f>
        <v>0.91057797164667398</v>
      </c>
      <c r="F32" s="25">
        <f t="shared" si="0"/>
        <v>5</v>
      </c>
      <c r="G32" s="36" t="str">
        <f>[24]Outcome!Q541</f>
        <v xml:space="preserve">, , , , , , , , , , , , , , , , , , , , , , , , , , , , , , , , , , , , , , , , , , , , </v>
      </c>
      <c r="H32" s="37">
        <f>[24]Outcome!Q542</f>
        <v>0</v>
      </c>
      <c r="I32" s="38" t="s">
        <v>12</v>
      </c>
      <c r="J32" s="39">
        <f>IF(H32&gt;C32,0,C32-H32)</f>
        <v>835</v>
      </c>
      <c r="K32" s="40" t="s">
        <v>12</v>
      </c>
      <c r="L32" s="41">
        <f>J32/E$7*100%</f>
        <v>0.91057797164667398</v>
      </c>
      <c r="M32" s="42">
        <f t="shared" si="1"/>
        <v>5</v>
      </c>
      <c r="N32" s="33"/>
    </row>
    <row r="33" spans="1:14" s="34" customFormat="1" ht="30.75" customHeight="1" thickBot="1" x14ac:dyDescent="0.3">
      <c r="A33" s="192"/>
      <c r="B33" s="21" t="s">
        <v>54</v>
      </c>
      <c r="C33" s="93">
        <f>[24]NUMERIK!K61</f>
        <v>873</v>
      </c>
      <c r="D33" s="94" t="s">
        <v>12</v>
      </c>
      <c r="E33" s="89">
        <f>C33/E$7*100%</f>
        <v>0.95201744820065426</v>
      </c>
      <c r="F33" s="25">
        <f t="shared" si="0"/>
        <v>5</v>
      </c>
      <c r="G33" s="36" t="str">
        <f>[24]Outcome!Q586</f>
        <v xml:space="preserve">, , , , , , , , , , , , , , , , , , , , , , , , , , , , , , , , , , , , , , , , , , , , </v>
      </c>
      <c r="H33" s="37">
        <f>[24]Outcome!Q587</f>
        <v>0</v>
      </c>
      <c r="I33" s="38" t="s">
        <v>12</v>
      </c>
      <c r="J33" s="39">
        <f>IF(H33&gt;C33,0,C33-H33)</f>
        <v>873</v>
      </c>
      <c r="K33" s="40" t="s">
        <v>12</v>
      </c>
      <c r="L33" s="41">
        <f>J33/E$7*100%</f>
        <v>0.95201744820065426</v>
      </c>
      <c r="M33" s="42">
        <f t="shared" si="1"/>
        <v>5</v>
      </c>
      <c r="N33" s="33"/>
    </row>
    <row r="34" spans="1:14" s="88" customFormat="1" ht="30" customHeight="1" thickBot="1" x14ac:dyDescent="0.3">
      <c r="A34" s="80" t="s">
        <v>55</v>
      </c>
      <c r="B34" s="81"/>
      <c r="C34" s="55"/>
      <c r="D34" s="55"/>
      <c r="E34" s="82">
        <f>IF(SUM(F31:F33)&gt;0,(SUMIF(F31:F33,"&gt;0",E31:E33)/3),0)</f>
        <v>0.95419847328244278</v>
      </c>
      <c r="F34" s="83"/>
      <c r="G34" s="91"/>
      <c r="H34" s="92"/>
      <c r="I34" s="92"/>
      <c r="J34" s="84"/>
      <c r="K34" s="85"/>
      <c r="L34" s="82">
        <f>IF(SUM(M31:M33)&gt;0,(SUMIF(M31:M33,"&gt;0",L31:L33)/3),0)</f>
        <v>0.95419847328244278</v>
      </c>
      <c r="M34" s="86"/>
      <c r="N34" s="87"/>
    </row>
    <row r="35" spans="1:14" s="34" customFormat="1" ht="24.95" customHeight="1" x14ac:dyDescent="0.25">
      <c r="A35" s="213" t="s">
        <v>56</v>
      </c>
      <c r="B35" s="95" t="s">
        <v>57</v>
      </c>
      <c r="C35" s="93">
        <f>[24]NUMERIK!K64</f>
        <v>189</v>
      </c>
      <c r="D35" s="94" t="s">
        <v>8</v>
      </c>
      <c r="E35" s="79">
        <f>C35/E$5*100%</f>
        <v>0.2342007434944238</v>
      </c>
      <c r="F35" s="25">
        <f t="shared" si="0"/>
        <v>0</v>
      </c>
      <c r="G35" s="36" t="str">
        <f>[24]Outcome!Q631</f>
        <v xml:space="preserve">, , , , , , , , , , , , , , , , , , , </v>
      </c>
      <c r="H35" s="27">
        <f>[24]Outcome!Q632</f>
        <v>0</v>
      </c>
      <c r="I35" s="38" t="s">
        <v>8</v>
      </c>
      <c r="J35" s="39">
        <f>IF(H35&gt;C35,0,C35-H35)</f>
        <v>189</v>
      </c>
      <c r="K35" s="40" t="s">
        <v>8</v>
      </c>
      <c r="L35" s="41">
        <f>J35/E$5*100%</f>
        <v>0.2342007434944238</v>
      </c>
      <c r="M35" s="42">
        <f t="shared" si="1"/>
        <v>0</v>
      </c>
      <c r="N35" s="33"/>
    </row>
    <row r="36" spans="1:14" s="34" customFormat="1" ht="24.95" customHeight="1" thickBot="1" x14ac:dyDescent="0.3">
      <c r="A36" s="213"/>
      <c r="B36" s="95" t="s">
        <v>58</v>
      </c>
      <c r="C36" s="96">
        <f>[24]NUMERIK!K66</f>
        <v>807</v>
      </c>
      <c r="D36" s="94" t="s">
        <v>8</v>
      </c>
      <c r="E36" s="79">
        <f>C36/E$5*100%</f>
        <v>1</v>
      </c>
      <c r="F36" s="25">
        <f t="shared" si="0"/>
        <v>5</v>
      </c>
      <c r="G36" s="36" t="str">
        <f>[24]Outcome!Q651</f>
        <v xml:space="preserve">, , , , , , , , , , , , , , , , , , , </v>
      </c>
      <c r="H36" s="37">
        <f>[24]Outcome!Q652</f>
        <v>0</v>
      </c>
      <c r="I36" s="97" t="s">
        <v>8</v>
      </c>
      <c r="J36" s="98">
        <f>IF(H36&gt;C36,0,C36-H36)</f>
        <v>807</v>
      </c>
      <c r="K36" s="99" t="s">
        <v>8</v>
      </c>
      <c r="L36" s="100">
        <f>J36/E$5*100%</f>
        <v>1</v>
      </c>
      <c r="M36" s="51">
        <f t="shared" si="1"/>
        <v>5</v>
      </c>
      <c r="N36" s="33"/>
    </row>
    <row r="37" spans="1:14" s="77" customFormat="1" ht="30" customHeight="1" thickBot="1" x14ac:dyDescent="0.3">
      <c r="A37" s="80" t="s">
        <v>59</v>
      </c>
      <c r="B37" s="101"/>
      <c r="C37" s="102"/>
      <c r="D37" s="102"/>
      <c r="E37" s="82">
        <f>IF(SUM(F35:F36)&gt;0,(SUMIF(F35:F36,"&gt;0",E35:E36)/2),0)</f>
        <v>0.5</v>
      </c>
      <c r="F37" s="103"/>
      <c r="G37" s="104"/>
      <c r="H37" s="105"/>
      <c r="I37" s="105"/>
      <c r="J37" s="106"/>
      <c r="K37" s="107"/>
      <c r="L37" s="82">
        <f>IF(SUM(M35:M36)&gt;0,(SUMIF(M35:M36,"&gt;0",L35:L36)/2),0)</f>
        <v>0.5</v>
      </c>
      <c r="M37" s="108"/>
      <c r="N37" s="109"/>
    </row>
    <row r="38" spans="1:14" ht="15" customHeight="1" x14ac:dyDescent="0.25">
      <c r="A38" s="110"/>
      <c r="B38" s="111" t="s">
        <v>60</v>
      </c>
      <c r="D38" s="218" t="s">
        <v>61</v>
      </c>
      <c r="E38" s="219"/>
      <c r="F38" s="222">
        <f>SUM(F12:F36)</f>
        <v>23</v>
      </c>
      <c r="G38" s="112"/>
      <c r="H38" s="112"/>
      <c r="I38" s="112"/>
      <c r="J38" s="112"/>
      <c r="K38" s="238" t="s">
        <v>61</v>
      </c>
      <c r="L38" s="239"/>
      <c r="M38" s="224">
        <f>SUM(M12:M36)</f>
        <v>23</v>
      </c>
    </row>
    <row r="39" spans="1:14" ht="15" customHeight="1" x14ac:dyDescent="0.25">
      <c r="A39" s="110"/>
      <c r="B39" s="113" t="s">
        <v>62</v>
      </c>
      <c r="D39" s="220"/>
      <c r="E39" s="221"/>
      <c r="F39" s="223"/>
      <c r="G39" s="114"/>
      <c r="H39" s="114"/>
      <c r="I39" s="114"/>
      <c r="J39" s="114"/>
      <c r="K39" s="240"/>
      <c r="L39" s="241"/>
      <c r="M39" s="225"/>
    </row>
    <row r="40" spans="1:14" ht="15" customHeight="1" x14ac:dyDescent="0.25">
      <c r="A40" s="110"/>
      <c r="B40" s="115" t="s">
        <v>63</v>
      </c>
      <c r="D40" s="226" t="s">
        <v>64</v>
      </c>
      <c r="E40" s="227"/>
      <c r="F40" s="230" t="str">
        <f>IF(F38="N/A","TIDAK KUMUH",IF(F38&gt;=71,"KUMUH BERAT",IF(AND(F38&lt;=70,F38&gt;=45),"KUMUH SEDANG",IF(AND(F38&lt;=44,F38&gt;=19),"KUMUH RINGAN","TIDAK KUMUH"))))</f>
        <v>KUMUH RINGAN</v>
      </c>
      <c r="G40" s="116"/>
      <c r="H40" s="116"/>
      <c r="I40" s="116"/>
      <c r="J40" s="116"/>
      <c r="K40" s="232" t="s">
        <v>64</v>
      </c>
      <c r="L40" s="233"/>
      <c r="M40" s="236" t="str">
        <f>IF(M38="N/A","TIDAK KUMUH",IF(M38&gt;=71,"KUMUH BERAT",IF(AND(M38&lt;=70,M38&gt;=45),"KUMUH SEDANG",IF(AND(M38&lt;=44,M38&gt;=19),"KUMUH RINGAN","TIDAK KUMUH"))))</f>
        <v>KUMUH RINGAN</v>
      </c>
    </row>
    <row r="41" spans="1:14" ht="15" customHeight="1" thickBot="1" x14ac:dyDescent="0.3">
      <c r="A41" s="110"/>
      <c r="B41" s="117" t="s">
        <v>65</v>
      </c>
      <c r="D41" s="228"/>
      <c r="E41" s="229"/>
      <c r="F41" s="231" t="str">
        <f>IF(E41&gt;71,"KB",IF(E41&gt;=47,"KS","KR"))</f>
        <v>KR</v>
      </c>
      <c r="G41" s="116"/>
      <c r="H41" s="116"/>
      <c r="I41" s="116"/>
      <c r="J41" s="116"/>
      <c r="K41" s="234"/>
      <c r="L41" s="235"/>
      <c r="M41" s="237" t="str">
        <f>IF(L41&gt;71,"KB",IF(L41&gt;=47,"KS","KR"))</f>
        <v>KR</v>
      </c>
    </row>
    <row r="42" spans="1:14" ht="21" customHeight="1" x14ac:dyDescent="0.25">
      <c r="B42" s="118" t="s">
        <v>66</v>
      </c>
      <c r="C42" s="119"/>
      <c r="D42" s="120"/>
      <c r="E42" s="121" t="s">
        <v>67</v>
      </c>
      <c r="F42" s="122">
        <f>AVERAGE(E15,E18,E21,E27,E30,E34,E37)</f>
        <v>0.22927487321943871</v>
      </c>
      <c r="J42" s="123"/>
      <c r="K42" s="124"/>
      <c r="L42" s="125" t="s">
        <v>67</v>
      </c>
      <c r="M42" s="126">
        <f>AVERAGE(L15,L18,L21,L27,L30,L34,L37)</f>
        <v>0.22927487321943871</v>
      </c>
    </row>
    <row r="43" spans="1:14" ht="21" customHeight="1" x14ac:dyDescent="0.25">
      <c r="B43" s="127"/>
      <c r="C43" s="119"/>
      <c r="D43" s="120"/>
      <c r="E43" s="121" t="s">
        <v>68</v>
      </c>
      <c r="F43" s="122">
        <v>0</v>
      </c>
      <c r="J43" s="123"/>
      <c r="K43" s="124"/>
      <c r="L43" s="125" t="s">
        <v>68</v>
      </c>
      <c r="M43" s="126">
        <f>(F42-M42)/F42</f>
        <v>0</v>
      </c>
      <c r="N43"/>
    </row>
    <row r="44" spans="1:14" x14ac:dyDescent="0.25">
      <c r="M44" s="128"/>
    </row>
    <row r="55" spans="12:12" x14ac:dyDescent="0.25">
      <c r="L55" s="129"/>
    </row>
  </sheetData>
  <mergeCells count="23">
    <mergeCell ref="M38:M39"/>
    <mergeCell ref="D40:E41"/>
    <mergeCell ref="F40:F41"/>
    <mergeCell ref="K40:L41"/>
    <mergeCell ref="M40:M41"/>
    <mergeCell ref="K38:L39"/>
    <mergeCell ref="A28:A29"/>
    <mergeCell ref="A31:A33"/>
    <mergeCell ref="A35:A36"/>
    <mergeCell ref="D38:E39"/>
    <mergeCell ref="F38:F39"/>
    <mergeCell ref="J9:M10"/>
    <mergeCell ref="G10:I10"/>
    <mergeCell ref="A12:A14"/>
    <mergeCell ref="A16:A17"/>
    <mergeCell ref="A19:A20"/>
    <mergeCell ref="G9:I9"/>
    <mergeCell ref="A22:A26"/>
    <mergeCell ref="A1:F1"/>
    <mergeCell ref="A2:B2"/>
    <mergeCell ref="A9:A11"/>
    <mergeCell ref="B9:B11"/>
    <mergeCell ref="C9:F10"/>
  </mergeCells>
  <conditionalFormatting sqref="F40:J41">
    <cfRule type="expression" dxfId="116" priority="6">
      <formula>F40="KUMUH SEDANG"</formula>
    </cfRule>
    <cfRule type="expression" dxfId="115" priority="7">
      <formula>F40="TIDAK KUMUH"</formula>
    </cfRule>
    <cfRule type="expression" dxfId="114" priority="8">
      <formula>F40="KUMUH BERAT"</formula>
    </cfRule>
    <cfRule type="expression" dxfId="113" priority="9">
      <formula>F40="KUMUH RINGAN"</formula>
    </cfRule>
  </conditionalFormatting>
  <conditionalFormatting sqref="G12:G14 G16:G17 G19:G20 G22:G26 G28:G29 G31:G33 G35:G36">
    <cfRule type="cellIs" dxfId="112" priority="1" operator="equal">
      <formula>", , , , , , "</formula>
    </cfRule>
  </conditionalFormatting>
  <conditionalFormatting sqref="M40:M41">
    <cfRule type="expression" dxfId="111" priority="2">
      <formula>M40="KUMUH SEDANG"</formula>
    </cfRule>
    <cfRule type="expression" dxfId="110" priority="3">
      <formula>M40="TIDAK KUMUH"</formula>
    </cfRule>
    <cfRule type="expression" dxfId="109" priority="4">
      <formula>M40="KUMUH BERAT"</formula>
    </cfRule>
    <cfRule type="expression" dxfId="108" priority="5">
      <formula>M40="KUMUH RINGAN"</formula>
    </cfRule>
  </conditionalFormatting>
  <pageMargins left="0.7" right="0.2" top="0.75" bottom="0.75" header="0.3" footer="0.3"/>
  <pageSetup paperSize="9" scale="70" orientation="portrait" horizontalDpi="4294967293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59B50-441B-46EB-855D-B5BC3DDE3825}">
  <sheetPr>
    <tabColor rgb="FF0070C0"/>
  </sheetPr>
  <dimension ref="A1:O55"/>
  <sheetViews>
    <sheetView showGridLines="0" zoomScale="80" zoomScaleNormal="80" zoomScaleSheetLayoutView="75" zoomScalePageLayoutView="9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F12" sqref="F12:F37"/>
    </sheetView>
  </sheetViews>
  <sheetFormatPr defaultColWidth="8.85546875" defaultRowHeight="15" x14ac:dyDescent="0.25"/>
  <cols>
    <col min="1" max="1" width="24" customWidth="1"/>
    <col min="2" max="2" width="45.85546875" customWidth="1"/>
    <col min="3" max="3" width="12.42578125" customWidth="1"/>
    <col min="4" max="4" width="9.140625" customWidth="1"/>
    <col min="5" max="5" width="12.140625" customWidth="1"/>
    <col min="6" max="6" width="9.140625" customWidth="1"/>
    <col min="7" max="7" width="36.42578125" customWidth="1"/>
    <col min="8" max="9" width="9.140625" customWidth="1"/>
    <col min="10" max="10" width="10" bestFit="1" customWidth="1"/>
    <col min="11" max="12" width="9.140625" customWidth="1"/>
    <col min="13" max="13" width="11.28515625" customWidth="1"/>
    <col min="14" max="14" width="2.28515625" style="3" customWidth="1"/>
  </cols>
  <sheetData>
    <row r="1" spans="1:14" ht="18.75" customHeight="1" x14ac:dyDescent="0.3">
      <c r="A1" s="193" t="s">
        <v>0</v>
      </c>
      <c r="B1" s="193"/>
      <c r="C1" s="193"/>
      <c r="D1" s="193"/>
      <c r="E1" s="193"/>
      <c r="F1" s="193"/>
      <c r="G1" s="1"/>
      <c r="H1" s="1"/>
      <c r="I1" s="1"/>
      <c r="J1" s="1"/>
      <c r="K1" s="1"/>
      <c r="L1" s="1"/>
      <c r="M1" s="2"/>
    </row>
    <row r="2" spans="1:14" ht="3.75" customHeight="1" x14ac:dyDescent="0.25">
      <c r="A2" s="194"/>
      <c r="B2" s="194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4" ht="15.75" customHeight="1" x14ac:dyDescent="0.25">
      <c r="A3" s="6" t="s">
        <v>1</v>
      </c>
      <c r="B3" s="6" t="str">
        <f>": "&amp;[25]NUMERIK!E14</f>
        <v>: JAWA TIMUR</v>
      </c>
      <c r="C3" s="7" t="s">
        <v>2</v>
      </c>
      <c r="D3" s="8"/>
      <c r="E3" s="9">
        <f>[25]NUMERIK!K6</f>
        <v>0.48379629629629628</v>
      </c>
      <c r="F3" t="s">
        <v>3</v>
      </c>
    </row>
    <row r="4" spans="1:14" ht="15.75" customHeight="1" x14ac:dyDescent="0.25">
      <c r="A4" s="6" t="s">
        <v>4</v>
      </c>
      <c r="B4" s="6" t="str">
        <f>": "&amp;[25]NUMERIK!E12</f>
        <v>: KAB. BOJONEGORO</v>
      </c>
      <c r="C4" s="7" t="s">
        <v>5</v>
      </c>
      <c r="D4" s="8"/>
      <c r="E4" s="9">
        <f>[25]NUMERIK!K8</f>
        <v>0.48379629629629628</v>
      </c>
      <c r="F4" t="s">
        <v>3</v>
      </c>
    </row>
    <row r="5" spans="1:14" ht="15.75" customHeight="1" x14ac:dyDescent="0.25">
      <c r="A5" s="10" t="s">
        <v>6</v>
      </c>
      <c r="B5" s="10" t="str">
        <f>": "&amp;[25]NUMERIK!E10</f>
        <v>: BOJONEGORO</v>
      </c>
      <c r="C5" s="7" t="s">
        <v>7</v>
      </c>
      <c r="D5" s="8"/>
      <c r="E5" s="11">
        <f>[25]NUMERIK!K10</f>
        <v>976</v>
      </c>
      <c r="F5" t="s">
        <v>8</v>
      </c>
    </row>
    <row r="6" spans="1:14" ht="15.75" customHeight="1" x14ac:dyDescent="0.25">
      <c r="A6" s="10" t="s">
        <v>9</v>
      </c>
      <c r="B6" s="10" t="str">
        <f>": "&amp;[25]NUMERIK!E6</f>
        <v>: LEDOK WETAN</v>
      </c>
      <c r="C6" s="7" t="s">
        <v>10</v>
      </c>
      <c r="D6" s="8"/>
      <c r="E6" s="12">
        <f>[25]NUMERIK!K12</f>
        <v>3707</v>
      </c>
      <c r="F6" t="s">
        <v>11</v>
      </c>
    </row>
    <row r="7" spans="1:14" ht="15.75" customHeight="1" x14ac:dyDescent="0.25">
      <c r="A7" s="4"/>
      <c r="B7" s="13"/>
      <c r="C7" s="7" t="s">
        <v>7</v>
      </c>
      <c r="D7" s="5"/>
      <c r="E7" s="12">
        <f>[25]NUMERIK!K14</f>
        <v>1099</v>
      </c>
      <c r="F7" t="s">
        <v>12</v>
      </c>
    </row>
    <row r="8" spans="1:14" ht="5.25" customHeight="1" thickBot="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4" ht="12" customHeight="1" x14ac:dyDescent="0.25">
      <c r="A9" s="195" t="s">
        <v>13</v>
      </c>
      <c r="B9" s="197" t="s">
        <v>14</v>
      </c>
      <c r="C9" s="199" t="s">
        <v>15</v>
      </c>
      <c r="D9" s="200"/>
      <c r="E9" s="200"/>
      <c r="F9" s="201"/>
      <c r="G9" s="216" t="s">
        <v>16</v>
      </c>
      <c r="H9" s="217"/>
      <c r="I9" s="217"/>
      <c r="J9" s="205" t="s">
        <v>17</v>
      </c>
      <c r="K9" s="206"/>
      <c r="L9" s="206"/>
      <c r="M9" s="207"/>
    </row>
    <row r="10" spans="1:14" ht="9.75" customHeight="1" x14ac:dyDescent="0.25">
      <c r="A10" s="196"/>
      <c r="B10" s="198"/>
      <c r="C10" s="202"/>
      <c r="D10" s="203"/>
      <c r="E10" s="203"/>
      <c r="F10" s="204"/>
      <c r="G10" s="211" t="s">
        <v>18</v>
      </c>
      <c r="H10" s="212"/>
      <c r="I10" s="212"/>
      <c r="J10" s="208"/>
      <c r="K10" s="209"/>
      <c r="L10" s="209"/>
      <c r="M10" s="210"/>
    </row>
    <row r="11" spans="1:14" ht="15.75" thickBot="1" x14ac:dyDescent="0.3">
      <c r="A11" s="196"/>
      <c r="B11" s="198"/>
      <c r="C11" s="14" t="s">
        <v>19</v>
      </c>
      <c r="D11" s="14" t="s">
        <v>20</v>
      </c>
      <c r="E11" s="14" t="s">
        <v>21</v>
      </c>
      <c r="F11" s="15" t="s">
        <v>22</v>
      </c>
      <c r="G11" s="16" t="s">
        <v>23</v>
      </c>
      <c r="H11" s="17" t="s">
        <v>24</v>
      </c>
      <c r="I11" s="17" t="s">
        <v>20</v>
      </c>
      <c r="J11" s="18" t="s">
        <v>19</v>
      </c>
      <c r="K11" s="19" t="s">
        <v>20</v>
      </c>
      <c r="L11" s="19" t="s">
        <v>25</v>
      </c>
      <c r="M11" s="20" t="s">
        <v>22</v>
      </c>
    </row>
    <row r="12" spans="1:14" s="34" customFormat="1" ht="24.95" customHeight="1" x14ac:dyDescent="0.25">
      <c r="A12" s="213" t="s">
        <v>26</v>
      </c>
      <c r="B12" s="21" t="s">
        <v>27</v>
      </c>
      <c r="C12" s="22">
        <f>[25]NUMERIK!K18</f>
        <v>372</v>
      </c>
      <c r="D12" s="23" t="s">
        <v>8</v>
      </c>
      <c r="E12" s="24">
        <f>C12/E5*100%</f>
        <v>0.38114754098360654</v>
      </c>
      <c r="F12" s="25">
        <f t="shared" ref="F12:F36" si="0">IF(AND(E12&gt;=24.995%,E12&lt;50.995%),1,IF(AND(E12&gt;=50.995%,E12&lt;75.995%),3,IF(E12&gt;=75.995%,5,0)))</f>
        <v>1</v>
      </c>
      <c r="G12" s="26" t="str">
        <f>[25]Outcome!Q6</f>
        <v xml:space="preserve">, , , , , , , , , , , , , , , , , , , , , , , , , , , , , , , , , , , , , , , , , , , , </v>
      </c>
      <c r="H12" s="27">
        <f>[25]Outcome!M6</f>
        <v>0</v>
      </c>
      <c r="I12" s="28" t="s">
        <v>8</v>
      </c>
      <c r="J12" s="29">
        <f>IF(H12&gt;C12,0,C12-H12)</f>
        <v>372</v>
      </c>
      <c r="K12" s="30" t="s">
        <v>8</v>
      </c>
      <c r="L12" s="31">
        <f>J12/E$5*100%</f>
        <v>0.38114754098360654</v>
      </c>
      <c r="M12" s="32">
        <f t="shared" ref="M12:M36" si="1">IF(AND(L12&gt;=24.995%,L12&lt;50.995%),1,IF(AND(L12&gt;=50.995%,L12&lt;75.995%),3,IF(L12&gt;=75.995%,5,0)))</f>
        <v>1</v>
      </c>
      <c r="N12" s="33"/>
    </row>
    <row r="13" spans="1:14" s="34" customFormat="1" ht="24.95" customHeight="1" x14ac:dyDescent="0.25">
      <c r="A13" s="213"/>
      <c r="B13" s="21" t="s">
        <v>28</v>
      </c>
      <c r="C13" s="35">
        <f>[25]NUMERIK!K20</f>
        <v>0.48379629629629628</v>
      </c>
      <c r="D13" s="23" t="s">
        <v>3</v>
      </c>
      <c r="E13" s="24">
        <f>C13/E4*100%</f>
        <v>1</v>
      </c>
      <c r="F13" s="25">
        <f t="shared" si="0"/>
        <v>5</v>
      </c>
      <c r="G13" s="36" t="str">
        <f>[25]Outcome!Q51</f>
        <v xml:space="preserve">, , , , , , , , , , , , , , , , , , , </v>
      </c>
      <c r="H13" s="37">
        <f>[25]Outcome!M51</f>
        <v>0</v>
      </c>
      <c r="I13" s="38" t="s">
        <v>3</v>
      </c>
      <c r="J13" s="39">
        <f>IF(H13&gt;C13,0,C13-H13)</f>
        <v>0.48379629629629628</v>
      </c>
      <c r="K13" s="40" t="s">
        <v>3</v>
      </c>
      <c r="L13" s="41">
        <f>J13/E$4*100%</f>
        <v>1</v>
      </c>
      <c r="M13" s="42">
        <f t="shared" si="1"/>
        <v>5</v>
      </c>
      <c r="N13" s="33"/>
    </row>
    <row r="14" spans="1:14" s="34" customFormat="1" ht="24.95" customHeight="1" thickBot="1" x14ac:dyDescent="0.3">
      <c r="A14" s="214"/>
      <c r="B14" s="43" t="s">
        <v>29</v>
      </c>
      <c r="C14" s="35">
        <f>[25]NUMERIK!K22</f>
        <v>84</v>
      </c>
      <c r="D14" s="23" t="s">
        <v>8</v>
      </c>
      <c r="E14" s="24">
        <f>C14/E5*100%</f>
        <v>8.6065573770491802E-2</v>
      </c>
      <c r="F14" s="44">
        <f t="shared" si="0"/>
        <v>0</v>
      </c>
      <c r="G14" s="45" t="str">
        <f>[25]Outcome!Q71</f>
        <v xml:space="preserve">Rehab/perbaikan Rumah Tidak Layak Huni (Aladin) RT006-RW001, , , , , , , , , , , , , , , , , , , , , , , , , , , , , , , , , , , , , , , , , , , , </v>
      </c>
      <c r="H14" s="46">
        <f>[25]Outcome!M71</f>
        <v>1</v>
      </c>
      <c r="I14" s="47" t="s">
        <v>8</v>
      </c>
      <c r="J14" s="48">
        <f>IF(H14&gt;C14,0,C14-H14)</f>
        <v>83</v>
      </c>
      <c r="K14" s="49" t="s">
        <v>8</v>
      </c>
      <c r="L14" s="50">
        <f>J14/E$5*100%</f>
        <v>8.5040983606557374E-2</v>
      </c>
      <c r="M14" s="51">
        <f t="shared" si="1"/>
        <v>0</v>
      </c>
      <c r="N14" s="33"/>
    </row>
    <row r="15" spans="1:14" s="34" customFormat="1" ht="30" customHeight="1" thickBot="1" x14ac:dyDescent="0.3">
      <c r="A15" s="52" t="s">
        <v>30</v>
      </c>
      <c r="B15" s="53"/>
      <c r="C15" s="54"/>
      <c r="D15" s="55"/>
      <c r="E15" s="56">
        <f>IF(SUM(F12:F14)&gt;0,(SUMIF(F12:F14,"&gt;0",E12:E14)/3),0)</f>
        <v>0.46038251366120214</v>
      </c>
      <c r="F15" s="57"/>
      <c r="G15" s="58"/>
      <c r="H15" s="59"/>
      <c r="I15" s="59"/>
      <c r="J15" s="60"/>
      <c r="K15" s="61"/>
      <c r="L15" s="56">
        <f>IF(SUM(M12:M14)&gt;0,(SUMIF(M12:M14,"&gt;0",L12:L14)/3),0)</f>
        <v>0.46038251366120214</v>
      </c>
      <c r="M15" s="62"/>
      <c r="N15" s="33"/>
    </row>
    <row r="16" spans="1:14" s="34" customFormat="1" ht="24.95" customHeight="1" x14ac:dyDescent="0.25">
      <c r="A16" s="215" t="s">
        <v>31</v>
      </c>
      <c r="B16" s="63" t="s">
        <v>32</v>
      </c>
      <c r="C16" s="64">
        <f>[25]NUMERIK!K25-[25]NUMERIK!K26</f>
        <v>296</v>
      </c>
      <c r="D16" s="65" t="s">
        <v>33</v>
      </c>
      <c r="E16" s="66">
        <f>C16/[25]NUMERIK!K$25*100%</f>
        <v>2.4884970066575703E-2</v>
      </c>
      <c r="F16" s="67">
        <f t="shared" si="0"/>
        <v>0</v>
      </c>
      <c r="G16" s="36" t="str">
        <f>[25]Outcome!Q116</f>
        <v xml:space="preserve">, , , , , , , , , , , , , , , , , , , </v>
      </c>
      <c r="H16" s="27">
        <f>[25]Outcome!M116</f>
        <v>0</v>
      </c>
      <c r="I16" s="68" t="s">
        <v>33</v>
      </c>
      <c r="J16" s="69">
        <f>IF(H16&gt;C16,0,C16-H16)</f>
        <v>296</v>
      </c>
      <c r="K16" s="70" t="s">
        <v>33</v>
      </c>
      <c r="L16" s="71">
        <f>J16/[25]NUMERIK!K$25*100%</f>
        <v>2.4884970066575703E-2</v>
      </c>
      <c r="M16" s="72">
        <f t="shared" si="1"/>
        <v>0</v>
      </c>
      <c r="N16" s="33"/>
    </row>
    <row r="17" spans="1:15" s="34" customFormat="1" ht="24.95" customHeight="1" thickBot="1" x14ac:dyDescent="0.3">
      <c r="A17" s="192"/>
      <c r="B17" s="21" t="s">
        <v>34</v>
      </c>
      <c r="C17" s="22">
        <f>[25]NUMERIK!K28</f>
        <v>5565.73</v>
      </c>
      <c r="D17" s="73" t="s">
        <v>33</v>
      </c>
      <c r="E17" s="24">
        <f>C17/[25]NUMERIK!K$25*100%</f>
        <v>0.46791562313730534</v>
      </c>
      <c r="F17" s="25">
        <f t="shared" si="0"/>
        <v>1</v>
      </c>
      <c r="G17" s="45" t="str">
        <f>[25]Outcome!Q136</f>
        <v xml:space="preserve">Jalan Paving Block RT001-RW001, Jalan Paving Block RT001-RW001, Jalan Paving Block RT002-RW001, Jalan Paving Block RT003-RW001, , , , , , , , , , , , , , , , , , , , , , , , , , , , , , , , , , , , , , , , , </v>
      </c>
      <c r="H17" s="37">
        <f>[25]Outcome!M136</f>
        <v>422</v>
      </c>
      <c r="I17" s="38" t="s">
        <v>33</v>
      </c>
      <c r="J17" s="39">
        <f>IF(H17&gt;C17,0,C17-H17)</f>
        <v>5143.7299999999996</v>
      </c>
      <c r="K17" s="40" t="s">
        <v>33</v>
      </c>
      <c r="L17" s="41">
        <f>J17/[25]NUMERIK!K$25*100%</f>
        <v>0.43243772662347102</v>
      </c>
      <c r="M17" s="42">
        <f t="shared" si="1"/>
        <v>1</v>
      </c>
      <c r="N17" s="33"/>
    </row>
    <row r="18" spans="1:15" s="34" customFormat="1" ht="30" customHeight="1" thickBot="1" x14ac:dyDescent="0.3">
      <c r="A18" s="52" t="s">
        <v>35</v>
      </c>
      <c r="B18" s="53"/>
      <c r="C18" s="54"/>
      <c r="D18" s="55"/>
      <c r="E18" s="56">
        <f>IF(SUM(F16:F17)&gt;0,(SUMIF(F16:F17,"&gt;0",E16:E17)/2),0)</f>
        <v>0.23395781156865267</v>
      </c>
      <c r="F18" s="57"/>
      <c r="G18" s="58"/>
      <c r="H18" s="59"/>
      <c r="I18" s="59"/>
      <c r="J18" s="60"/>
      <c r="K18" s="61"/>
      <c r="L18" s="56">
        <f>IF(SUM(M16:M17)&gt;0,(SUMIF(M16:M17,"&gt;0",L16:L17)/2),0)</f>
        <v>0.21621886331173551</v>
      </c>
      <c r="M18" s="62"/>
      <c r="N18" s="33"/>
    </row>
    <row r="19" spans="1:15" s="34" customFormat="1" ht="24.95" customHeight="1" x14ac:dyDescent="0.25">
      <c r="A19" s="213" t="s">
        <v>36</v>
      </c>
      <c r="B19" s="21" t="s">
        <v>37</v>
      </c>
      <c r="C19" s="22">
        <f>[25]NUMERIK!K31</f>
        <v>118</v>
      </c>
      <c r="D19" s="73" t="s">
        <v>12</v>
      </c>
      <c r="E19" s="74">
        <f>C19/E$7*100%</f>
        <v>0.10737033666969972</v>
      </c>
      <c r="F19" s="25">
        <f t="shared" si="0"/>
        <v>0</v>
      </c>
      <c r="G19" s="36" t="str">
        <f>[25]Outcome!Q181</f>
        <v xml:space="preserve">, , , , , , , , , , , , , , , , , , , </v>
      </c>
      <c r="H19" s="27">
        <f>[25]Outcome!Q182</f>
        <v>0</v>
      </c>
      <c r="I19" s="38" t="s">
        <v>12</v>
      </c>
      <c r="J19" s="39">
        <f>IF(H19&gt;C19,0,C19-H19)</f>
        <v>118</v>
      </c>
      <c r="K19" s="75" t="s">
        <v>12</v>
      </c>
      <c r="L19" s="76">
        <f>J19/E$7*100%</f>
        <v>0.10737033666969972</v>
      </c>
      <c r="M19" s="42">
        <f t="shared" si="1"/>
        <v>0</v>
      </c>
      <c r="N19" s="33"/>
    </row>
    <row r="20" spans="1:15" s="34" customFormat="1" ht="24.95" customHeight="1" thickBot="1" x14ac:dyDescent="0.3">
      <c r="A20" s="213"/>
      <c r="B20" s="21" t="s">
        <v>38</v>
      </c>
      <c r="C20" s="22">
        <f>[25]NUMERIK!K33</f>
        <v>601</v>
      </c>
      <c r="D20" s="73" t="s">
        <v>12</v>
      </c>
      <c r="E20" s="74">
        <f>C20/E$7*100%</f>
        <v>0.54686078252957238</v>
      </c>
      <c r="F20" s="25">
        <f t="shared" si="0"/>
        <v>3</v>
      </c>
      <c r="G20" s="45" t="str">
        <f>[25]Outcome!Q201</f>
        <v xml:space="preserve">, , , , , , , , , , , , , , , , , , , , , , , , , , , , , , , , , , , , , , , , , , , , </v>
      </c>
      <c r="H20" s="37">
        <f>[25]Outcome!Q202</f>
        <v>0</v>
      </c>
      <c r="I20" s="38" t="s">
        <v>12</v>
      </c>
      <c r="J20" s="39">
        <f>IF(H20&gt;C20,0,C20-H20)</f>
        <v>601</v>
      </c>
      <c r="K20" s="75" t="s">
        <v>12</v>
      </c>
      <c r="L20" s="76">
        <f>J20/E$7*100%</f>
        <v>0.54686078252957238</v>
      </c>
      <c r="M20" s="42">
        <f t="shared" si="1"/>
        <v>3</v>
      </c>
      <c r="N20" s="33"/>
    </row>
    <row r="21" spans="1:15" s="77" customFormat="1" ht="30" customHeight="1" thickBot="1" x14ac:dyDescent="0.3">
      <c r="A21" s="52" t="s">
        <v>39</v>
      </c>
      <c r="B21" s="53"/>
      <c r="C21" s="54"/>
      <c r="D21" s="55"/>
      <c r="E21" s="56">
        <f>IF(SUM(F19:F20)&gt;0,(SUMIF(F19:F20,"&gt;0",E19:E20)/2),0)</f>
        <v>0.27343039126478619</v>
      </c>
      <c r="F21" s="57"/>
      <c r="G21" s="58"/>
      <c r="H21" s="59"/>
      <c r="I21" s="59"/>
      <c r="J21" s="60"/>
      <c r="K21" s="61"/>
      <c r="L21" s="56">
        <f>IF(SUM(M19:M20)&gt;0,(SUMIF(M19:M20,"&gt;0",L19:L20)/2),0)</f>
        <v>0.27343039126478619</v>
      </c>
      <c r="M21" s="62"/>
      <c r="N21" s="33"/>
      <c r="O21" s="34"/>
    </row>
    <row r="22" spans="1:15" s="34" customFormat="1" ht="20.100000000000001" customHeight="1" x14ac:dyDescent="0.25">
      <c r="A22" s="192" t="s">
        <v>40</v>
      </c>
      <c r="B22" s="78" t="s">
        <v>41</v>
      </c>
      <c r="C22" s="22">
        <f>[25]NUMERIK!K36</f>
        <v>7.4999999999999983E-2</v>
      </c>
      <c r="D22" s="73" t="s">
        <v>3</v>
      </c>
      <c r="E22" s="79">
        <f>C22/E$4*100%</f>
        <v>0.15502392344497604</v>
      </c>
      <c r="F22" s="25">
        <f t="shared" si="0"/>
        <v>0</v>
      </c>
      <c r="G22" s="36" t="str">
        <f>[25]Outcome!Q246</f>
        <v xml:space="preserve">, , , , , , , , , , , , , , , , , , , </v>
      </c>
      <c r="H22" s="27">
        <f>[25]Outcome!M246</f>
        <v>0</v>
      </c>
      <c r="I22" s="38" t="s">
        <v>3</v>
      </c>
      <c r="J22" s="39">
        <f>IF(H22&gt;C22,0,C22-H22)</f>
        <v>7.4999999999999983E-2</v>
      </c>
      <c r="K22" s="40" t="s">
        <v>3</v>
      </c>
      <c r="L22" s="41">
        <f>J22/E$4*100%</f>
        <v>0.15502392344497604</v>
      </c>
      <c r="M22" s="42">
        <f t="shared" si="1"/>
        <v>0</v>
      </c>
      <c r="N22" s="33"/>
    </row>
    <row r="23" spans="1:15" s="34" customFormat="1" ht="25.5" customHeight="1" x14ac:dyDescent="0.25">
      <c r="A23" s="192"/>
      <c r="B23" s="21" t="s">
        <v>42</v>
      </c>
      <c r="C23" s="22">
        <f>([25]NUMERIK!K38-[25]NUMERIK!K40)</f>
        <v>1938.0000000000005</v>
      </c>
      <c r="D23" s="73" t="s">
        <v>33</v>
      </c>
      <c r="E23" s="79">
        <f>C23/[25]NUMERIK!K$38*100%</f>
        <v>0.33574836543558939</v>
      </c>
      <c r="F23" s="25">
        <f t="shared" si="0"/>
        <v>1</v>
      </c>
      <c r="G23" s="36" t="str">
        <f>[25]Outcome!Q266</f>
        <v xml:space="preserve">Drainase Lingkungan RT003-RW001, Drainase Lingkungan RT008-RW002, , , , , , , , , , , , , , , , , , , , , , , , , , , , , , , , , , , , , , , , , , , </v>
      </c>
      <c r="H23" s="37">
        <f>[25]Outcome!M266</f>
        <v>432</v>
      </c>
      <c r="I23" s="38" t="s">
        <v>33</v>
      </c>
      <c r="J23" s="39">
        <f>IF(H23&gt;C23,0,C23-H23)</f>
        <v>1506.0000000000005</v>
      </c>
      <c r="K23" s="40" t="s">
        <v>33</v>
      </c>
      <c r="L23" s="41">
        <f>J23/[25]NUMERIK!K$38*100%</f>
        <v>0.26090662453353852</v>
      </c>
      <c r="M23" s="42">
        <f t="shared" si="1"/>
        <v>1</v>
      </c>
      <c r="N23" s="33"/>
    </row>
    <row r="24" spans="1:15" s="34" customFormat="1" ht="20.100000000000001" customHeight="1" x14ac:dyDescent="0.25">
      <c r="A24" s="192"/>
      <c r="B24" s="21" t="s">
        <v>43</v>
      </c>
      <c r="C24" s="22">
        <f>[25]NUMERIK!K42</f>
        <v>902</v>
      </c>
      <c r="D24" s="73" t="s">
        <v>33</v>
      </c>
      <c r="E24" s="79">
        <f>C24/[25]NUMERIK!K$38*100%</f>
        <v>0.1562667830871525</v>
      </c>
      <c r="F24" s="25">
        <f t="shared" si="0"/>
        <v>0</v>
      </c>
      <c r="G24" s="36" t="str">
        <f>[25]Outcome!Q311</f>
        <v xml:space="preserve">, , , , , , , , , , , , , , , , , , , </v>
      </c>
      <c r="H24" s="37">
        <f>[25]Outcome!M311</f>
        <v>0</v>
      </c>
      <c r="I24" s="38" t="s">
        <v>33</v>
      </c>
      <c r="J24" s="39">
        <f>IF(H24&gt;C24,0,C24-H24)</f>
        <v>902</v>
      </c>
      <c r="K24" s="40" t="s">
        <v>33</v>
      </c>
      <c r="L24" s="41">
        <f>J24/[25]NUMERIK!K$38*100%</f>
        <v>0.1562667830871525</v>
      </c>
      <c r="M24" s="42">
        <f t="shared" si="1"/>
        <v>0</v>
      </c>
      <c r="N24" s="33"/>
    </row>
    <row r="25" spans="1:15" s="34" customFormat="1" ht="20.100000000000001" customHeight="1" x14ac:dyDescent="0.25">
      <c r="A25" s="192"/>
      <c r="B25" s="21" t="s">
        <v>44</v>
      </c>
      <c r="C25" s="22">
        <f>[25]NUMERIK!K45</f>
        <v>3834.18</v>
      </c>
      <c r="D25" s="73" t="s">
        <v>33</v>
      </c>
      <c r="E25" s="79">
        <f>C25/[25]NUMERIK!K$38*100%</f>
        <v>0.66425163456441061</v>
      </c>
      <c r="F25" s="25">
        <f t="shared" si="0"/>
        <v>3</v>
      </c>
      <c r="G25" s="36" t="str">
        <f>[25]Outcome!Q331</f>
        <v xml:space="preserve">Drainase Lingkungan RT004-RW001, Drainase Lingkungan RT005-RW001, Drainase Lingkungan RT007-RW001, Drainase Lingkungan RT007-RW001, , , , , , , , , , , , , , , , </v>
      </c>
      <c r="H25" s="37">
        <f>[25]Outcome!M331</f>
        <v>569</v>
      </c>
      <c r="I25" s="38" t="s">
        <v>33</v>
      </c>
      <c r="J25" s="39">
        <f>IF(H25&gt;C25,0,C25-H25)</f>
        <v>3265.18</v>
      </c>
      <c r="K25" s="40" t="s">
        <v>33</v>
      </c>
      <c r="L25" s="41">
        <f>J25/[25]NUMERIK!K$38*100%</f>
        <v>0.56567536008925567</v>
      </c>
      <c r="M25" s="42">
        <f t="shared" si="1"/>
        <v>3</v>
      </c>
      <c r="N25" s="33"/>
    </row>
    <row r="26" spans="1:15" s="34" customFormat="1" ht="20.100000000000001" customHeight="1" thickBot="1" x14ac:dyDescent="0.3">
      <c r="A26" s="192"/>
      <c r="B26" s="78" t="s">
        <v>45</v>
      </c>
      <c r="C26" s="22">
        <f>[25]NUMERIK!K48</f>
        <v>310.21000000000004</v>
      </c>
      <c r="D26" s="73" t="s">
        <v>33</v>
      </c>
      <c r="E26" s="79">
        <f>C26/[25]NUMERIK!K$38*100%</f>
        <v>5.3742260289873153E-2</v>
      </c>
      <c r="F26" s="25">
        <f t="shared" si="0"/>
        <v>0</v>
      </c>
      <c r="G26" s="36" t="str">
        <f>[25]Outcome!Q351</f>
        <v xml:space="preserve">, , , , , , , , , , , , , , , , , , , , , , , , , , , , , , , , , , , , , , , , , , , , </v>
      </c>
      <c r="H26" s="37">
        <f>[25]Outcome!M351</f>
        <v>0</v>
      </c>
      <c r="I26" s="38" t="s">
        <v>33</v>
      </c>
      <c r="J26" s="39">
        <f>IF(H26&gt;C26,0,C26-H26)</f>
        <v>310.21000000000004</v>
      </c>
      <c r="K26" s="40" t="s">
        <v>33</v>
      </c>
      <c r="L26" s="41">
        <f>J26/[25]NUMERIK!K$38*100%</f>
        <v>5.3742260289873153E-2</v>
      </c>
      <c r="M26" s="42">
        <f t="shared" si="1"/>
        <v>0</v>
      </c>
      <c r="N26" s="33"/>
    </row>
    <row r="27" spans="1:15" s="88" customFormat="1" ht="30" customHeight="1" thickBot="1" x14ac:dyDescent="0.3">
      <c r="A27" s="80" t="s">
        <v>46</v>
      </c>
      <c r="B27" s="81"/>
      <c r="C27" s="55"/>
      <c r="D27" s="55"/>
      <c r="E27" s="82">
        <f>IF(SUM(F22:F26)&gt;0,(SUMIF(F22:F26,"&gt;0",E22:E26)/5),0)</f>
        <v>0.2</v>
      </c>
      <c r="F27" s="83"/>
      <c r="G27" s="58"/>
      <c r="H27" s="59"/>
      <c r="I27" s="59"/>
      <c r="J27" s="84"/>
      <c r="K27" s="85"/>
      <c r="L27" s="82">
        <f>IF(SUM(M22:M26)&gt;0,(SUMIF(M22:M26,"&gt;0",L22:L26)/5),0)</f>
        <v>0.16531639692455885</v>
      </c>
      <c r="M27" s="86"/>
      <c r="N27" s="87"/>
    </row>
    <row r="28" spans="1:15" s="34" customFormat="1" ht="27.75" customHeight="1" x14ac:dyDescent="0.25">
      <c r="A28" s="213" t="s">
        <v>47</v>
      </c>
      <c r="B28" s="21" t="s">
        <v>48</v>
      </c>
      <c r="C28" s="22">
        <f>[25]NUMERIK!K51</f>
        <v>71</v>
      </c>
      <c r="D28" s="73" t="s">
        <v>12</v>
      </c>
      <c r="E28" s="89">
        <f>C28/E$7*100%</f>
        <v>6.4604185623293897E-2</v>
      </c>
      <c r="F28" s="25">
        <f t="shared" si="0"/>
        <v>0</v>
      </c>
      <c r="G28" s="36" t="str">
        <f>[25]Outcome!Q396</f>
        <v xml:space="preserve">, , , , , , , , , , , , , , , , , , , , , , , , , , , , , , , , , , , , , , , , , , , , </v>
      </c>
      <c r="H28" s="37">
        <f>[25]Outcome!Q397</f>
        <v>0</v>
      </c>
      <c r="I28" s="38" t="s">
        <v>12</v>
      </c>
      <c r="J28" s="39">
        <f>IF(H28&gt;C28,0,C28-H28)</f>
        <v>71</v>
      </c>
      <c r="K28" s="40" t="s">
        <v>12</v>
      </c>
      <c r="L28" s="41">
        <f>J28/E$7*100%</f>
        <v>6.4604185623293897E-2</v>
      </c>
      <c r="M28" s="42">
        <f t="shared" si="1"/>
        <v>0</v>
      </c>
      <c r="N28" s="33"/>
    </row>
    <row r="29" spans="1:15" s="34" customFormat="1" ht="30" customHeight="1" thickBot="1" x14ac:dyDescent="0.3">
      <c r="A29" s="213"/>
      <c r="B29" s="21" t="s">
        <v>49</v>
      </c>
      <c r="C29" s="22">
        <f>[25]NUMERIK!K53</f>
        <v>170</v>
      </c>
      <c r="D29" s="73" t="s">
        <v>12</v>
      </c>
      <c r="E29" s="89">
        <f>C29/E$7*100%</f>
        <v>0.15468607825295724</v>
      </c>
      <c r="F29" s="25">
        <f t="shared" si="0"/>
        <v>0</v>
      </c>
      <c r="G29" s="45" t="str">
        <f>[25]Outcome!Q441</f>
        <v xml:space="preserve">, , , , , , , , , , , , , , , , , , , , , , , , , , , , , , , , , , , , , , , , , , , , , , , , , , , , , , </v>
      </c>
      <c r="H29" s="37">
        <f>[25]Outcome!Q442</f>
        <v>0</v>
      </c>
      <c r="I29" s="38" t="s">
        <v>12</v>
      </c>
      <c r="J29" s="39">
        <f>IF(H29&gt;C29,0,C29-H29)</f>
        <v>170</v>
      </c>
      <c r="K29" s="40" t="s">
        <v>12</v>
      </c>
      <c r="L29" s="41">
        <f>J29/E$7*100%</f>
        <v>0.15468607825295724</v>
      </c>
      <c r="M29" s="42">
        <f t="shared" si="1"/>
        <v>0</v>
      </c>
      <c r="N29" s="33"/>
    </row>
    <row r="30" spans="1:15" s="88" customFormat="1" ht="30" customHeight="1" thickBot="1" x14ac:dyDescent="0.3">
      <c r="A30" s="90" t="s">
        <v>50</v>
      </c>
      <c r="B30" s="81"/>
      <c r="C30" s="55"/>
      <c r="D30" s="55"/>
      <c r="E30" s="82">
        <f>IF(SUM(F28:F29)&gt;0,(SUMIF(F28:F29,"&gt;0",E28:E29)/2),0)</f>
        <v>0</v>
      </c>
      <c r="F30" s="83"/>
      <c r="G30" s="91"/>
      <c r="H30" s="92"/>
      <c r="I30" s="92"/>
      <c r="J30" s="84"/>
      <c r="K30" s="85"/>
      <c r="L30" s="82">
        <f>IF(SUM(M28:M29)&gt;0,(SUMIF(M28:M29,"&gt;0",L28:L29)/2),0)</f>
        <v>0</v>
      </c>
      <c r="M30" s="86"/>
      <c r="N30" s="87"/>
    </row>
    <row r="31" spans="1:15" s="34" customFormat="1" ht="31.5" customHeight="1" x14ac:dyDescent="0.25">
      <c r="A31" s="192" t="s">
        <v>51</v>
      </c>
      <c r="B31" s="21" t="s">
        <v>52</v>
      </c>
      <c r="C31" s="93">
        <f>[25]NUMERIK!K56</f>
        <v>281</v>
      </c>
      <c r="D31" s="94" t="s">
        <v>12</v>
      </c>
      <c r="E31" s="89">
        <f>C31/E$7*100%</f>
        <v>0.25568698817106461</v>
      </c>
      <c r="F31" s="25">
        <f t="shared" si="0"/>
        <v>1</v>
      </c>
      <c r="G31" s="36" t="str">
        <f>[25]Outcome!Q496</f>
        <v xml:space="preserve">, , , , , , , , , , , , , , , , , , , , , , , , , , , , , , , , , , , , , , , , , , , , </v>
      </c>
      <c r="H31" s="37">
        <f>[25]Outcome!Q497</f>
        <v>0</v>
      </c>
      <c r="I31" s="38" t="s">
        <v>12</v>
      </c>
      <c r="J31" s="39">
        <f>IF(H31&gt;C31,0,C31-H31)</f>
        <v>281</v>
      </c>
      <c r="K31" s="40" t="s">
        <v>12</v>
      </c>
      <c r="L31" s="41">
        <f>J31/E$7*100%</f>
        <v>0.25568698817106461</v>
      </c>
      <c r="M31" s="42">
        <f t="shared" si="1"/>
        <v>1</v>
      </c>
      <c r="N31" s="33"/>
    </row>
    <row r="32" spans="1:15" s="34" customFormat="1" ht="32.25" customHeight="1" x14ac:dyDescent="0.25">
      <c r="A32" s="192"/>
      <c r="B32" s="21" t="s">
        <v>53</v>
      </c>
      <c r="C32" s="93">
        <f>[25]NUMERIK!K59</f>
        <v>173</v>
      </c>
      <c r="D32" s="94" t="s">
        <v>12</v>
      </c>
      <c r="E32" s="89">
        <f>C32/E$7*100%</f>
        <v>0.15741583257506825</v>
      </c>
      <c r="F32" s="25">
        <f t="shared" si="0"/>
        <v>0</v>
      </c>
      <c r="G32" s="36" t="str">
        <f>[25]Outcome!Q541</f>
        <v xml:space="preserve">, , , , , , , , , , , , , , , , , , , , , , , , , , , , , , , , , , , , , , , , , , , , </v>
      </c>
      <c r="H32" s="37">
        <f>[25]Outcome!Q542</f>
        <v>0</v>
      </c>
      <c r="I32" s="38" t="s">
        <v>12</v>
      </c>
      <c r="J32" s="39">
        <f>IF(H32&gt;C32,0,C32-H32)</f>
        <v>173</v>
      </c>
      <c r="K32" s="40" t="s">
        <v>12</v>
      </c>
      <c r="L32" s="41">
        <f>J32/E$7*100%</f>
        <v>0.15741583257506825</v>
      </c>
      <c r="M32" s="42">
        <f t="shared" si="1"/>
        <v>0</v>
      </c>
      <c r="N32" s="33"/>
    </row>
    <row r="33" spans="1:14" s="34" customFormat="1" ht="30.75" customHeight="1" thickBot="1" x14ac:dyDescent="0.3">
      <c r="A33" s="192"/>
      <c r="B33" s="21" t="s">
        <v>54</v>
      </c>
      <c r="C33" s="93">
        <f>[25]NUMERIK!K61</f>
        <v>281</v>
      </c>
      <c r="D33" s="94" t="s">
        <v>12</v>
      </c>
      <c r="E33" s="89">
        <f>C33/E$7*100%</f>
        <v>0.25568698817106461</v>
      </c>
      <c r="F33" s="25">
        <f t="shared" si="0"/>
        <v>1</v>
      </c>
      <c r="G33" s="36" t="str">
        <f>[25]Outcome!Q586</f>
        <v xml:space="preserve">, , , , , , , , , , , , , , , , , , , , , , , , , , , , , , , , , , , , , , , , , , , , </v>
      </c>
      <c r="H33" s="37">
        <f>[25]Outcome!Q587</f>
        <v>0</v>
      </c>
      <c r="I33" s="38" t="s">
        <v>12</v>
      </c>
      <c r="J33" s="39">
        <f>IF(H33&gt;C33,0,C33-H33)</f>
        <v>281</v>
      </c>
      <c r="K33" s="40" t="s">
        <v>12</v>
      </c>
      <c r="L33" s="41">
        <f>J33/E$7*100%</f>
        <v>0.25568698817106461</v>
      </c>
      <c r="M33" s="42">
        <f t="shared" si="1"/>
        <v>1</v>
      </c>
      <c r="N33" s="33"/>
    </row>
    <row r="34" spans="1:14" s="88" customFormat="1" ht="30" customHeight="1" thickBot="1" x14ac:dyDescent="0.3">
      <c r="A34" s="80" t="s">
        <v>55</v>
      </c>
      <c r="B34" s="81"/>
      <c r="C34" s="55"/>
      <c r="D34" s="55"/>
      <c r="E34" s="82">
        <f>IF(SUM(F31:F33)&gt;0,(SUMIF(F31:F33,"&gt;0",E31:E33)/3),0)</f>
        <v>0.17045799211404308</v>
      </c>
      <c r="F34" s="83"/>
      <c r="G34" s="91"/>
      <c r="H34" s="92"/>
      <c r="I34" s="92"/>
      <c r="J34" s="84"/>
      <c r="K34" s="85"/>
      <c r="L34" s="82">
        <f>IF(SUM(M31:M33)&gt;0,(SUMIF(M31:M33,"&gt;0",L31:L33)/3),0)</f>
        <v>0.17045799211404308</v>
      </c>
      <c r="M34" s="86"/>
      <c r="N34" s="87"/>
    </row>
    <row r="35" spans="1:14" s="34" customFormat="1" ht="24.95" customHeight="1" x14ac:dyDescent="0.25">
      <c r="A35" s="213" t="s">
        <v>56</v>
      </c>
      <c r="B35" s="95" t="s">
        <v>57</v>
      </c>
      <c r="C35" s="93">
        <f>[25]NUMERIK!K64</f>
        <v>516</v>
      </c>
      <c r="D35" s="94" t="s">
        <v>8</v>
      </c>
      <c r="E35" s="79">
        <f>C35/E$5*100%</f>
        <v>0.52868852459016391</v>
      </c>
      <c r="F35" s="25">
        <f t="shared" si="0"/>
        <v>3</v>
      </c>
      <c r="G35" s="36" t="str">
        <f>[25]Outcome!Q631</f>
        <v xml:space="preserve">, , , , , , , , , , , , , , , , , , , </v>
      </c>
      <c r="H35" s="27">
        <f>[25]Outcome!Q632</f>
        <v>0</v>
      </c>
      <c r="I35" s="38" t="s">
        <v>8</v>
      </c>
      <c r="J35" s="39">
        <f>IF(H35&gt;C35,0,C35-H35)</f>
        <v>516</v>
      </c>
      <c r="K35" s="40" t="s">
        <v>8</v>
      </c>
      <c r="L35" s="41">
        <f>J35/E$5*100%</f>
        <v>0.52868852459016391</v>
      </c>
      <c r="M35" s="42">
        <f t="shared" si="1"/>
        <v>3</v>
      </c>
      <c r="N35" s="33"/>
    </row>
    <row r="36" spans="1:14" s="34" customFormat="1" ht="24.95" customHeight="1" thickBot="1" x14ac:dyDescent="0.3">
      <c r="A36" s="213"/>
      <c r="B36" s="95" t="s">
        <v>58</v>
      </c>
      <c r="C36" s="96">
        <f>[25]NUMERIK!K66</f>
        <v>891</v>
      </c>
      <c r="D36" s="94" t="s">
        <v>8</v>
      </c>
      <c r="E36" s="79">
        <f>C36/E$5*100%</f>
        <v>0.91290983606557374</v>
      </c>
      <c r="F36" s="25">
        <f t="shared" si="0"/>
        <v>5</v>
      </c>
      <c r="G36" s="36" t="str">
        <f>[25]Outcome!Q651</f>
        <v xml:space="preserve">Mobil pemadam kebakaran RT001-RW001, Mobil pemadam kebakaran RT002-RW001, Mobil pemadam kebakaran RT003-RW001, Mobil pemadam kebakaran RT004-RW001, Mobil pemadam kebakaran RT005-RW001, Mobil pemadam kebakaran RT006-RW001, Mobil pemadam kebakaran RT007-RW001, Mobil pemadam kebakaran RT001-RW002, Mobil pemadam kebakaran RT002-RW002, Mobil pemadam kebakaran RT004-RW002, Mobil pemadam kebakaran RT005-RW002, Mobil pemadam kebakaran RT010-RW002, , , , , , , , </v>
      </c>
      <c r="H36" s="37">
        <f>[25]Outcome!Q652</f>
        <v>989</v>
      </c>
      <c r="I36" s="97" t="s">
        <v>8</v>
      </c>
      <c r="J36" s="98">
        <f>IF(H36&gt;C36,0,C36-H36)</f>
        <v>0</v>
      </c>
      <c r="K36" s="99" t="s">
        <v>8</v>
      </c>
      <c r="L36" s="100">
        <f>J36/E$5*100%</f>
        <v>0</v>
      </c>
      <c r="M36" s="51">
        <f t="shared" si="1"/>
        <v>0</v>
      </c>
      <c r="N36" s="33"/>
    </row>
    <row r="37" spans="1:14" s="77" customFormat="1" ht="30" customHeight="1" thickBot="1" x14ac:dyDescent="0.3">
      <c r="A37" s="80" t="s">
        <v>59</v>
      </c>
      <c r="B37" s="101"/>
      <c r="C37" s="102"/>
      <c r="D37" s="102"/>
      <c r="E37" s="82">
        <f>IF(SUM(F35:F36)&gt;0,(SUMIF(F35:F36,"&gt;0",E35:E36)/2),0)</f>
        <v>0.72079918032786883</v>
      </c>
      <c r="F37" s="103"/>
      <c r="G37" s="104"/>
      <c r="H37" s="105"/>
      <c r="I37" s="105"/>
      <c r="J37" s="106"/>
      <c r="K37" s="107"/>
      <c r="L37" s="82">
        <f>IF(SUM(M35:M36)&gt;0,(SUMIF(M35:M36,"&gt;0",L35:L36)/2),0)</f>
        <v>0.26434426229508196</v>
      </c>
      <c r="M37" s="108"/>
      <c r="N37" s="109"/>
    </row>
    <row r="38" spans="1:14" ht="15" customHeight="1" x14ac:dyDescent="0.25">
      <c r="A38" s="110"/>
      <c r="B38" s="111" t="s">
        <v>60</v>
      </c>
      <c r="D38" s="218" t="s">
        <v>61</v>
      </c>
      <c r="E38" s="219"/>
      <c r="F38" s="222">
        <f>SUM(F12:F36)</f>
        <v>24</v>
      </c>
      <c r="G38" s="112"/>
      <c r="H38" s="112"/>
      <c r="I38" s="112"/>
      <c r="J38" s="112"/>
      <c r="K38" s="238" t="s">
        <v>61</v>
      </c>
      <c r="L38" s="239"/>
      <c r="M38" s="224">
        <f>SUM(M12:M36)</f>
        <v>19</v>
      </c>
    </row>
    <row r="39" spans="1:14" ht="15" customHeight="1" x14ac:dyDescent="0.25">
      <c r="A39" s="110"/>
      <c r="B39" s="113" t="s">
        <v>62</v>
      </c>
      <c r="D39" s="220"/>
      <c r="E39" s="221"/>
      <c r="F39" s="223"/>
      <c r="G39" s="114"/>
      <c r="H39" s="114"/>
      <c r="I39" s="114"/>
      <c r="J39" s="114"/>
      <c r="K39" s="240"/>
      <c r="L39" s="241"/>
      <c r="M39" s="225"/>
    </row>
    <row r="40" spans="1:14" ht="15" customHeight="1" x14ac:dyDescent="0.25">
      <c r="A40" s="110"/>
      <c r="B40" s="115" t="s">
        <v>63</v>
      </c>
      <c r="D40" s="226" t="s">
        <v>64</v>
      </c>
      <c r="E40" s="227"/>
      <c r="F40" s="230" t="str">
        <f>IF(F38="N/A","TIDAK KUMUH",IF(F38&gt;=71,"KUMUH BERAT",IF(AND(F38&lt;=70,F38&gt;=45),"KUMUH SEDANG",IF(AND(F38&lt;=44,F38&gt;=19),"KUMUH RINGAN","TIDAK KUMUH"))))</f>
        <v>KUMUH RINGAN</v>
      </c>
      <c r="G40" s="116"/>
      <c r="H40" s="116"/>
      <c r="I40" s="116"/>
      <c r="J40" s="116"/>
      <c r="K40" s="232" t="s">
        <v>64</v>
      </c>
      <c r="L40" s="233"/>
      <c r="M40" s="236" t="str">
        <f>IF(M38="N/A","TIDAK KUMUH",IF(M38&gt;=71,"KUMUH BERAT",IF(AND(M38&lt;=70,M38&gt;=45),"KUMUH SEDANG",IF(AND(M38&lt;=44,M38&gt;=19),"KUMUH RINGAN","TIDAK KUMUH"))))</f>
        <v>KUMUH RINGAN</v>
      </c>
    </row>
    <row r="41" spans="1:14" ht="15" customHeight="1" thickBot="1" x14ac:dyDescent="0.3">
      <c r="A41" s="110"/>
      <c r="B41" s="117" t="s">
        <v>65</v>
      </c>
      <c r="D41" s="228"/>
      <c r="E41" s="229"/>
      <c r="F41" s="231" t="str">
        <f>IF(E41&gt;71,"KB",IF(E41&gt;=47,"KS","KR"))</f>
        <v>KR</v>
      </c>
      <c r="G41" s="116"/>
      <c r="H41" s="116"/>
      <c r="I41" s="116"/>
      <c r="J41" s="116"/>
      <c r="K41" s="234"/>
      <c r="L41" s="235"/>
      <c r="M41" s="237" t="str">
        <f>IF(L41&gt;71,"KB",IF(L41&gt;=47,"KS","KR"))</f>
        <v>KR</v>
      </c>
    </row>
    <row r="42" spans="1:14" ht="21" customHeight="1" x14ac:dyDescent="0.25">
      <c r="B42" s="118" t="s">
        <v>66</v>
      </c>
      <c r="C42" s="119"/>
      <c r="D42" s="120"/>
      <c r="E42" s="121" t="s">
        <v>67</v>
      </c>
      <c r="F42" s="122">
        <f>AVERAGE(E15,E18,E21,E27,E30,E34,E37)</f>
        <v>0.29414684127665042</v>
      </c>
      <c r="J42" s="123"/>
      <c r="K42" s="124"/>
      <c r="L42" s="125" t="s">
        <v>67</v>
      </c>
      <c r="M42" s="126">
        <f>AVERAGE(L15,L18,L21,L27,L30,L34,L37)</f>
        <v>0.22145005993877254</v>
      </c>
    </row>
    <row r="43" spans="1:14" ht="21" customHeight="1" x14ac:dyDescent="0.25">
      <c r="B43" s="127"/>
      <c r="C43" s="119"/>
      <c r="D43" s="120"/>
      <c r="E43" s="121" t="s">
        <v>68</v>
      </c>
      <c r="F43" s="122">
        <v>0</v>
      </c>
      <c r="J43" s="123"/>
      <c r="K43" s="124"/>
      <c r="L43" s="125" t="s">
        <v>68</v>
      </c>
      <c r="M43" s="126">
        <f>(F42-M42)/F42</f>
        <v>0.24714452489906308</v>
      </c>
      <c r="N43"/>
    </row>
    <row r="44" spans="1:14" x14ac:dyDescent="0.25">
      <c r="M44" s="128"/>
    </row>
    <row r="55" spans="12:12" x14ac:dyDescent="0.25">
      <c r="L55" s="129"/>
    </row>
  </sheetData>
  <mergeCells count="23">
    <mergeCell ref="A22:A26"/>
    <mergeCell ref="A1:F1"/>
    <mergeCell ref="A2:B2"/>
    <mergeCell ref="A9:A11"/>
    <mergeCell ref="B9:B11"/>
    <mergeCell ref="C9:F10"/>
    <mergeCell ref="J9:M10"/>
    <mergeCell ref="G10:I10"/>
    <mergeCell ref="A12:A14"/>
    <mergeCell ref="A16:A17"/>
    <mergeCell ref="A19:A20"/>
    <mergeCell ref="G9:I9"/>
    <mergeCell ref="A28:A29"/>
    <mergeCell ref="A31:A33"/>
    <mergeCell ref="A35:A36"/>
    <mergeCell ref="D38:E39"/>
    <mergeCell ref="F38:F39"/>
    <mergeCell ref="M38:M39"/>
    <mergeCell ref="D40:E41"/>
    <mergeCell ref="F40:F41"/>
    <mergeCell ref="K40:L41"/>
    <mergeCell ref="M40:M41"/>
    <mergeCell ref="K38:L39"/>
  </mergeCells>
  <conditionalFormatting sqref="F40:J41">
    <cfRule type="expression" dxfId="107" priority="6">
      <formula>F40="KUMUH SEDANG"</formula>
    </cfRule>
    <cfRule type="expression" dxfId="106" priority="7">
      <formula>F40="TIDAK KUMUH"</formula>
    </cfRule>
    <cfRule type="expression" dxfId="105" priority="8">
      <formula>F40="KUMUH BERAT"</formula>
    </cfRule>
    <cfRule type="expression" dxfId="104" priority="9">
      <formula>F40="KUMUH RINGAN"</formula>
    </cfRule>
  </conditionalFormatting>
  <conditionalFormatting sqref="G12:G14 G16:G17 G19:G20 G22:G26 G28:G29 G31:G33 G35:G36">
    <cfRule type="cellIs" dxfId="103" priority="1" operator="equal">
      <formula>", , , , , , "</formula>
    </cfRule>
  </conditionalFormatting>
  <conditionalFormatting sqref="M40:M41">
    <cfRule type="expression" dxfId="102" priority="2">
      <formula>M40="KUMUH SEDANG"</formula>
    </cfRule>
    <cfRule type="expression" dxfId="101" priority="3">
      <formula>M40="TIDAK KUMUH"</formula>
    </cfRule>
    <cfRule type="expression" dxfId="100" priority="4">
      <formula>M40="KUMUH BERAT"</formula>
    </cfRule>
    <cfRule type="expression" dxfId="99" priority="5">
      <formula>M40="KUMUH RINGAN"</formula>
    </cfRule>
  </conditionalFormatting>
  <pageMargins left="0.7" right="0.2" top="0.75" bottom="0.75" header="0.3" footer="0.3"/>
  <pageSetup paperSize="9" scale="70" orientation="portrait" horizontalDpi="4294967293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CA75B-3A2F-4904-9A44-159F0839921B}">
  <sheetPr>
    <tabColor rgb="FF0070C0"/>
  </sheetPr>
  <dimension ref="A1:O55"/>
  <sheetViews>
    <sheetView showGridLines="0" zoomScale="80" zoomScaleNormal="80" zoomScaleSheetLayoutView="75" zoomScalePageLayoutView="9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F12" sqref="F12:F37"/>
    </sheetView>
  </sheetViews>
  <sheetFormatPr defaultColWidth="8.85546875" defaultRowHeight="15" x14ac:dyDescent="0.25"/>
  <cols>
    <col min="1" max="1" width="24" customWidth="1"/>
    <col min="2" max="2" width="45.85546875" customWidth="1"/>
    <col min="3" max="3" width="12.42578125" customWidth="1"/>
    <col min="4" max="4" width="9.140625" customWidth="1"/>
    <col min="5" max="5" width="12.140625" customWidth="1"/>
    <col min="6" max="6" width="9.140625" customWidth="1"/>
    <col min="7" max="7" width="36.42578125" customWidth="1"/>
    <col min="8" max="9" width="9.140625" customWidth="1"/>
    <col min="10" max="10" width="10" bestFit="1" customWidth="1"/>
    <col min="11" max="12" width="9.140625" customWidth="1"/>
    <col min="13" max="13" width="11.28515625" customWidth="1"/>
    <col min="14" max="14" width="2.28515625" style="3" customWidth="1"/>
  </cols>
  <sheetData>
    <row r="1" spans="1:14" ht="18.75" customHeight="1" x14ac:dyDescent="0.3">
      <c r="A1" s="193" t="s">
        <v>0</v>
      </c>
      <c r="B1" s="193"/>
      <c r="C1" s="193"/>
      <c r="D1" s="193"/>
      <c r="E1" s="193"/>
      <c r="F1" s="193"/>
      <c r="G1" s="1"/>
      <c r="H1" s="1"/>
      <c r="I1" s="1"/>
      <c r="J1" s="1"/>
      <c r="K1" s="1"/>
      <c r="L1" s="1"/>
      <c r="M1" s="2"/>
    </row>
    <row r="2" spans="1:14" ht="3.75" customHeight="1" x14ac:dyDescent="0.25">
      <c r="A2" s="194"/>
      <c r="B2" s="194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4" ht="15.75" customHeight="1" x14ac:dyDescent="0.25">
      <c r="A3" s="6" t="s">
        <v>1</v>
      </c>
      <c r="B3" s="6" t="str">
        <f>": "&amp;[26]NUMERIK!E14</f>
        <v>: JAWA TIMUR</v>
      </c>
      <c r="C3" s="7" t="s">
        <v>2</v>
      </c>
      <c r="D3" s="8"/>
      <c r="E3" s="9">
        <f>[26]NUMERIK!K6</f>
        <v>3.0700000000000007</v>
      </c>
      <c r="F3" t="s">
        <v>3</v>
      </c>
    </row>
    <row r="4" spans="1:14" ht="15.75" customHeight="1" x14ac:dyDescent="0.25">
      <c r="A4" s="6" t="s">
        <v>4</v>
      </c>
      <c r="B4" s="6" t="str">
        <f>": "&amp;[26]NUMERIK!E12</f>
        <v>: KAB. BOJONEGORO</v>
      </c>
      <c r="C4" s="7" t="s">
        <v>5</v>
      </c>
      <c r="D4" s="8"/>
      <c r="E4" s="9">
        <f>[26]NUMERIK!K8</f>
        <v>3.0700000000000007</v>
      </c>
      <c r="F4" t="s">
        <v>3</v>
      </c>
    </row>
    <row r="5" spans="1:14" ht="15.75" customHeight="1" x14ac:dyDescent="0.25">
      <c r="A5" s="10" t="s">
        <v>6</v>
      </c>
      <c r="B5" s="10" t="str">
        <f>": "&amp;[26]NUMERIK!E10</f>
        <v>: BOJONEGORO</v>
      </c>
      <c r="C5" s="7" t="s">
        <v>7</v>
      </c>
      <c r="D5" s="8"/>
      <c r="E5" s="11">
        <f>[26]NUMERIK!K10</f>
        <v>975</v>
      </c>
      <c r="F5" t="s">
        <v>8</v>
      </c>
    </row>
    <row r="6" spans="1:14" ht="15.75" customHeight="1" x14ac:dyDescent="0.25">
      <c r="A6" s="10" t="s">
        <v>9</v>
      </c>
      <c r="B6" s="10" t="str">
        <f>": "&amp;[26]NUMERIK!E6</f>
        <v>: LEDOK KULON</v>
      </c>
      <c r="C6" s="7" t="s">
        <v>10</v>
      </c>
      <c r="D6" s="8"/>
      <c r="E6" s="12">
        <f>[26]NUMERIK!K12</f>
        <v>3854</v>
      </c>
      <c r="F6" t="s">
        <v>11</v>
      </c>
    </row>
    <row r="7" spans="1:14" ht="15.75" customHeight="1" x14ac:dyDescent="0.25">
      <c r="A7" s="4"/>
      <c r="B7" s="13"/>
      <c r="C7" s="7" t="s">
        <v>7</v>
      </c>
      <c r="D7" s="5"/>
      <c r="E7" s="12">
        <f>[26]NUMERIK!K14</f>
        <v>1105</v>
      </c>
      <c r="F7" t="s">
        <v>12</v>
      </c>
    </row>
    <row r="8" spans="1:14" ht="5.25" customHeight="1" thickBot="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4" ht="12" customHeight="1" x14ac:dyDescent="0.25">
      <c r="A9" s="195" t="s">
        <v>13</v>
      </c>
      <c r="B9" s="197" t="s">
        <v>14</v>
      </c>
      <c r="C9" s="199" t="s">
        <v>15</v>
      </c>
      <c r="D9" s="200"/>
      <c r="E9" s="200"/>
      <c r="F9" s="201"/>
      <c r="G9" s="216" t="s">
        <v>16</v>
      </c>
      <c r="H9" s="217"/>
      <c r="I9" s="217"/>
      <c r="J9" s="205" t="s">
        <v>17</v>
      </c>
      <c r="K9" s="206"/>
      <c r="L9" s="206"/>
      <c r="M9" s="207"/>
    </row>
    <row r="10" spans="1:14" ht="9.75" customHeight="1" x14ac:dyDescent="0.25">
      <c r="A10" s="196"/>
      <c r="B10" s="198"/>
      <c r="C10" s="202"/>
      <c r="D10" s="203"/>
      <c r="E10" s="203"/>
      <c r="F10" s="204"/>
      <c r="G10" s="211" t="s">
        <v>18</v>
      </c>
      <c r="H10" s="212"/>
      <c r="I10" s="212"/>
      <c r="J10" s="208"/>
      <c r="K10" s="209"/>
      <c r="L10" s="209"/>
      <c r="M10" s="210"/>
    </row>
    <row r="11" spans="1:14" ht="15.75" thickBot="1" x14ac:dyDescent="0.3">
      <c r="A11" s="196"/>
      <c r="B11" s="198"/>
      <c r="C11" s="14" t="s">
        <v>19</v>
      </c>
      <c r="D11" s="14" t="s">
        <v>20</v>
      </c>
      <c r="E11" s="14" t="s">
        <v>21</v>
      </c>
      <c r="F11" s="15" t="s">
        <v>22</v>
      </c>
      <c r="G11" s="16" t="s">
        <v>23</v>
      </c>
      <c r="H11" s="17" t="s">
        <v>24</v>
      </c>
      <c r="I11" s="17" t="s">
        <v>20</v>
      </c>
      <c r="J11" s="18" t="s">
        <v>19</v>
      </c>
      <c r="K11" s="19" t="s">
        <v>20</v>
      </c>
      <c r="L11" s="19" t="s">
        <v>25</v>
      </c>
      <c r="M11" s="20" t="s">
        <v>22</v>
      </c>
    </row>
    <row r="12" spans="1:14" s="34" customFormat="1" ht="24.95" customHeight="1" x14ac:dyDescent="0.25">
      <c r="A12" s="213" t="s">
        <v>26</v>
      </c>
      <c r="B12" s="21" t="s">
        <v>27</v>
      </c>
      <c r="C12" s="22">
        <f>[26]NUMERIK!K18</f>
        <v>164</v>
      </c>
      <c r="D12" s="23" t="s">
        <v>8</v>
      </c>
      <c r="E12" s="24">
        <f>C12/E5*100%</f>
        <v>0.1682051282051282</v>
      </c>
      <c r="F12" s="25">
        <f t="shared" ref="F12:F36" si="0">IF(AND(E12&gt;=24.995%,E12&lt;50.995%),1,IF(AND(E12&gt;=50.995%,E12&lt;75.995%),3,IF(E12&gt;=75.995%,5,0)))</f>
        <v>0</v>
      </c>
      <c r="G12" s="26" t="str">
        <f>[26]Outcome!Q6</f>
        <v xml:space="preserve">, , , , , , , , , , , , , , , , , , , , , , , , , , , , , , , , , , , , , , , , , , , , </v>
      </c>
      <c r="H12" s="27">
        <f>[26]Outcome!M6</f>
        <v>0</v>
      </c>
      <c r="I12" s="28" t="s">
        <v>8</v>
      </c>
      <c r="J12" s="29">
        <f>IF(H12&gt;C12,0,C12-H12)</f>
        <v>164</v>
      </c>
      <c r="K12" s="30" t="s">
        <v>8</v>
      </c>
      <c r="L12" s="31">
        <f>J12/E$5*100%</f>
        <v>0.1682051282051282</v>
      </c>
      <c r="M12" s="32">
        <f t="shared" ref="M12:M36" si="1">IF(AND(L12&gt;=24.995%,L12&lt;50.995%),1,IF(AND(L12&gt;=50.995%,L12&lt;75.995%),3,IF(L12&gt;=75.995%,5,0)))</f>
        <v>0</v>
      </c>
      <c r="N12" s="33"/>
    </row>
    <row r="13" spans="1:14" s="34" customFormat="1" ht="24.95" customHeight="1" x14ac:dyDescent="0.25">
      <c r="A13" s="213"/>
      <c r="B13" s="21" t="s">
        <v>28</v>
      </c>
      <c r="C13" s="35">
        <f>[26]NUMERIK!K20</f>
        <v>2.1036637710781809</v>
      </c>
      <c r="D13" s="23" t="s">
        <v>3</v>
      </c>
      <c r="E13" s="24">
        <f>C13/E4*100%</f>
        <v>0.68523249872253433</v>
      </c>
      <c r="F13" s="25">
        <f t="shared" si="0"/>
        <v>3</v>
      </c>
      <c r="G13" s="36" t="str">
        <f>[26]Outcome!Q51</f>
        <v xml:space="preserve">, , , , , , , , , , , , , , , , , , , </v>
      </c>
      <c r="H13" s="37">
        <f>[26]Outcome!M51</f>
        <v>0</v>
      </c>
      <c r="I13" s="38" t="s">
        <v>3</v>
      </c>
      <c r="J13" s="39">
        <f>IF(H13&gt;C13,0,C13-H13)</f>
        <v>2.1036637710781809</v>
      </c>
      <c r="K13" s="40" t="s">
        <v>3</v>
      </c>
      <c r="L13" s="41">
        <f>J13/E$4*100%</f>
        <v>0.68523249872253433</v>
      </c>
      <c r="M13" s="42">
        <f t="shared" si="1"/>
        <v>3</v>
      </c>
      <c r="N13" s="33"/>
    </row>
    <row r="14" spans="1:14" s="34" customFormat="1" ht="24.95" customHeight="1" thickBot="1" x14ac:dyDescent="0.3">
      <c r="A14" s="214"/>
      <c r="B14" s="43" t="s">
        <v>29</v>
      </c>
      <c r="C14" s="35">
        <f>[26]NUMERIK!K22</f>
        <v>144</v>
      </c>
      <c r="D14" s="23" t="s">
        <v>8</v>
      </c>
      <c r="E14" s="24">
        <f>C14/E5*100%</f>
        <v>0.14769230769230771</v>
      </c>
      <c r="F14" s="44">
        <f t="shared" si="0"/>
        <v>0</v>
      </c>
      <c r="G14" s="45" t="str">
        <f>[26]Outcome!Q71</f>
        <v xml:space="preserve">, , , , , , , , , , , , , , , , , , , , , , , , , , , , , , , , , , , , , , , , , , , , </v>
      </c>
      <c r="H14" s="46">
        <f>[26]Outcome!M71</f>
        <v>0</v>
      </c>
      <c r="I14" s="47" t="s">
        <v>8</v>
      </c>
      <c r="J14" s="48">
        <f>IF(H14&gt;C14,0,C14-H14)</f>
        <v>144</v>
      </c>
      <c r="K14" s="49" t="s">
        <v>8</v>
      </c>
      <c r="L14" s="50">
        <f>J14/E$5*100%</f>
        <v>0.14769230769230771</v>
      </c>
      <c r="M14" s="51">
        <f t="shared" si="1"/>
        <v>0</v>
      </c>
      <c r="N14" s="33"/>
    </row>
    <row r="15" spans="1:14" s="34" customFormat="1" ht="30" customHeight="1" thickBot="1" x14ac:dyDescent="0.3">
      <c r="A15" s="52" t="s">
        <v>30</v>
      </c>
      <c r="B15" s="53"/>
      <c r="C15" s="54"/>
      <c r="D15" s="55"/>
      <c r="E15" s="56">
        <f>IF(SUM(F12:F14)&gt;0,(SUMIF(F12:F14,"&gt;0",E12:E14)/3),0)</f>
        <v>0.22841083290751144</v>
      </c>
      <c r="F15" s="57"/>
      <c r="G15" s="58"/>
      <c r="H15" s="59"/>
      <c r="I15" s="59"/>
      <c r="J15" s="60"/>
      <c r="K15" s="61"/>
      <c r="L15" s="56">
        <f>IF(SUM(M12:M14)&gt;0,(SUMIF(M12:M14,"&gt;0",L12:L14)/3),0)</f>
        <v>0.22841083290751144</v>
      </c>
      <c r="M15" s="62"/>
      <c r="N15" s="33"/>
    </row>
    <row r="16" spans="1:14" s="34" customFormat="1" ht="24.95" customHeight="1" x14ac:dyDescent="0.25">
      <c r="A16" s="215" t="s">
        <v>31</v>
      </c>
      <c r="B16" s="63" t="s">
        <v>32</v>
      </c>
      <c r="C16" s="64">
        <f>[26]NUMERIK!K25-[26]NUMERIK!K26</f>
        <v>493</v>
      </c>
      <c r="D16" s="65" t="s">
        <v>33</v>
      </c>
      <c r="E16" s="66">
        <f>C16/[26]NUMERIK!K$25*100%</f>
        <v>4.8710601719197708E-2</v>
      </c>
      <c r="F16" s="67">
        <f t="shared" si="0"/>
        <v>0</v>
      </c>
      <c r="G16" s="36" t="str">
        <f>[26]Outcome!Q116</f>
        <v xml:space="preserve">Jalan Paving Block RT004-RW004, , , , , , , , , , , , , , , , , , , </v>
      </c>
      <c r="H16" s="27">
        <f>[26]Outcome!M116</f>
        <v>293</v>
      </c>
      <c r="I16" s="68" t="s">
        <v>33</v>
      </c>
      <c r="J16" s="69">
        <f>IF(H16&gt;C16,0,C16-H16)</f>
        <v>200</v>
      </c>
      <c r="K16" s="70" t="s">
        <v>33</v>
      </c>
      <c r="L16" s="71">
        <f>J16/[26]NUMERIK!K$25*100%</f>
        <v>1.9760893192372297E-2</v>
      </c>
      <c r="M16" s="72">
        <f t="shared" si="1"/>
        <v>0</v>
      </c>
      <c r="N16" s="33"/>
    </row>
    <row r="17" spans="1:15" s="34" customFormat="1" ht="24.95" customHeight="1" thickBot="1" x14ac:dyDescent="0.3">
      <c r="A17" s="192"/>
      <c r="B17" s="21" t="s">
        <v>34</v>
      </c>
      <c r="C17" s="22">
        <f>[26]NUMERIK!K28</f>
        <v>1687</v>
      </c>
      <c r="D17" s="73" t="s">
        <v>33</v>
      </c>
      <c r="E17" s="24">
        <f>C17/[26]NUMERIK!K$25*100%</f>
        <v>0.16668313407766031</v>
      </c>
      <c r="F17" s="25">
        <f t="shared" si="0"/>
        <v>0</v>
      </c>
      <c r="G17" s="45" t="str">
        <f>[26]Outcome!Q136</f>
        <v xml:space="preserve">Jalan Paving Block RT004-RW004, Jalan Paving Block RT004-RW003, Jalan Paving Block RT002-RW004, Jalan Paving Block RT004-RW003, Jalan Paving Block RT004-RW003, Jalan Paving Block RT004-RW003, Jalan Paving Block RT004-RW003, Jalan Paving Block RT005-RW003, Jalan Paving Block RT001-RW004, Jalan Paving Block RT001-RW003, , , , , , , , , , , , , , , , , , , , , , , , , , , , , , , , , , , </v>
      </c>
      <c r="H17" s="37">
        <f>[26]Outcome!M136</f>
        <v>1063</v>
      </c>
      <c r="I17" s="38" t="s">
        <v>33</v>
      </c>
      <c r="J17" s="39">
        <f>IF(H17&gt;C17,0,C17-H17)</f>
        <v>624</v>
      </c>
      <c r="K17" s="40" t="s">
        <v>33</v>
      </c>
      <c r="L17" s="41">
        <f>J17/[26]NUMERIK!K$25*100%</f>
        <v>6.1653986760201562E-2</v>
      </c>
      <c r="M17" s="42">
        <f t="shared" si="1"/>
        <v>0</v>
      </c>
      <c r="N17" s="33"/>
    </row>
    <row r="18" spans="1:15" s="34" customFormat="1" ht="30" customHeight="1" thickBot="1" x14ac:dyDescent="0.3">
      <c r="A18" s="52" t="s">
        <v>35</v>
      </c>
      <c r="B18" s="53"/>
      <c r="C18" s="54"/>
      <c r="D18" s="55"/>
      <c r="E18" s="56">
        <f>IF(SUM(F16:F17)&gt;0,(SUMIF(F16:F17,"&gt;0",E16:E17)/2),0)</f>
        <v>0</v>
      </c>
      <c r="F18" s="57"/>
      <c r="G18" s="58"/>
      <c r="H18" s="59"/>
      <c r="I18" s="59"/>
      <c r="J18" s="60"/>
      <c r="K18" s="61"/>
      <c r="L18" s="56">
        <f>IF(SUM(M16:M17)&gt;0,(SUMIF(M16:M17,"&gt;0",L16:L17)/2),0)</f>
        <v>0</v>
      </c>
      <c r="M18" s="62"/>
      <c r="N18" s="33"/>
    </row>
    <row r="19" spans="1:15" s="34" customFormat="1" ht="24.95" customHeight="1" x14ac:dyDescent="0.25">
      <c r="A19" s="213" t="s">
        <v>36</v>
      </c>
      <c r="B19" s="21" t="s">
        <v>37</v>
      </c>
      <c r="C19" s="22">
        <f>[26]NUMERIK!K31</f>
        <v>510</v>
      </c>
      <c r="D19" s="73" t="s">
        <v>12</v>
      </c>
      <c r="E19" s="74">
        <f>C19/E$7*100%</f>
        <v>0.46153846153846156</v>
      </c>
      <c r="F19" s="25">
        <f t="shared" si="0"/>
        <v>1</v>
      </c>
      <c r="G19" s="36" t="str">
        <f>[26]Outcome!Q181</f>
        <v xml:space="preserve">, , , , , , , , , , , , , , , , , , , </v>
      </c>
      <c r="H19" s="27">
        <f>[26]Outcome!Q182</f>
        <v>0</v>
      </c>
      <c r="I19" s="38" t="s">
        <v>12</v>
      </c>
      <c r="J19" s="39">
        <f>IF(H19&gt;C19,0,C19-H19)</f>
        <v>510</v>
      </c>
      <c r="K19" s="75" t="s">
        <v>12</v>
      </c>
      <c r="L19" s="76">
        <f>J19/E$7*100%</f>
        <v>0.46153846153846156</v>
      </c>
      <c r="M19" s="42">
        <f t="shared" si="1"/>
        <v>1</v>
      </c>
      <c r="N19" s="33"/>
    </row>
    <row r="20" spans="1:15" s="34" customFormat="1" ht="24.95" customHeight="1" thickBot="1" x14ac:dyDescent="0.3">
      <c r="A20" s="213"/>
      <c r="B20" s="21" t="s">
        <v>38</v>
      </c>
      <c r="C20" s="22">
        <f>[26]NUMERIK!K33</f>
        <v>31</v>
      </c>
      <c r="D20" s="73" t="s">
        <v>12</v>
      </c>
      <c r="E20" s="74">
        <f>C20/E$7*100%</f>
        <v>2.8054298642533938E-2</v>
      </c>
      <c r="F20" s="25">
        <f t="shared" si="0"/>
        <v>0</v>
      </c>
      <c r="G20" s="45" t="str">
        <f>[26]Outcome!Q201</f>
        <v xml:space="preserve">, , , , , , , , , , , , , , , , , , , , , , , , , , , , , , , , , , , , , , , , , , , , </v>
      </c>
      <c r="H20" s="37">
        <f>[26]Outcome!Q202</f>
        <v>0</v>
      </c>
      <c r="I20" s="38" t="s">
        <v>12</v>
      </c>
      <c r="J20" s="39">
        <f>IF(H20&gt;C20,0,C20-H20)</f>
        <v>31</v>
      </c>
      <c r="K20" s="75" t="s">
        <v>12</v>
      </c>
      <c r="L20" s="76">
        <f>J20/E$7*100%</f>
        <v>2.8054298642533938E-2</v>
      </c>
      <c r="M20" s="42">
        <f t="shared" si="1"/>
        <v>0</v>
      </c>
      <c r="N20" s="33"/>
    </row>
    <row r="21" spans="1:15" s="77" customFormat="1" ht="30" customHeight="1" thickBot="1" x14ac:dyDescent="0.3">
      <c r="A21" s="52" t="s">
        <v>39</v>
      </c>
      <c r="B21" s="53"/>
      <c r="C21" s="54"/>
      <c r="D21" s="55"/>
      <c r="E21" s="56">
        <f>IF(SUM(F19:F20)&gt;0,(SUMIF(F19:F20,"&gt;0",E19:E20)/2),0)</f>
        <v>0.23076923076923078</v>
      </c>
      <c r="F21" s="57"/>
      <c r="G21" s="58"/>
      <c r="H21" s="59"/>
      <c r="I21" s="59"/>
      <c r="J21" s="60"/>
      <c r="K21" s="61"/>
      <c r="L21" s="56">
        <f>IF(SUM(M19:M20)&gt;0,(SUMIF(M19:M20,"&gt;0",L19:L20)/2),0)</f>
        <v>0.23076923076923078</v>
      </c>
      <c r="M21" s="62"/>
      <c r="N21" s="33"/>
      <c r="O21" s="34"/>
    </row>
    <row r="22" spans="1:15" s="34" customFormat="1" ht="20.100000000000001" customHeight="1" x14ac:dyDescent="0.25">
      <c r="A22" s="192" t="s">
        <v>40</v>
      </c>
      <c r="B22" s="78" t="s">
        <v>41</v>
      </c>
      <c r="C22" s="22">
        <f>[26]NUMERIK!K36</f>
        <v>0.90999999999999992</v>
      </c>
      <c r="D22" s="73" t="s">
        <v>3</v>
      </c>
      <c r="E22" s="79">
        <f>C22/E$4*100%</f>
        <v>0.2964169381107491</v>
      </c>
      <c r="F22" s="25">
        <f t="shared" si="0"/>
        <v>1</v>
      </c>
      <c r="G22" s="36" t="str">
        <f>[26]Outcome!Q246</f>
        <v xml:space="preserve">, , , , , , , , , , , , , , , , , , , </v>
      </c>
      <c r="H22" s="27">
        <f>[26]Outcome!M246</f>
        <v>0</v>
      </c>
      <c r="I22" s="38" t="s">
        <v>3</v>
      </c>
      <c r="J22" s="39">
        <f>IF(H22&gt;C22,0,C22-H22)</f>
        <v>0.90999999999999992</v>
      </c>
      <c r="K22" s="40" t="s">
        <v>3</v>
      </c>
      <c r="L22" s="41">
        <f>J22/E$4*100%</f>
        <v>0.2964169381107491</v>
      </c>
      <c r="M22" s="42">
        <f t="shared" si="1"/>
        <v>1</v>
      </c>
      <c r="N22" s="33"/>
    </row>
    <row r="23" spans="1:15" s="34" customFormat="1" ht="25.5" customHeight="1" x14ac:dyDescent="0.25">
      <c r="A23" s="192"/>
      <c r="B23" s="21" t="s">
        <v>42</v>
      </c>
      <c r="C23" s="22">
        <f>([26]NUMERIK!K38-[26]NUMERIK!K40)</f>
        <v>1900</v>
      </c>
      <c r="D23" s="73" t="s">
        <v>33</v>
      </c>
      <c r="E23" s="79">
        <f>C23/[26]NUMERIK!K$38*100%</f>
        <v>0.32702237521514632</v>
      </c>
      <c r="F23" s="25">
        <f t="shared" si="0"/>
        <v>1</v>
      </c>
      <c r="G23" s="36" t="str">
        <f>[26]Outcome!Q266</f>
        <v xml:space="preserve">Saluran Drainase RT001-RW004, , , , , , , , , , , , , , , , , , , , , , , , , , , , , , , , , , , , , , , , , , , , </v>
      </c>
      <c r="H23" s="37">
        <f>[26]Outcome!M266</f>
        <v>227</v>
      </c>
      <c r="I23" s="38" t="s">
        <v>33</v>
      </c>
      <c r="J23" s="39">
        <f>IF(H23&gt;C23,0,C23-H23)</f>
        <v>1673</v>
      </c>
      <c r="K23" s="40" t="s">
        <v>33</v>
      </c>
      <c r="L23" s="41">
        <f>J23/[26]NUMERIK!K$38*100%</f>
        <v>0.28795180722891567</v>
      </c>
      <c r="M23" s="42">
        <f t="shared" si="1"/>
        <v>1</v>
      </c>
      <c r="N23" s="33"/>
    </row>
    <row r="24" spans="1:15" s="34" customFormat="1" ht="20.100000000000001" customHeight="1" x14ac:dyDescent="0.25">
      <c r="A24" s="192"/>
      <c r="B24" s="21" t="s">
        <v>43</v>
      </c>
      <c r="C24" s="22">
        <f>[26]NUMERIK!K42</f>
        <v>0</v>
      </c>
      <c r="D24" s="73" t="s">
        <v>33</v>
      </c>
      <c r="E24" s="79">
        <f>C24/[26]NUMERIK!K$38*100%</f>
        <v>0</v>
      </c>
      <c r="F24" s="25">
        <f t="shared" si="0"/>
        <v>0</v>
      </c>
      <c r="G24" s="36" t="str">
        <f>[26]Outcome!Q311</f>
        <v xml:space="preserve">, , , , , , , , , , , , , , , , , , , </v>
      </c>
      <c r="H24" s="37">
        <f>[26]Outcome!M311</f>
        <v>0</v>
      </c>
      <c r="I24" s="38" t="s">
        <v>33</v>
      </c>
      <c r="J24" s="39">
        <f>IF(H24&gt;C24,0,C24-H24)</f>
        <v>0</v>
      </c>
      <c r="K24" s="40" t="s">
        <v>33</v>
      </c>
      <c r="L24" s="41">
        <f>J24/[26]NUMERIK!K$38*100%</f>
        <v>0</v>
      </c>
      <c r="M24" s="42">
        <f t="shared" si="1"/>
        <v>0</v>
      </c>
      <c r="N24" s="33"/>
    </row>
    <row r="25" spans="1:15" s="34" customFormat="1" ht="20.100000000000001" customHeight="1" x14ac:dyDescent="0.25">
      <c r="A25" s="192"/>
      <c r="B25" s="21" t="s">
        <v>44</v>
      </c>
      <c r="C25" s="22">
        <f>[26]NUMERIK!K45</f>
        <v>3532</v>
      </c>
      <c r="D25" s="73" t="s">
        <v>33</v>
      </c>
      <c r="E25" s="79">
        <f>C25/[26]NUMERIK!K$38*100%</f>
        <v>0.60791738382099825</v>
      </c>
      <c r="F25" s="25">
        <f t="shared" si="0"/>
        <v>3</v>
      </c>
      <c r="G25" s="36" t="str">
        <f>[26]Outcome!Q331</f>
        <v xml:space="preserve">Drainase Lingkungan RT004-RW003, Drainase Lingkungan RT004-RW003, , , , , , , , , , , , , , , , , , </v>
      </c>
      <c r="H25" s="37">
        <f>[26]Outcome!M331</f>
        <v>535</v>
      </c>
      <c r="I25" s="38" t="s">
        <v>33</v>
      </c>
      <c r="J25" s="39">
        <f>IF(H25&gt;C25,0,C25-H25)</f>
        <v>2997</v>
      </c>
      <c r="K25" s="40" t="s">
        <v>33</v>
      </c>
      <c r="L25" s="41">
        <f>J25/[26]NUMERIK!K$38*100%</f>
        <v>0.51583476764199654</v>
      </c>
      <c r="M25" s="42">
        <f t="shared" si="1"/>
        <v>3</v>
      </c>
      <c r="N25" s="33"/>
    </row>
    <row r="26" spans="1:15" s="34" customFormat="1" ht="20.100000000000001" customHeight="1" thickBot="1" x14ac:dyDescent="0.3">
      <c r="A26" s="192"/>
      <c r="B26" s="78" t="s">
        <v>45</v>
      </c>
      <c r="C26" s="22">
        <f>[26]NUMERIK!K48</f>
        <v>872.3</v>
      </c>
      <c r="D26" s="73" t="s">
        <v>33</v>
      </c>
      <c r="E26" s="79">
        <f>C26/[26]NUMERIK!K$38*100%</f>
        <v>0.15013769363166954</v>
      </c>
      <c r="F26" s="25">
        <f t="shared" si="0"/>
        <v>0</v>
      </c>
      <c r="G26" s="36" t="str">
        <f>[26]Outcome!Q351</f>
        <v xml:space="preserve">Saluran Drainase RT001-RW003, , , , , , , , , , , , , , , , , , , , , , , , , , , , , , , , , , , , , , , , , , , , </v>
      </c>
      <c r="H26" s="37">
        <f>[26]Outcome!M351</f>
        <v>129</v>
      </c>
      <c r="I26" s="38" t="s">
        <v>33</v>
      </c>
      <c r="J26" s="39">
        <f>IF(H26&gt;C26,0,C26-H26)</f>
        <v>743.3</v>
      </c>
      <c r="K26" s="40" t="s">
        <v>33</v>
      </c>
      <c r="L26" s="41">
        <f>J26/[26]NUMERIK!K$38*100%</f>
        <v>0.12793459552495695</v>
      </c>
      <c r="M26" s="42">
        <f t="shared" si="1"/>
        <v>0</v>
      </c>
      <c r="N26" s="33"/>
    </row>
    <row r="27" spans="1:15" s="88" customFormat="1" ht="30" customHeight="1" thickBot="1" x14ac:dyDescent="0.3">
      <c r="A27" s="80" t="s">
        <v>46</v>
      </c>
      <c r="B27" s="81"/>
      <c r="C27" s="55"/>
      <c r="D27" s="55"/>
      <c r="E27" s="82">
        <f>IF(SUM(F22:F26)&gt;0,(SUMIF(F22:F26,"&gt;0",E22:E26)/5),0)</f>
        <v>0.24627133942937873</v>
      </c>
      <c r="F27" s="83"/>
      <c r="G27" s="58"/>
      <c r="H27" s="59"/>
      <c r="I27" s="59"/>
      <c r="J27" s="84"/>
      <c r="K27" s="85"/>
      <c r="L27" s="82">
        <f>IF(SUM(M22:M26)&gt;0,(SUMIF(M22:M26,"&gt;0",L22:L26)/5),0)</f>
        <v>0.22004070259633224</v>
      </c>
      <c r="M27" s="86"/>
      <c r="N27" s="87"/>
    </row>
    <row r="28" spans="1:15" s="34" customFormat="1" ht="27.75" customHeight="1" x14ac:dyDescent="0.25">
      <c r="A28" s="213" t="s">
        <v>47</v>
      </c>
      <c r="B28" s="21" t="s">
        <v>48</v>
      </c>
      <c r="C28" s="22">
        <f>[26]NUMERIK!K51</f>
        <v>24</v>
      </c>
      <c r="D28" s="73" t="s">
        <v>12</v>
      </c>
      <c r="E28" s="89">
        <f>C28/E$7*100%</f>
        <v>2.171945701357466E-2</v>
      </c>
      <c r="F28" s="25">
        <f t="shared" si="0"/>
        <v>0</v>
      </c>
      <c r="G28" s="36" t="str">
        <f>[26]Outcome!Q396</f>
        <v xml:space="preserve">Instalasi Pengolahan Air Limbah (IPAL) Setempat/Terpusat RT005-RW003, Instalasi Pengolahan Air Limbah (IPAL) Setempat/Terpusat RT002-RW004, Instalasi Pengolahan Air Limbah (IPAL) Setempat/Terpusat RT004-RW003, , , , , , , , , , , , , , , , , , , , , , , , , , , , , , , , , , , , , , , , , , </v>
      </c>
      <c r="H28" s="37">
        <f>[26]Outcome!Q397</f>
        <v>280</v>
      </c>
      <c r="I28" s="38" t="s">
        <v>12</v>
      </c>
      <c r="J28" s="39">
        <f>IF(H28&gt;C28,0,C28-H28)</f>
        <v>0</v>
      </c>
      <c r="K28" s="40" t="s">
        <v>12</v>
      </c>
      <c r="L28" s="41">
        <f>J28/E$7*100%</f>
        <v>0</v>
      </c>
      <c r="M28" s="42">
        <f t="shared" si="1"/>
        <v>0</v>
      </c>
      <c r="N28" s="33"/>
    </row>
    <row r="29" spans="1:15" s="34" customFormat="1" ht="30" customHeight="1" thickBot="1" x14ac:dyDescent="0.3">
      <c r="A29" s="213"/>
      <c r="B29" s="21" t="s">
        <v>49</v>
      </c>
      <c r="C29" s="22">
        <f>[26]NUMERIK!K53</f>
        <v>28</v>
      </c>
      <c r="D29" s="73" t="s">
        <v>12</v>
      </c>
      <c r="E29" s="89">
        <f>C29/E$7*100%</f>
        <v>2.5339366515837104E-2</v>
      </c>
      <c r="F29" s="25">
        <f t="shared" si="0"/>
        <v>0</v>
      </c>
      <c r="G29" s="45" t="str">
        <f>[26]Outcome!Q441</f>
        <v xml:space="preserve">Instalasi Pengolahan Air Limbah (IPAL) Setempat/Terpusat RT002-RW004, , , , , , , , , , , , , , , , , , , , , , , , , , , , , , , , , , , , , , , , , , , , , , , , , , , , , , </v>
      </c>
      <c r="H29" s="37">
        <f>[26]Outcome!Q442</f>
        <v>129</v>
      </c>
      <c r="I29" s="38" t="s">
        <v>12</v>
      </c>
      <c r="J29" s="39">
        <f>IF(H29&gt;C29,0,C29-H29)</f>
        <v>0</v>
      </c>
      <c r="K29" s="40" t="s">
        <v>12</v>
      </c>
      <c r="L29" s="41">
        <f>J29/E$7*100%</f>
        <v>0</v>
      </c>
      <c r="M29" s="42">
        <f t="shared" si="1"/>
        <v>0</v>
      </c>
      <c r="N29" s="33"/>
    </row>
    <row r="30" spans="1:15" s="88" customFormat="1" ht="30" customHeight="1" thickBot="1" x14ac:dyDescent="0.3">
      <c r="A30" s="90" t="s">
        <v>50</v>
      </c>
      <c r="B30" s="81"/>
      <c r="C30" s="55"/>
      <c r="D30" s="55"/>
      <c r="E30" s="82">
        <f>IF(SUM(F28:F29)&gt;0,(SUMIF(F28:F29,"&gt;0",E28:E29)/2),0)</f>
        <v>0</v>
      </c>
      <c r="F30" s="83"/>
      <c r="G30" s="91"/>
      <c r="H30" s="92"/>
      <c r="I30" s="92"/>
      <c r="J30" s="84"/>
      <c r="K30" s="85"/>
      <c r="L30" s="82">
        <f>IF(SUM(M28:M29)&gt;0,(SUMIF(M28:M29,"&gt;0",L28:L29)/2),0)</f>
        <v>0</v>
      </c>
      <c r="M30" s="86"/>
      <c r="N30" s="87"/>
    </row>
    <row r="31" spans="1:15" s="34" customFormat="1" ht="31.5" customHeight="1" x14ac:dyDescent="0.25">
      <c r="A31" s="192" t="s">
        <v>51</v>
      </c>
      <c r="B31" s="21" t="s">
        <v>52</v>
      </c>
      <c r="C31" s="93">
        <f>[26]NUMERIK!K56</f>
        <v>1105</v>
      </c>
      <c r="D31" s="94" t="s">
        <v>12</v>
      </c>
      <c r="E31" s="89">
        <f>C31/E$7*100%</f>
        <v>1</v>
      </c>
      <c r="F31" s="25">
        <f t="shared" si="0"/>
        <v>5</v>
      </c>
      <c r="G31" s="36" t="str">
        <f>[26]Outcome!Q496</f>
        <v xml:space="preserve">Gerobak Motor Sampah RT005-RW002, Gerobak Motor Sampah RT001-RW003, Gerobak Motor Sampah RT002-RW003, Gerobak Motor Sampah RT003-RW003, Gerobak Motor Sampah RT004-RW003, Gerobak Motor Sampah RT005-RW003, Gerobak Motor Sampah RT006-RW003, Gerobak Motor Sampah RT001-RW004, Gerobak Motor Sampah RT002-RW004, Gerobak Motor Sampah RT003-RW004, Gerobak Motor Sampah RT004-RW004, Gerobak Motor Sampah RT003-RW002, Gerobak Motor Sampah RT004-RW002, , , , , , , , , , , , , , , , , , , , , , , , , , , , , , , , </v>
      </c>
      <c r="H31" s="37">
        <f>[26]Outcome!Q497</f>
        <v>1105</v>
      </c>
      <c r="I31" s="38" t="s">
        <v>12</v>
      </c>
      <c r="J31" s="39">
        <f>IF(H31&gt;C31,0,C31-H31)</f>
        <v>0</v>
      </c>
      <c r="K31" s="40" t="s">
        <v>12</v>
      </c>
      <c r="L31" s="41">
        <f>J31/E$7*100%</f>
        <v>0</v>
      </c>
      <c r="M31" s="42">
        <f t="shared" si="1"/>
        <v>0</v>
      </c>
      <c r="N31" s="33"/>
    </row>
    <row r="32" spans="1:15" s="34" customFormat="1" ht="32.25" customHeight="1" x14ac:dyDescent="0.25">
      <c r="A32" s="192"/>
      <c r="B32" s="21" t="s">
        <v>53</v>
      </c>
      <c r="C32" s="93">
        <f>[26]NUMERIK!K59</f>
        <v>761</v>
      </c>
      <c r="D32" s="94" t="s">
        <v>12</v>
      </c>
      <c r="E32" s="89">
        <f>C32/E$7*100%</f>
        <v>0.68868778280542986</v>
      </c>
      <c r="F32" s="25">
        <f t="shared" si="0"/>
        <v>3</v>
      </c>
      <c r="G32" s="36" t="str">
        <f>[26]Outcome!Q541</f>
        <v xml:space="preserve">Gerobak Motor Sampah RT005-RW002, Gerobak Motor Sampah RT001-RW003, Gerobak Motor Sampah RT002-RW003, Gerobak Motor Sampah RT003-RW003, Gerobak Motor Sampah RT005-RW003, Gerobak Motor Sampah RT006-RW003, Gerobak Motor Sampah RT002-RW004, Gerobak Motor Sampah RT003-RW004, Gerobak Motor Sampah RT004-RW004, Gerobak Motor Sampah RT003-RW002, Gerobak Motor Sampah RT004-RW002, , , , , , , , , , , , , , , , , , , , , , , , , , , , , , , , , , </v>
      </c>
      <c r="H32" s="37">
        <f>[26]Outcome!Q542</f>
        <v>954</v>
      </c>
      <c r="I32" s="38" t="s">
        <v>12</v>
      </c>
      <c r="J32" s="39">
        <f>IF(H32&gt;C32,0,C32-H32)</f>
        <v>0</v>
      </c>
      <c r="K32" s="40" t="s">
        <v>12</v>
      </c>
      <c r="L32" s="41">
        <f>J32/E$7*100%</f>
        <v>0</v>
      </c>
      <c r="M32" s="42">
        <f t="shared" si="1"/>
        <v>0</v>
      </c>
      <c r="N32" s="33"/>
    </row>
    <row r="33" spans="1:14" s="34" customFormat="1" ht="30.75" customHeight="1" thickBot="1" x14ac:dyDescent="0.3">
      <c r="A33" s="192"/>
      <c r="B33" s="21" t="s">
        <v>54</v>
      </c>
      <c r="C33" s="93">
        <f>[26]NUMERIK!K61</f>
        <v>1105</v>
      </c>
      <c r="D33" s="94" t="s">
        <v>12</v>
      </c>
      <c r="E33" s="89">
        <f>C33/E$7*100%</f>
        <v>1</v>
      </c>
      <c r="F33" s="25">
        <f t="shared" si="0"/>
        <v>5</v>
      </c>
      <c r="G33" s="36" t="str">
        <f>[26]Outcome!Q586</f>
        <v xml:space="preserve">Gerobak Motor Sampah RT005-RW002, Gerobak Motor Sampah RT001-RW003, Gerobak Motor Sampah RT002-RW003, Gerobak Motor Sampah RT003-RW003, Gerobak Motor Sampah RT004-RW003, Gerobak Motor Sampah RT005-RW003, Gerobak Motor Sampah RT006-RW003, Gerobak Motor Sampah RT001-RW004, Gerobak Motor Sampah RT002-RW004, Gerobak Motor Sampah RT003-RW004, Gerobak Motor Sampah RT004-RW004, Gerobak Motor Sampah RT003-RW002, Gerobak Motor Sampah RT004-RW002, , , , , , , , , , , , , , , , , , , , , , , , , , , , , , , , </v>
      </c>
      <c r="H33" s="37">
        <f>[26]Outcome!Q587</f>
        <v>1105</v>
      </c>
      <c r="I33" s="38" t="s">
        <v>12</v>
      </c>
      <c r="J33" s="39">
        <f>IF(H33&gt;C33,0,C33-H33)</f>
        <v>0</v>
      </c>
      <c r="K33" s="40" t="s">
        <v>12</v>
      </c>
      <c r="L33" s="41">
        <f>J33/E$7*100%</f>
        <v>0</v>
      </c>
      <c r="M33" s="42">
        <f t="shared" si="1"/>
        <v>0</v>
      </c>
      <c r="N33" s="33"/>
    </row>
    <row r="34" spans="1:14" s="88" customFormat="1" ht="30" customHeight="1" thickBot="1" x14ac:dyDescent="0.3">
      <c r="A34" s="80" t="s">
        <v>55</v>
      </c>
      <c r="B34" s="81"/>
      <c r="C34" s="55"/>
      <c r="D34" s="55"/>
      <c r="E34" s="82">
        <f>IF(SUM(F31:F33)&gt;0,(SUMIF(F31:F33,"&gt;0",E31:E33)/3),0)</f>
        <v>0.89622926093514332</v>
      </c>
      <c r="F34" s="83"/>
      <c r="G34" s="91"/>
      <c r="H34" s="92"/>
      <c r="I34" s="92"/>
      <c r="J34" s="84"/>
      <c r="K34" s="85"/>
      <c r="L34" s="82">
        <f>IF(SUM(M31:M33)&gt;0,(SUMIF(M31:M33,"&gt;0",L31:L33)/3),0)</f>
        <v>0</v>
      </c>
      <c r="M34" s="86"/>
      <c r="N34" s="87"/>
    </row>
    <row r="35" spans="1:14" s="34" customFormat="1" ht="24.95" customHeight="1" x14ac:dyDescent="0.25">
      <c r="A35" s="213" t="s">
        <v>56</v>
      </c>
      <c r="B35" s="95" t="s">
        <v>57</v>
      </c>
      <c r="C35" s="93">
        <f>[26]NUMERIK!K64</f>
        <v>583</v>
      </c>
      <c r="D35" s="94" t="s">
        <v>8</v>
      </c>
      <c r="E35" s="79">
        <f>C35/E$5*100%</f>
        <v>0.59794871794871796</v>
      </c>
      <c r="F35" s="25">
        <f t="shared" si="0"/>
        <v>3</v>
      </c>
      <c r="G35" s="36" t="str">
        <f>[26]Outcome!Q631</f>
        <v xml:space="preserve">, , , , , , , , , , , , , , , , , , , </v>
      </c>
      <c r="H35" s="27">
        <f>[26]Outcome!Q632</f>
        <v>0</v>
      </c>
      <c r="I35" s="38" t="s">
        <v>8</v>
      </c>
      <c r="J35" s="39">
        <f>IF(H35&gt;C35,0,C35-H35)</f>
        <v>583</v>
      </c>
      <c r="K35" s="40" t="s">
        <v>8</v>
      </c>
      <c r="L35" s="41">
        <f>J35/E$5*100%</f>
        <v>0.59794871794871796</v>
      </c>
      <c r="M35" s="42">
        <f t="shared" si="1"/>
        <v>3</v>
      </c>
      <c r="N35" s="33"/>
    </row>
    <row r="36" spans="1:14" s="34" customFormat="1" ht="24.95" customHeight="1" thickBot="1" x14ac:dyDescent="0.3">
      <c r="A36" s="213"/>
      <c r="B36" s="95" t="s">
        <v>58</v>
      </c>
      <c r="C36" s="96">
        <f>[26]NUMERIK!K66</f>
        <v>863</v>
      </c>
      <c r="D36" s="94" t="s">
        <v>8</v>
      </c>
      <c r="E36" s="79">
        <f>C36/E$5*100%</f>
        <v>0.88512820512820511</v>
      </c>
      <c r="F36" s="25">
        <f t="shared" si="0"/>
        <v>5</v>
      </c>
      <c r="G36" s="36" t="str">
        <f>[26]Outcome!Q651</f>
        <v xml:space="preserve">Mobil pemadam kebakaran RT005-RW002, Mobil pemadam kebakaran RT001-RW003, Mobil pemadam kebakaran RT002-RW003, Mobil pemadam kebakaran RT003-RW003, Mobil pemadam kebakaran RT004-RW003, Mobil pemadam kebakaran RT005-RW003, Mobil pemadam kebakaran RT006-RW003, Mobil pemadam kebakaran RT001-RW004, Mobil pemadam kebakaran RT002-RW004, Mobil pemadam kebakaran RT003-RW002, Mobil pemadam kebakaran RT004-RW002, , , , , , , , , </v>
      </c>
      <c r="H36" s="37">
        <f>[26]Outcome!Q652</f>
        <v>1031</v>
      </c>
      <c r="I36" s="97" t="s">
        <v>8</v>
      </c>
      <c r="J36" s="98">
        <f>IF(H36&gt;C36,0,C36-H36)</f>
        <v>0</v>
      </c>
      <c r="K36" s="99" t="s">
        <v>8</v>
      </c>
      <c r="L36" s="100">
        <f>J36/E$5*100%</f>
        <v>0</v>
      </c>
      <c r="M36" s="51">
        <f t="shared" si="1"/>
        <v>0</v>
      </c>
      <c r="N36" s="33"/>
    </row>
    <row r="37" spans="1:14" s="77" customFormat="1" ht="30" customHeight="1" thickBot="1" x14ac:dyDescent="0.3">
      <c r="A37" s="80" t="s">
        <v>59</v>
      </c>
      <c r="B37" s="101"/>
      <c r="C37" s="102"/>
      <c r="D37" s="102"/>
      <c r="E37" s="82">
        <f>IF(SUM(F35:F36)&gt;0,(SUMIF(F35:F36,"&gt;0",E35:E36)/2),0)</f>
        <v>0.74153846153846148</v>
      </c>
      <c r="F37" s="103"/>
      <c r="G37" s="104"/>
      <c r="H37" s="105"/>
      <c r="I37" s="105"/>
      <c r="J37" s="106"/>
      <c r="K37" s="107"/>
      <c r="L37" s="82">
        <f>IF(SUM(M35:M36)&gt;0,(SUMIF(M35:M36,"&gt;0",L35:L36)/2),0)</f>
        <v>0.29897435897435898</v>
      </c>
      <c r="M37" s="108"/>
      <c r="N37" s="109"/>
    </row>
    <row r="38" spans="1:14" ht="15" customHeight="1" x14ac:dyDescent="0.25">
      <c r="A38" s="110"/>
      <c r="B38" s="111" t="s">
        <v>60</v>
      </c>
      <c r="D38" s="218" t="s">
        <v>61</v>
      </c>
      <c r="E38" s="219"/>
      <c r="F38" s="222">
        <f>SUM(F12:F36)</f>
        <v>30</v>
      </c>
      <c r="G38" s="112"/>
      <c r="H38" s="112"/>
      <c r="I38" s="112"/>
      <c r="J38" s="112"/>
      <c r="K38" s="238" t="s">
        <v>61</v>
      </c>
      <c r="L38" s="239"/>
      <c r="M38" s="224">
        <f>SUM(M12:M36)</f>
        <v>12</v>
      </c>
    </row>
    <row r="39" spans="1:14" ht="15" customHeight="1" x14ac:dyDescent="0.25">
      <c r="A39" s="110"/>
      <c r="B39" s="113" t="s">
        <v>62</v>
      </c>
      <c r="D39" s="220"/>
      <c r="E39" s="221"/>
      <c r="F39" s="223"/>
      <c r="G39" s="114"/>
      <c r="H39" s="114"/>
      <c r="I39" s="114"/>
      <c r="J39" s="114"/>
      <c r="K39" s="240"/>
      <c r="L39" s="241"/>
      <c r="M39" s="225"/>
    </row>
    <row r="40" spans="1:14" ht="15" customHeight="1" x14ac:dyDescent="0.25">
      <c r="A40" s="110"/>
      <c r="B40" s="115" t="s">
        <v>63</v>
      </c>
      <c r="D40" s="226" t="s">
        <v>64</v>
      </c>
      <c r="E40" s="227"/>
      <c r="F40" s="230" t="str">
        <f>IF(F38="N/A","TIDAK KUMUH",IF(F38&gt;=71,"KUMUH BERAT",IF(AND(F38&lt;=70,F38&gt;=45),"KUMUH SEDANG",IF(AND(F38&lt;=44,F38&gt;=19),"KUMUH RINGAN","TIDAK KUMUH"))))</f>
        <v>KUMUH RINGAN</v>
      </c>
      <c r="G40" s="116"/>
      <c r="H40" s="116"/>
      <c r="I40" s="116"/>
      <c r="J40" s="116"/>
      <c r="K40" s="232" t="s">
        <v>64</v>
      </c>
      <c r="L40" s="233"/>
      <c r="M40" s="236" t="str">
        <f>IF(M38="N/A","TIDAK KUMUH",IF(M38&gt;=71,"KUMUH BERAT",IF(AND(M38&lt;=70,M38&gt;=45),"KUMUH SEDANG",IF(AND(M38&lt;=44,M38&gt;=19),"KUMUH RINGAN","TIDAK KUMUH"))))</f>
        <v>TIDAK KUMUH</v>
      </c>
    </row>
    <row r="41" spans="1:14" ht="15" customHeight="1" thickBot="1" x14ac:dyDescent="0.3">
      <c r="A41" s="110"/>
      <c r="B41" s="117" t="s">
        <v>65</v>
      </c>
      <c r="D41" s="228"/>
      <c r="E41" s="229"/>
      <c r="F41" s="231" t="str">
        <f>IF(E41&gt;71,"KB",IF(E41&gt;=47,"KS","KR"))</f>
        <v>KR</v>
      </c>
      <c r="G41" s="116"/>
      <c r="H41" s="116"/>
      <c r="I41" s="116"/>
      <c r="J41" s="116"/>
      <c r="K41" s="234"/>
      <c r="L41" s="235"/>
      <c r="M41" s="237" t="str">
        <f>IF(L41&gt;71,"KB",IF(L41&gt;=47,"KS","KR"))</f>
        <v>KR</v>
      </c>
    </row>
    <row r="42" spans="1:14" ht="21" customHeight="1" x14ac:dyDescent="0.25">
      <c r="B42" s="118" t="s">
        <v>66</v>
      </c>
      <c r="C42" s="119"/>
      <c r="D42" s="120"/>
      <c r="E42" s="121" t="s">
        <v>67</v>
      </c>
      <c r="F42" s="122">
        <f>AVERAGE(E15,E18,E21,E27,E30,E34,E37)</f>
        <v>0.33474558936853221</v>
      </c>
      <c r="J42" s="123"/>
      <c r="K42" s="124"/>
      <c r="L42" s="125" t="s">
        <v>67</v>
      </c>
      <c r="M42" s="126">
        <f>AVERAGE(L15,L18,L21,L27,L30,L34,L37)</f>
        <v>0.13974216074963336</v>
      </c>
    </row>
    <row r="43" spans="1:14" ht="21" customHeight="1" x14ac:dyDescent="0.25">
      <c r="B43" s="127"/>
      <c r="C43" s="119"/>
      <c r="D43" s="120"/>
      <c r="E43" s="121" t="s">
        <v>68</v>
      </c>
      <c r="F43" s="122">
        <v>0</v>
      </c>
      <c r="J43" s="123"/>
      <c r="K43" s="124"/>
      <c r="L43" s="125" t="s">
        <v>68</v>
      </c>
      <c r="M43" s="126">
        <f>(F42-M42)/F42</f>
        <v>0.58254218968726512</v>
      </c>
      <c r="N43"/>
    </row>
    <row r="44" spans="1:14" x14ac:dyDescent="0.25">
      <c r="M44" s="128"/>
    </row>
    <row r="55" spans="12:12" x14ac:dyDescent="0.25">
      <c r="L55" s="129"/>
    </row>
  </sheetData>
  <mergeCells count="23">
    <mergeCell ref="A22:A26"/>
    <mergeCell ref="A1:F1"/>
    <mergeCell ref="A2:B2"/>
    <mergeCell ref="A9:A11"/>
    <mergeCell ref="B9:B11"/>
    <mergeCell ref="C9:F10"/>
    <mergeCell ref="J9:M10"/>
    <mergeCell ref="G10:I10"/>
    <mergeCell ref="A12:A14"/>
    <mergeCell ref="A16:A17"/>
    <mergeCell ref="A19:A20"/>
    <mergeCell ref="G9:I9"/>
    <mergeCell ref="A28:A29"/>
    <mergeCell ref="A31:A33"/>
    <mergeCell ref="A35:A36"/>
    <mergeCell ref="D38:E39"/>
    <mergeCell ref="F38:F39"/>
    <mergeCell ref="M38:M39"/>
    <mergeCell ref="D40:E41"/>
    <mergeCell ref="F40:F41"/>
    <mergeCell ref="K40:L41"/>
    <mergeCell ref="M40:M41"/>
    <mergeCell ref="K38:L39"/>
  </mergeCells>
  <conditionalFormatting sqref="F40:J41">
    <cfRule type="expression" dxfId="98" priority="6">
      <formula>F40="KUMUH SEDANG"</formula>
    </cfRule>
    <cfRule type="expression" dxfId="97" priority="7">
      <formula>F40="TIDAK KUMUH"</formula>
    </cfRule>
    <cfRule type="expression" dxfId="96" priority="8">
      <formula>F40="KUMUH BERAT"</formula>
    </cfRule>
    <cfRule type="expression" dxfId="95" priority="9">
      <formula>F40="KUMUH RINGAN"</formula>
    </cfRule>
  </conditionalFormatting>
  <conditionalFormatting sqref="G12:G14 G16:G17 G19:G20 G22:G26 G28:G29 G31:G33 G35:G36">
    <cfRule type="cellIs" dxfId="94" priority="1" operator="equal">
      <formula>", , , , , , "</formula>
    </cfRule>
  </conditionalFormatting>
  <conditionalFormatting sqref="M40:M41">
    <cfRule type="expression" dxfId="93" priority="2">
      <formula>M40="KUMUH SEDANG"</formula>
    </cfRule>
    <cfRule type="expression" dxfId="92" priority="3">
      <formula>M40="TIDAK KUMUH"</formula>
    </cfRule>
    <cfRule type="expression" dxfId="91" priority="4">
      <formula>M40="KUMUH BERAT"</formula>
    </cfRule>
    <cfRule type="expression" dxfId="90" priority="5">
      <formula>M40="KUMUH RINGAN"</formula>
    </cfRule>
  </conditionalFormatting>
  <pageMargins left="0.7" right="0.2" top="0.75" bottom="0.75" header="0.3" footer="0.3"/>
  <pageSetup paperSize="9" scale="70" orientation="portrait" horizontalDpi="4294967293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8501A-5316-48E8-B261-7AA8560C4FD8}">
  <sheetPr>
    <tabColor rgb="FF0070C0"/>
  </sheetPr>
  <dimension ref="A1:O55"/>
  <sheetViews>
    <sheetView showGridLines="0" zoomScale="80" zoomScaleNormal="80" zoomScaleSheetLayoutView="75" zoomScalePageLayoutView="90" workbookViewId="0">
      <pane xSplit="1" ySplit="11" topLeftCell="B32" activePane="bottomRight" state="frozen"/>
      <selection pane="topRight" activeCell="B1" sqref="B1"/>
      <selection pane="bottomLeft" activeCell="A12" sqref="A12"/>
      <selection pane="bottomRight" activeCell="F12" sqref="F12:F37"/>
    </sheetView>
  </sheetViews>
  <sheetFormatPr defaultColWidth="8.85546875" defaultRowHeight="15" x14ac:dyDescent="0.25"/>
  <cols>
    <col min="1" max="1" width="24" customWidth="1"/>
    <col min="2" max="2" width="45.85546875" customWidth="1"/>
    <col min="3" max="3" width="12.42578125" customWidth="1"/>
    <col min="4" max="4" width="9.140625" customWidth="1"/>
    <col min="5" max="5" width="12.140625" customWidth="1"/>
    <col min="6" max="6" width="9.140625" customWidth="1"/>
    <col min="7" max="7" width="36.42578125" customWidth="1"/>
    <col min="8" max="9" width="9.140625" customWidth="1"/>
    <col min="10" max="10" width="10" bestFit="1" customWidth="1"/>
    <col min="11" max="12" width="9.140625" customWidth="1"/>
    <col min="13" max="13" width="11.28515625" customWidth="1"/>
    <col min="14" max="14" width="2.28515625" style="3" customWidth="1"/>
  </cols>
  <sheetData>
    <row r="1" spans="1:14" ht="18.75" customHeight="1" x14ac:dyDescent="0.3">
      <c r="A1" s="193" t="s">
        <v>0</v>
      </c>
      <c r="B1" s="193"/>
      <c r="C1" s="193"/>
      <c r="D1" s="193"/>
      <c r="E1" s="193"/>
      <c r="F1" s="193"/>
      <c r="G1" s="1"/>
      <c r="H1" s="1"/>
      <c r="I1" s="1"/>
      <c r="J1" s="1"/>
      <c r="K1" s="1"/>
      <c r="L1" s="1"/>
      <c r="M1" s="2"/>
    </row>
    <row r="2" spans="1:14" ht="3.75" customHeight="1" x14ac:dyDescent="0.25">
      <c r="A2" s="194"/>
      <c r="B2" s="194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4" ht="15.75" customHeight="1" x14ac:dyDescent="0.25">
      <c r="A3" s="6" t="s">
        <v>1</v>
      </c>
      <c r="B3" s="6" t="str">
        <f>": "&amp;[27]NUMERIK!E14</f>
        <v>: JAWA TIMUR</v>
      </c>
      <c r="C3" s="7" t="s">
        <v>2</v>
      </c>
      <c r="D3" s="8"/>
      <c r="E3" s="9">
        <f>[27]NUMERIK!K6</f>
        <v>1.7099999999999995</v>
      </c>
      <c r="F3" t="s">
        <v>3</v>
      </c>
    </row>
    <row r="4" spans="1:14" ht="15.75" customHeight="1" x14ac:dyDescent="0.25">
      <c r="A4" s="6" t="s">
        <v>4</v>
      </c>
      <c r="B4" s="6" t="str">
        <f>": "&amp;[27]NUMERIK!E12</f>
        <v>: KAB. BOJONEGORO</v>
      </c>
      <c r="C4" s="7" t="s">
        <v>5</v>
      </c>
      <c r="D4" s="8"/>
      <c r="E4" s="9">
        <f>[27]NUMERIK!K8</f>
        <v>1.7099999999999995</v>
      </c>
      <c r="F4" t="s">
        <v>3</v>
      </c>
    </row>
    <row r="5" spans="1:14" ht="15.75" customHeight="1" x14ac:dyDescent="0.25">
      <c r="A5" s="10" t="s">
        <v>6</v>
      </c>
      <c r="B5" s="10" t="str">
        <f>": "&amp;[27]NUMERIK!E10</f>
        <v>: BOJONEGORO</v>
      </c>
      <c r="C5" s="7" t="s">
        <v>7</v>
      </c>
      <c r="D5" s="8"/>
      <c r="E5" s="11">
        <f>[27]NUMERIK!K10</f>
        <v>282</v>
      </c>
      <c r="F5" t="s">
        <v>8</v>
      </c>
    </row>
    <row r="6" spans="1:14" ht="15.75" customHeight="1" x14ac:dyDescent="0.25">
      <c r="A6" s="10" t="s">
        <v>9</v>
      </c>
      <c r="B6" s="10" t="str">
        <f>": "&amp;[27]NUMERIK!E6</f>
        <v>: KLANGON</v>
      </c>
      <c r="C6" s="7" t="s">
        <v>10</v>
      </c>
      <c r="D6" s="8"/>
      <c r="E6" s="12">
        <f>[27]NUMERIK!K12</f>
        <v>1050</v>
      </c>
      <c r="F6" t="s">
        <v>11</v>
      </c>
    </row>
    <row r="7" spans="1:14" ht="15.75" customHeight="1" x14ac:dyDescent="0.25">
      <c r="A7" s="4"/>
      <c r="B7" s="13"/>
      <c r="C7" s="7" t="s">
        <v>7</v>
      </c>
      <c r="D7" s="5"/>
      <c r="E7" s="12">
        <f>[27]NUMERIK!K14</f>
        <v>315</v>
      </c>
      <c r="F7" t="s">
        <v>12</v>
      </c>
    </row>
    <row r="8" spans="1:14" ht="5.25" customHeight="1" thickBot="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4" ht="12" customHeight="1" x14ac:dyDescent="0.25">
      <c r="A9" s="195" t="s">
        <v>13</v>
      </c>
      <c r="B9" s="197" t="s">
        <v>14</v>
      </c>
      <c r="C9" s="199" t="s">
        <v>15</v>
      </c>
      <c r="D9" s="200"/>
      <c r="E9" s="200"/>
      <c r="F9" s="201"/>
      <c r="G9" s="216" t="s">
        <v>16</v>
      </c>
      <c r="H9" s="217"/>
      <c r="I9" s="217"/>
      <c r="J9" s="205" t="s">
        <v>17</v>
      </c>
      <c r="K9" s="206"/>
      <c r="L9" s="206"/>
      <c r="M9" s="207"/>
    </row>
    <row r="10" spans="1:14" ht="9.75" customHeight="1" x14ac:dyDescent="0.25">
      <c r="A10" s="196"/>
      <c r="B10" s="198"/>
      <c r="C10" s="202"/>
      <c r="D10" s="203"/>
      <c r="E10" s="203"/>
      <c r="F10" s="204"/>
      <c r="G10" s="211" t="s">
        <v>18</v>
      </c>
      <c r="H10" s="212"/>
      <c r="I10" s="212"/>
      <c r="J10" s="208"/>
      <c r="K10" s="209"/>
      <c r="L10" s="209"/>
      <c r="M10" s="210"/>
    </row>
    <row r="11" spans="1:14" ht="15.75" thickBot="1" x14ac:dyDescent="0.3">
      <c r="A11" s="196"/>
      <c r="B11" s="198"/>
      <c r="C11" s="14" t="s">
        <v>19</v>
      </c>
      <c r="D11" s="14" t="s">
        <v>20</v>
      </c>
      <c r="E11" s="14" t="s">
        <v>21</v>
      </c>
      <c r="F11" s="15" t="s">
        <v>22</v>
      </c>
      <c r="G11" s="16" t="s">
        <v>23</v>
      </c>
      <c r="H11" s="17" t="s">
        <v>24</v>
      </c>
      <c r="I11" s="17" t="s">
        <v>20</v>
      </c>
      <c r="J11" s="18" t="s">
        <v>19</v>
      </c>
      <c r="K11" s="19" t="s">
        <v>20</v>
      </c>
      <c r="L11" s="19" t="s">
        <v>25</v>
      </c>
      <c r="M11" s="20" t="s">
        <v>22</v>
      </c>
    </row>
    <row r="12" spans="1:14" s="34" customFormat="1" ht="24.95" customHeight="1" x14ac:dyDescent="0.25">
      <c r="A12" s="213" t="s">
        <v>26</v>
      </c>
      <c r="B12" s="21" t="s">
        <v>27</v>
      </c>
      <c r="C12" s="22">
        <f>[27]NUMERIK!K18</f>
        <v>10</v>
      </c>
      <c r="D12" s="23" t="s">
        <v>8</v>
      </c>
      <c r="E12" s="24">
        <f>C12/E5*100%</f>
        <v>3.5460992907801421E-2</v>
      </c>
      <c r="F12" s="25">
        <f t="shared" ref="F12:F36" si="0">IF(AND(E12&gt;=24.995%,E12&lt;50.995%),1,IF(AND(E12&gt;=50.995%,E12&lt;75.995%),3,IF(E12&gt;=75.995%,5,0)))</f>
        <v>0</v>
      </c>
      <c r="G12" s="26" t="str">
        <f>[27]Outcome!Q6</f>
        <v xml:space="preserve">, , , , , , , , , , , , , , , , , , , , , , , , , , , , , , , , , , , , , , , , , , , , </v>
      </c>
      <c r="H12" s="27">
        <f>[27]Outcome!M6</f>
        <v>0</v>
      </c>
      <c r="I12" s="28" t="s">
        <v>8</v>
      </c>
      <c r="J12" s="29">
        <f>IF(H12&gt;C12,0,C12-H12)</f>
        <v>10</v>
      </c>
      <c r="K12" s="30" t="s">
        <v>8</v>
      </c>
      <c r="L12" s="31">
        <f>J12/E$5*100%</f>
        <v>3.5460992907801421E-2</v>
      </c>
      <c r="M12" s="32">
        <f t="shared" ref="M12:M36" si="1">IF(AND(L12&gt;=24.995%,L12&lt;50.995%),1,IF(AND(L12&gt;=50.995%,L12&lt;75.995%),3,IF(L12&gt;=75.995%,5,0)))</f>
        <v>0</v>
      </c>
      <c r="N12" s="33"/>
    </row>
    <row r="13" spans="1:14" s="34" customFormat="1" ht="24.95" customHeight="1" x14ac:dyDescent="0.25">
      <c r="A13" s="213"/>
      <c r="B13" s="21" t="s">
        <v>28</v>
      </c>
      <c r="C13" s="35">
        <f>[27]NUMERIK!K20</f>
        <v>0.1503516998827667</v>
      </c>
      <c r="D13" s="23" t="s">
        <v>3</v>
      </c>
      <c r="E13" s="24">
        <f>C13/E4*100%</f>
        <v>8.7924970691676457E-2</v>
      </c>
      <c r="F13" s="25">
        <f t="shared" si="0"/>
        <v>0</v>
      </c>
      <c r="G13" s="36" t="str">
        <f>[27]Outcome!Q51</f>
        <v xml:space="preserve">, , , , , , , , , , , , , , , , , , , </v>
      </c>
      <c r="H13" s="37">
        <f>[27]Outcome!M51</f>
        <v>0</v>
      </c>
      <c r="I13" s="38" t="s">
        <v>3</v>
      </c>
      <c r="J13" s="39">
        <f>IF(H13&gt;C13,0,C13-H13)</f>
        <v>0.1503516998827667</v>
      </c>
      <c r="K13" s="40" t="s">
        <v>3</v>
      </c>
      <c r="L13" s="41">
        <f>J13/E$4*100%</f>
        <v>8.7924970691676457E-2</v>
      </c>
      <c r="M13" s="42">
        <f t="shared" si="1"/>
        <v>0</v>
      </c>
      <c r="N13" s="33"/>
    </row>
    <row r="14" spans="1:14" s="34" customFormat="1" ht="24.95" customHeight="1" thickBot="1" x14ac:dyDescent="0.3">
      <c r="A14" s="214"/>
      <c r="B14" s="43" t="s">
        <v>29</v>
      </c>
      <c r="C14" s="35">
        <f>[27]NUMERIK!K22</f>
        <v>19</v>
      </c>
      <c r="D14" s="23" t="s">
        <v>8</v>
      </c>
      <c r="E14" s="24">
        <f>C14/E5*100%</f>
        <v>6.7375886524822695E-2</v>
      </c>
      <c r="F14" s="44">
        <f t="shared" si="0"/>
        <v>0</v>
      </c>
      <c r="G14" s="45" t="str">
        <f>[27]Outcome!Q71</f>
        <v xml:space="preserve">, , , , , , , , , , , , , , , , , , , , , , , , , , , , , , , , , , , , , , , , , , , , </v>
      </c>
      <c r="H14" s="46">
        <f>[27]Outcome!M71</f>
        <v>0</v>
      </c>
      <c r="I14" s="47" t="s">
        <v>8</v>
      </c>
      <c r="J14" s="48">
        <f>IF(H14&gt;C14,0,C14-H14)</f>
        <v>19</v>
      </c>
      <c r="K14" s="49" t="s">
        <v>8</v>
      </c>
      <c r="L14" s="50">
        <f>J14/E$5*100%</f>
        <v>6.7375886524822695E-2</v>
      </c>
      <c r="M14" s="51">
        <f t="shared" si="1"/>
        <v>0</v>
      </c>
      <c r="N14" s="33"/>
    </row>
    <row r="15" spans="1:14" s="34" customFormat="1" ht="30" customHeight="1" thickBot="1" x14ac:dyDescent="0.3">
      <c r="A15" s="52" t="s">
        <v>30</v>
      </c>
      <c r="B15" s="53"/>
      <c r="C15" s="54"/>
      <c r="D15" s="55"/>
      <c r="E15" s="56">
        <f>IF(SUM(F12:F14)&gt;0,(SUMIF(F12:F14,"&gt;0",E12:E14)/3),0)</f>
        <v>0</v>
      </c>
      <c r="F15" s="57"/>
      <c r="G15" s="58"/>
      <c r="H15" s="59"/>
      <c r="I15" s="59"/>
      <c r="J15" s="60"/>
      <c r="K15" s="61"/>
      <c r="L15" s="56">
        <f>IF(SUM(M12:M14)&gt;0,(SUMIF(M12:M14,"&gt;0",L12:L14)/3),0)</f>
        <v>0</v>
      </c>
      <c r="M15" s="62"/>
      <c r="N15" s="33"/>
    </row>
    <row r="16" spans="1:14" s="34" customFormat="1" ht="24.95" customHeight="1" x14ac:dyDescent="0.25">
      <c r="A16" s="215" t="s">
        <v>31</v>
      </c>
      <c r="B16" s="63" t="s">
        <v>32</v>
      </c>
      <c r="C16" s="64">
        <f>[27]NUMERIK!K25-[27]NUMERIK!K26</f>
        <v>100</v>
      </c>
      <c r="D16" s="65" t="s">
        <v>33</v>
      </c>
      <c r="E16" s="66">
        <f>C16/[27]NUMERIK!K$25*100%</f>
        <v>3.8971161340607949E-2</v>
      </c>
      <c r="F16" s="67">
        <f t="shared" si="0"/>
        <v>0</v>
      </c>
      <c r="G16" s="36" t="str">
        <f>[27]Outcome!Q116</f>
        <v xml:space="preserve">, , , , , , , , , , , , , , , , , , , </v>
      </c>
      <c r="H16" s="27">
        <f>[27]Outcome!M116</f>
        <v>0</v>
      </c>
      <c r="I16" s="68" t="s">
        <v>33</v>
      </c>
      <c r="J16" s="69">
        <f>IF(H16&gt;C16,0,C16-H16)</f>
        <v>100</v>
      </c>
      <c r="K16" s="70" t="s">
        <v>33</v>
      </c>
      <c r="L16" s="71">
        <f>J16/[27]NUMERIK!K$25*100%</f>
        <v>3.8971161340607949E-2</v>
      </c>
      <c r="M16" s="72">
        <f t="shared" si="1"/>
        <v>0</v>
      </c>
      <c r="N16" s="33"/>
    </row>
    <row r="17" spans="1:15" s="34" customFormat="1" ht="24.95" customHeight="1" thickBot="1" x14ac:dyDescent="0.3">
      <c r="A17" s="192"/>
      <c r="B17" s="21" t="s">
        <v>34</v>
      </c>
      <c r="C17" s="22">
        <f>[27]NUMERIK!K28</f>
        <v>330</v>
      </c>
      <c r="D17" s="73" t="s">
        <v>33</v>
      </c>
      <c r="E17" s="24">
        <f>C17/[27]NUMERIK!K$25*100%</f>
        <v>0.12860483242400625</v>
      </c>
      <c r="F17" s="25">
        <f t="shared" si="0"/>
        <v>0</v>
      </c>
      <c r="G17" s="45" t="str">
        <f>[27]Outcome!Q136</f>
        <v xml:space="preserve">Jalan Paving RT007-RW001, Jalan Paving RT010-RW002, , , , , , , , , , , , , , , , , , , , , , , , , , , , , , , , , , , , , , , , , , , </v>
      </c>
      <c r="H17" s="37">
        <f>[27]Outcome!M136</f>
        <v>132</v>
      </c>
      <c r="I17" s="38" t="s">
        <v>33</v>
      </c>
      <c r="J17" s="39">
        <f>IF(H17&gt;C17,0,C17-H17)</f>
        <v>198</v>
      </c>
      <c r="K17" s="40" t="s">
        <v>33</v>
      </c>
      <c r="L17" s="41">
        <f>J17/[27]NUMERIK!K$25*100%</f>
        <v>7.7162899454403744E-2</v>
      </c>
      <c r="M17" s="42">
        <f t="shared" si="1"/>
        <v>0</v>
      </c>
      <c r="N17" s="33"/>
    </row>
    <row r="18" spans="1:15" s="34" customFormat="1" ht="30" customHeight="1" thickBot="1" x14ac:dyDescent="0.3">
      <c r="A18" s="52" t="s">
        <v>35</v>
      </c>
      <c r="B18" s="53"/>
      <c r="C18" s="54"/>
      <c r="D18" s="55"/>
      <c r="E18" s="56">
        <f>IF(SUM(F16:F17)&gt;0,(SUMIF(F16:F17,"&gt;0",E16:E17)/2),0)</f>
        <v>0</v>
      </c>
      <c r="F18" s="57"/>
      <c r="G18" s="58"/>
      <c r="H18" s="59"/>
      <c r="I18" s="59"/>
      <c r="J18" s="60"/>
      <c r="K18" s="61"/>
      <c r="L18" s="56">
        <f>IF(SUM(M16:M17)&gt;0,(SUMIF(M16:M17,"&gt;0",L16:L17)/2),0)</f>
        <v>0</v>
      </c>
      <c r="M18" s="62"/>
      <c r="N18" s="33"/>
    </row>
    <row r="19" spans="1:15" s="34" customFormat="1" ht="24.95" customHeight="1" x14ac:dyDescent="0.25">
      <c r="A19" s="213" t="s">
        <v>36</v>
      </c>
      <c r="B19" s="21" t="s">
        <v>37</v>
      </c>
      <c r="C19" s="22">
        <f>[27]NUMERIK!K31</f>
        <v>0</v>
      </c>
      <c r="D19" s="73" t="s">
        <v>12</v>
      </c>
      <c r="E19" s="74">
        <f>C19/E$7*100%</f>
        <v>0</v>
      </c>
      <c r="F19" s="25">
        <f t="shared" si="0"/>
        <v>0</v>
      </c>
      <c r="G19" s="36" t="str">
        <f>[27]Outcome!Q181</f>
        <v xml:space="preserve">, , , , , , , , , , , , , , , , , , , </v>
      </c>
      <c r="H19" s="27">
        <f>[27]Outcome!Q182</f>
        <v>0</v>
      </c>
      <c r="I19" s="38" t="s">
        <v>12</v>
      </c>
      <c r="J19" s="39">
        <f>IF(H19&gt;C19,0,C19-H19)</f>
        <v>0</v>
      </c>
      <c r="K19" s="75" t="s">
        <v>12</v>
      </c>
      <c r="L19" s="76">
        <f>J19/E$7*100%</f>
        <v>0</v>
      </c>
      <c r="M19" s="42">
        <f t="shared" si="1"/>
        <v>0</v>
      </c>
      <c r="N19" s="33"/>
    </row>
    <row r="20" spans="1:15" s="34" customFormat="1" ht="24.95" customHeight="1" thickBot="1" x14ac:dyDescent="0.3">
      <c r="A20" s="213"/>
      <c r="B20" s="21" t="s">
        <v>38</v>
      </c>
      <c r="C20" s="22">
        <f>[27]NUMERIK!K33</f>
        <v>1</v>
      </c>
      <c r="D20" s="73" t="s">
        <v>12</v>
      </c>
      <c r="E20" s="74">
        <f>C20/E$7*100%</f>
        <v>3.1746031746031746E-3</v>
      </c>
      <c r="F20" s="25">
        <f t="shared" si="0"/>
        <v>0</v>
      </c>
      <c r="G20" s="45" t="str">
        <f>[27]Outcome!Q201</f>
        <v xml:space="preserve">, , , , , , , , , , , , , , , , , , , , , , , , , , , , , , , , , , , , , , , , , , , , </v>
      </c>
      <c r="H20" s="37">
        <f>[27]Outcome!Q202</f>
        <v>0</v>
      </c>
      <c r="I20" s="38" t="s">
        <v>12</v>
      </c>
      <c r="J20" s="39">
        <f>IF(H20&gt;C20,0,C20-H20)</f>
        <v>1</v>
      </c>
      <c r="K20" s="75" t="s">
        <v>12</v>
      </c>
      <c r="L20" s="76">
        <f>J20/E$7*100%</f>
        <v>3.1746031746031746E-3</v>
      </c>
      <c r="M20" s="42">
        <f t="shared" si="1"/>
        <v>0</v>
      </c>
      <c r="N20" s="33"/>
    </row>
    <row r="21" spans="1:15" s="77" customFormat="1" ht="30" customHeight="1" thickBot="1" x14ac:dyDescent="0.3">
      <c r="A21" s="52" t="s">
        <v>39</v>
      </c>
      <c r="B21" s="53"/>
      <c r="C21" s="54"/>
      <c r="D21" s="55"/>
      <c r="E21" s="56">
        <f>IF(SUM(F19:F20)&gt;0,(SUMIF(F19:F20,"&gt;0",E19:E20)/2),0)</f>
        <v>0</v>
      </c>
      <c r="F21" s="57"/>
      <c r="G21" s="58"/>
      <c r="H21" s="59"/>
      <c r="I21" s="59"/>
      <c r="J21" s="60"/>
      <c r="K21" s="61"/>
      <c r="L21" s="56">
        <f>IF(SUM(M19:M20)&gt;0,(SUMIF(M19:M20,"&gt;0",L19:L20)/2),0)</f>
        <v>0</v>
      </c>
      <c r="M21" s="62"/>
      <c r="N21" s="33"/>
      <c r="O21" s="34"/>
    </row>
    <row r="22" spans="1:15" s="34" customFormat="1" ht="20.100000000000001" customHeight="1" x14ac:dyDescent="0.25">
      <c r="A22" s="192" t="s">
        <v>40</v>
      </c>
      <c r="B22" s="78" t="s">
        <v>41</v>
      </c>
      <c r="C22" s="22">
        <f>[27]NUMERIK!K36</f>
        <v>1.999999999999999E-2</v>
      </c>
      <c r="D22" s="73" t="s">
        <v>3</v>
      </c>
      <c r="E22" s="79">
        <f>C22/E$4*100%</f>
        <v>1.1695906432748536E-2</v>
      </c>
      <c r="F22" s="25">
        <f t="shared" si="0"/>
        <v>0</v>
      </c>
      <c r="G22" s="36" t="str">
        <f>[27]Outcome!Q246</f>
        <v xml:space="preserve">, , , , , , , , , , , , , , , , , , , </v>
      </c>
      <c r="H22" s="27">
        <f>[27]Outcome!M246</f>
        <v>0</v>
      </c>
      <c r="I22" s="38" t="s">
        <v>3</v>
      </c>
      <c r="J22" s="39">
        <f>IF(H22&gt;C22,0,C22-H22)</f>
        <v>1.999999999999999E-2</v>
      </c>
      <c r="K22" s="40" t="s">
        <v>3</v>
      </c>
      <c r="L22" s="41">
        <f>J22/E$4*100%</f>
        <v>1.1695906432748536E-2</v>
      </c>
      <c r="M22" s="42">
        <f t="shared" si="1"/>
        <v>0</v>
      </c>
      <c r="N22" s="33"/>
    </row>
    <row r="23" spans="1:15" s="34" customFormat="1" ht="25.5" customHeight="1" x14ac:dyDescent="0.25">
      <c r="A23" s="192"/>
      <c r="B23" s="21" t="s">
        <v>42</v>
      </c>
      <c r="C23" s="22">
        <f>([27]NUMERIK!K38-[27]NUMERIK!K40)</f>
        <v>833</v>
      </c>
      <c r="D23" s="73" t="s">
        <v>33</v>
      </c>
      <c r="E23" s="79">
        <f>C23/[27]NUMERIK!K$38*100%</f>
        <v>0.22648178357803153</v>
      </c>
      <c r="F23" s="25">
        <f t="shared" si="0"/>
        <v>0</v>
      </c>
      <c r="G23" s="36" t="str">
        <f>[27]Outcome!Q266</f>
        <v xml:space="preserve">Saluran Drainase RT006-RW001, Virocement RT006-RW001, Saluran Drainase RT011-RW002, Saluran Drainase RT010-RW002, Drainase Lingkungan RT006-RW001, , , , , , , , , , , , , , , , , , , , , , , , , , , , , , , , , , , , , , , , </v>
      </c>
      <c r="H23" s="37">
        <f>[27]Outcome!M266</f>
        <v>402.2</v>
      </c>
      <c r="I23" s="38" t="s">
        <v>33</v>
      </c>
      <c r="J23" s="39">
        <f>IF(H23&gt;C23,0,C23-H23)</f>
        <v>430.8</v>
      </c>
      <c r="K23" s="40" t="s">
        <v>33</v>
      </c>
      <c r="L23" s="41">
        <f>J23/[27]NUMERIK!K$38*100%</f>
        <v>0.11712887438825449</v>
      </c>
      <c r="M23" s="42">
        <f t="shared" si="1"/>
        <v>0</v>
      </c>
      <c r="N23" s="33"/>
    </row>
    <row r="24" spans="1:15" s="34" customFormat="1" ht="20.100000000000001" customHeight="1" x14ac:dyDescent="0.25">
      <c r="A24" s="192"/>
      <c r="B24" s="21" t="s">
        <v>43</v>
      </c>
      <c r="C24" s="22">
        <f>[27]NUMERIK!K42</f>
        <v>0</v>
      </c>
      <c r="D24" s="73" t="s">
        <v>33</v>
      </c>
      <c r="E24" s="79">
        <f>C24/[27]NUMERIK!K$38*100%</f>
        <v>0</v>
      </c>
      <c r="F24" s="25">
        <f t="shared" si="0"/>
        <v>0</v>
      </c>
      <c r="G24" s="36" t="str">
        <f>[27]Outcome!Q311</f>
        <v xml:space="preserve">, , , , , , , , , , , , , , , , , , , </v>
      </c>
      <c r="H24" s="37">
        <f>[27]Outcome!M311</f>
        <v>0</v>
      </c>
      <c r="I24" s="38" t="s">
        <v>33</v>
      </c>
      <c r="J24" s="39">
        <f>IF(H24&gt;C24,0,C24-H24)</f>
        <v>0</v>
      </c>
      <c r="K24" s="40" t="s">
        <v>33</v>
      </c>
      <c r="L24" s="41">
        <f>J24/[27]NUMERIK!K$38*100%</f>
        <v>0</v>
      </c>
      <c r="M24" s="42">
        <f t="shared" si="1"/>
        <v>0</v>
      </c>
      <c r="N24" s="33"/>
    </row>
    <row r="25" spans="1:15" s="34" customFormat="1" ht="20.100000000000001" customHeight="1" x14ac:dyDescent="0.25">
      <c r="A25" s="192"/>
      <c r="B25" s="21" t="s">
        <v>44</v>
      </c>
      <c r="C25" s="22">
        <f>[27]NUMERIK!K45</f>
        <v>1335</v>
      </c>
      <c r="D25" s="73" t="s">
        <v>33</v>
      </c>
      <c r="E25" s="79">
        <f>C25/[27]NUMERIK!K$38*100%</f>
        <v>0.36296900489396411</v>
      </c>
      <c r="F25" s="25">
        <f t="shared" si="0"/>
        <v>1</v>
      </c>
      <c r="G25" s="36" t="str">
        <f>[27]Outcome!Q331</f>
        <v xml:space="preserve">Drainase Lingkungan RT006-RW001, Drainase Lingkungan RT007-RW001, Drainase Lingkungan RT007-RW001, Drainase Lingkungan RT007-RW001, Normalisasi Saluran RT011-RW002, Drainase Lingkungan RT007-RW001, , , , , , , , , , , , , , </v>
      </c>
      <c r="H25" s="37">
        <f>[27]Outcome!M331</f>
        <v>1113.0999999999999</v>
      </c>
      <c r="I25" s="38" t="s">
        <v>33</v>
      </c>
      <c r="J25" s="39">
        <f>IF(H25&gt;C25,0,C25-H25)</f>
        <v>221.90000000000009</v>
      </c>
      <c r="K25" s="40" t="s">
        <v>33</v>
      </c>
      <c r="L25" s="41">
        <f>J25/[27]NUMERIK!K$38*100%</f>
        <v>6.033170201196305E-2</v>
      </c>
      <c r="M25" s="42">
        <f t="shared" si="1"/>
        <v>0</v>
      </c>
      <c r="N25" s="33"/>
    </row>
    <row r="26" spans="1:15" s="34" customFormat="1" ht="20.100000000000001" customHeight="1" thickBot="1" x14ac:dyDescent="0.3">
      <c r="A26" s="192"/>
      <c r="B26" s="78" t="s">
        <v>45</v>
      </c>
      <c r="C26" s="22">
        <f>[27]NUMERIK!K48</f>
        <v>270</v>
      </c>
      <c r="D26" s="73" t="s">
        <v>33</v>
      </c>
      <c r="E26" s="79">
        <f>C26/[27]NUMERIK!K$38*100%</f>
        <v>7.3409461663947795E-2</v>
      </c>
      <c r="F26" s="25">
        <f t="shared" si="0"/>
        <v>0</v>
      </c>
      <c r="G26" s="36" t="str">
        <f>[27]Outcome!Q351</f>
        <v xml:space="preserve">Normalisasi Saluran RT006-RW001, Saluran Drainase RT007-RW001, Drainase Lingkungan RT007-RW001, , , , , , , , , , , , , , , , , , , , , , , , , , , , , , , , , , , , , , , , , , </v>
      </c>
      <c r="H26" s="37">
        <f>[27]Outcome!M351</f>
        <v>175</v>
      </c>
      <c r="I26" s="38" t="s">
        <v>33</v>
      </c>
      <c r="J26" s="39">
        <f>IF(H26&gt;C26,0,C26-H26)</f>
        <v>95</v>
      </c>
      <c r="K26" s="40" t="s">
        <v>33</v>
      </c>
      <c r="L26" s="41">
        <f>J26/[27]NUMERIK!K$38*100%</f>
        <v>2.5829255029907558E-2</v>
      </c>
      <c r="M26" s="42">
        <f t="shared" si="1"/>
        <v>0</v>
      </c>
      <c r="N26" s="33"/>
    </row>
    <row r="27" spans="1:15" s="88" customFormat="1" ht="30" customHeight="1" thickBot="1" x14ac:dyDescent="0.3">
      <c r="A27" s="80" t="s">
        <v>46</v>
      </c>
      <c r="B27" s="81"/>
      <c r="C27" s="55"/>
      <c r="D27" s="55"/>
      <c r="E27" s="82">
        <f>IF(SUM(F22:F26)&gt;0,(SUMIF(F22:F26,"&gt;0",E22:E26)/5),0)</f>
        <v>7.2593800978792825E-2</v>
      </c>
      <c r="F27" s="83"/>
      <c r="G27" s="58"/>
      <c r="H27" s="59"/>
      <c r="I27" s="59"/>
      <c r="J27" s="84"/>
      <c r="K27" s="85"/>
      <c r="L27" s="82">
        <f>IF(SUM(M22:M26)&gt;0,(SUMIF(M22:M26,"&gt;0",L22:L26)/5),0)</f>
        <v>0</v>
      </c>
      <c r="M27" s="86"/>
      <c r="N27" s="87"/>
    </row>
    <row r="28" spans="1:15" s="34" customFormat="1" ht="27.75" customHeight="1" x14ac:dyDescent="0.25">
      <c r="A28" s="213" t="s">
        <v>47</v>
      </c>
      <c r="B28" s="21" t="s">
        <v>48</v>
      </c>
      <c r="C28" s="22">
        <f>[27]NUMERIK!K51</f>
        <v>0</v>
      </c>
      <c r="D28" s="73" t="s">
        <v>12</v>
      </c>
      <c r="E28" s="89">
        <f>C28/E$7*100%</f>
        <v>0</v>
      </c>
      <c r="F28" s="25">
        <f t="shared" si="0"/>
        <v>0</v>
      </c>
      <c r="G28" s="36" t="str">
        <f>[27]Outcome!Q396</f>
        <v xml:space="preserve">, , , , , , , , , , , , , , , , , , , , , , , , , , , , , , , , , , , , , , , , , , , , </v>
      </c>
      <c r="H28" s="37">
        <f>[27]Outcome!Q397</f>
        <v>0</v>
      </c>
      <c r="I28" s="38" t="s">
        <v>12</v>
      </c>
      <c r="J28" s="39">
        <f>IF(H28&gt;C28,0,C28-H28)</f>
        <v>0</v>
      </c>
      <c r="K28" s="40" t="s">
        <v>12</v>
      </c>
      <c r="L28" s="41">
        <f>J28/E$7*100%</f>
        <v>0</v>
      </c>
      <c r="M28" s="42">
        <f t="shared" si="1"/>
        <v>0</v>
      </c>
      <c r="N28" s="33"/>
    </row>
    <row r="29" spans="1:15" s="34" customFormat="1" ht="30" customHeight="1" thickBot="1" x14ac:dyDescent="0.3">
      <c r="A29" s="213"/>
      <c r="B29" s="21" t="s">
        <v>49</v>
      </c>
      <c r="C29" s="22">
        <f>[27]NUMERIK!K53</f>
        <v>11</v>
      </c>
      <c r="D29" s="73" t="s">
        <v>12</v>
      </c>
      <c r="E29" s="89">
        <f>C29/E$7*100%</f>
        <v>3.4920634920634921E-2</v>
      </c>
      <c r="F29" s="25">
        <f t="shared" si="0"/>
        <v>0</v>
      </c>
      <c r="G29" s="45" t="str">
        <f>[27]Outcome!Q441</f>
        <v xml:space="preserve">, , , , , , , , , , , , , , , , , , , , , , , , , , , , , , , , , , , , , , , , , , , , , , , , , , , , , , </v>
      </c>
      <c r="H29" s="37">
        <f>[27]Outcome!Q442</f>
        <v>0</v>
      </c>
      <c r="I29" s="38" t="s">
        <v>12</v>
      </c>
      <c r="J29" s="39">
        <f>IF(H29&gt;C29,0,C29-H29)</f>
        <v>11</v>
      </c>
      <c r="K29" s="40" t="s">
        <v>12</v>
      </c>
      <c r="L29" s="41">
        <f>J29/E$7*100%</f>
        <v>3.4920634920634921E-2</v>
      </c>
      <c r="M29" s="42">
        <f t="shared" si="1"/>
        <v>0</v>
      </c>
      <c r="N29" s="33"/>
    </row>
    <row r="30" spans="1:15" s="88" customFormat="1" ht="30" customHeight="1" thickBot="1" x14ac:dyDescent="0.3">
      <c r="A30" s="90" t="s">
        <v>50</v>
      </c>
      <c r="B30" s="81"/>
      <c r="C30" s="55"/>
      <c r="D30" s="55"/>
      <c r="E30" s="82">
        <f>IF(SUM(F28:F29)&gt;0,(SUMIF(F28:F29,"&gt;0",E28:E29)/2),0)</f>
        <v>0</v>
      </c>
      <c r="F30" s="83"/>
      <c r="G30" s="91"/>
      <c r="H30" s="92"/>
      <c r="I30" s="92"/>
      <c r="J30" s="84"/>
      <c r="K30" s="85"/>
      <c r="L30" s="82">
        <f>IF(SUM(M28:M29)&gt;0,(SUMIF(M28:M29,"&gt;0",L28:L29)/2),0)</f>
        <v>0</v>
      </c>
      <c r="M30" s="86"/>
      <c r="N30" s="87"/>
    </row>
    <row r="31" spans="1:15" s="34" customFormat="1" ht="31.5" customHeight="1" x14ac:dyDescent="0.25">
      <c r="A31" s="192" t="s">
        <v>51</v>
      </c>
      <c r="B31" s="21" t="s">
        <v>52</v>
      </c>
      <c r="C31" s="93">
        <f>[27]NUMERIK!K56</f>
        <v>278</v>
      </c>
      <c r="D31" s="94" t="s">
        <v>12</v>
      </c>
      <c r="E31" s="89">
        <f>C31/E$7*100%</f>
        <v>0.88253968253968251</v>
      </c>
      <c r="F31" s="25">
        <f t="shared" si="0"/>
        <v>5</v>
      </c>
      <c r="G31" s="36" t="str">
        <f>[27]Outcome!Q496</f>
        <v xml:space="preserve">Gerobak Sampah Motor RT006-RW001, Gerobak Sampah Dorong RT007-RW001, Gerobak Sampah Dorong RT010-RW002, , , , , , , , , , , , , , , , , , , , , , , , , , , , , , , , , , , , , , , , , , </v>
      </c>
      <c r="H31" s="37">
        <f>[27]Outcome!Q497</f>
        <v>278</v>
      </c>
      <c r="I31" s="38" t="s">
        <v>12</v>
      </c>
      <c r="J31" s="39">
        <f>IF(H31&gt;C31,0,C31-H31)</f>
        <v>0</v>
      </c>
      <c r="K31" s="40" t="s">
        <v>12</v>
      </c>
      <c r="L31" s="41">
        <f>J31/E$7*100%</f>
        <v>0</v>
      </c>
      <c r="M31" s="42">
        <f t="shared" si="1"/>
        <v>0</v>
      </c>
      <c r="N31" s="33"/>
    </row>
    <row r="32" spans="1:15" s="34" customFormat="1" ht="32.25" customHeight="1" x14ac:dyDescent="0.25">
      <c r="A32" s="192"/>
      <c r="B32" s="21" t="s">
        <v>53</v>
      </c>
      <c r="C32" s="93">
        <f>[27]NUMERIK!K59</f>
        <v>257</v>
      </c>
      <c r="D32" s="94" t="s">
        <v>12</v>
      </c>
      <c r="E32" s="89">
        <f>C32/E$7*100%</f>
        <v>0.81587301587301586</v>
      </c>
      <c r="F32" s="25">
        <f t="shared" si="0"/>
        <v>5</v>
      </c>
      <c r="G32" s="36" t="str">
        <f>[27]Outcome!Q541</f>
        <v xml:space="preserve">Gerobak Sampah Dorong RT007-RW001, Gerobak Sampah Dorong RT010-RW002, Gerobak Sampah Motor RT011-RW002, , , , , , , , , , , , , , , , , , , , , , , , , , , , , , , , , , , , , , , , , , </v>
      </c>
      <c r="H32" s="37">
        <f>[27]Outcome!Q542</f>
        <v>258</v>
      </c>
      <c r="I32" s="38" t="s">
        <v>12</v>
      </c>
      <c r="J32" s="39">
        <f>IF(H32&gt;C32,0,C32-H32)</f>
        <v>0</v>
      </c>
      <c r="K32" s="40" t="s">
        <v>12</v>
      </c>
      <c r="L32" s="41">
        <f>J32/E$7*100%</f>
        <v>0</v>
      </c>
      <c r="M32" s="42">
        <f t="shared" si="1"/>
        <v>0</v>
      </c>
      <c r="N32" s="33"/>
    </row>
    <row r="33" spans="1:14" s="34" customFormat="1" ht="30.75" customHeight="1" thickBot="1" x14ac:dyDescent="0.3">
      <c r="A33" s="192"/>
      <c r="B33" s="21" t="s">
        <v>54</v>
      </c>
      <c r="C33" s="93">
        <f>[27]NUMERIK!K61</f>
        <v>278</v>
      </c>
      <c r="D33" s="94" t="s">
        <v>12</v>
      </c>
      <c r="E33" s="89">
        <f>C33/E$7*100%</f>
        <v>0.88253968253968251</v>
      </c>
      <c r="F33" s="25">
        <f t="shared" si="0"/>
        <v>5</v>
      </c>
      <c r="G33" s="36" t="str">
        <f>[27]Outcome!Q586</f>
        <v xml:space="preserve">Gerobak Sampah Motor RT006-RW001, Gerobak Sampah Dorong RT007-RW001, Gerobak Sampah Dorong RT010-RW002, , , , , , , , , , , , , , , , , , , , , , , , , , , , , , , , , , , , , , , , , , </v>
      </c>
      <c r="H33" s="37">
        <f>[27]Outcome!Q587</f>
        <v>278</v>
      </c>
      <c r="I33" s="38" t="s">
        <v>12</v>
      </c>
      <c r="J33" s="39">
        <f>IF(H33&gt;C33,0,C33-H33)</f>
        <v>0</v>
      </c>
      <c r="K33" s="40" t="s">
        <v>12</v>
      </c>
      <c r="L33" s="41">
        <f>J33/E$7*100%</f>
        <v>0</v>
      </c>
      <c r="M33" s="42">
        <f t="shared" si="1"/>
        <v>0</v>
      </c>
      <c r="N33" s="33"/>
    </row>
    <row r="34" spans="1:14" s="88" customFormat="1" ht="30" customHeight="1" thickBot="1" x14ac:dyDescent="0.3">
      <c r="A34" s="80" t="s">
        <v>55</v>
      </c>
      <c r="B34" s="81"/>
      <c r="C34" s="55"/>
      <c r="D34" s="55"/>
      <c r="E34" s="82">
        <f>IF(SUM(F31:F33)&gt;0,(SUMIF(F31:F33,"&gt;0",E31:E33)/3),0)</f>
        <v>0.86031746031746026</v>
      </c>
      <c r="F34" s="83"/>
      <c r="G34" s="91"/>
      <c r="H34" s="92"/>
      <c r="I34" s="92"/>
      <c r="J34" s="84"/>
      <c r="K34" s="85"/>
      <c r="L34" s="82">
        <f>IF(SUM(M31:M33)&gt;0,(SUMIF(M31:M33,"&gt;0",L31:L33)/3),0)</f>
        <v>0</v>
      </c>
      <c r="M34" s="86"/>
      <c r="N34" s="87"/>
    </row>
    <row r="35" spans="1:14" s="34" customFormat="1" ht="24.95" customHeight="1" x14ac:dyDescent="0.25">
      <c r="A35" s="213" t="s">
        <v>56</v>
      </c>
      <c r="B35" s="95" t="s">
        <v>57</v>
      </c>
      <c r="C35" s="93">
        <f>[27]NUMERIK!K64</f>
        <v>282</v>
      </c>
      <c r="D35" s="94" t="s">
        <v>8</v>
      </c>
      <c r="E35" s="79">
        <f>C35/E$5*100%</f>
        <v>1</v>
      </c>
      <c r="F35" s="25">
        <f t="shared" si="0"/>
        <v>5</v>
      </c>
      <c r="G35" s="36" t="str">
        <f>[27]Outcome!Q631</f>
        <v xml:space="preserve">, , , , , , , , , , , , , , , , , , , </v>
      </c>
      <c r="H35" s="27">
        <f>[27]Outcome!Q632</f>
        <v>0</v>
      </c>
      <c r="I35" s="38" t="s">
        <v>8</v>
      </c>
      <c r="J35" s="39">
        <f>IF(H35&gt;C35,0,C35-H35)</f>
        <v>282</v>
      </c>
      <c r="K35" s="40" t="s">
        <v>8</v>
      </c>
      <c r="L35" s="41">
        <f>J35/E$5*100%</f>
        <v>1</v>
      </c>
      <c r="M35" s="42">
        <f t="shared" si="1"/>
        <v>5</v>
      </c>
      <c r="N35" s="33"/>
    </row>
    <row r="36" spans="1:14" s="34" customFormat="1" ht="24.95" customHeight="1" thickBot="1" x14ac:dyDescent="0.3">
      <c r="A36" s="213"/>
      <c r="B36" s="95" t="s">
        <v>58</v>
      </c>
      <c r="C36" s="96">
        <f>[27]NUMERIK!K66</f>
        <v>282</v>
      </c>
      <c r="D36" s="94" t="s">
        <v>8</v>
      </c>
      <c r="E36" s="79">
        <f>C36/E$5*100%</f>
        <v>1</v>
      </c>
      <c r="F36" s="25">
        <f t="shared" si="0"/>
        <v>5</v>
      </c>
      <c r="G36" s="36" t="str">
        <f>[27]Outcome!Q651</f>
        <v xml:space="preserve">Mobil pemadam kebakaran RT006-RW001, Mobil pemadam kebakaran RT007-RW001, Mobil pemadam kebakaran RT010-RW002, Mobil pemadam kebakaran RT011-RW002, , , , , , , , , , , , , , , , </v>
      </c>
      <c r="H36" s="37">
        <f>[27]Outcome!Q652</f>
        <v>315</v>
      </c>
      <c r="I36" s="97" t="s">
        <v>8</v>
      </c>
      <c r="J36" s="98">
        <f>IF(H36&gt;C36,0,C36-H36)</f>
        <v>0</v>
      </c>
      <c r="K36" s="99" t="s">
        <v>8</v>
      </c>
      <c r="L36" s="100">
        <f>J36/E$5*100%</f>
        <v>0</v>
      </c>
      <c r="M36" s="51">
        <f t="shared" si="1"/>
        <v>0</v>
      </c>
      <c r="N36" s="33"/>
    </row>
    <row r="37" spans="1:14" s="77" customFormat="1" ht="30" customHeight="1" thickBot="1" x14ac:dyDescent="0.3">
      <c r="A37" s="80" t="s">
        <v>59</v>
      </c>
      <c r="B37" s="101"/>
      <c r="C37" s="102"/>
      <c r="D37" s="102"/>
      <c r="E37" s="82">
        <f>IF(SUM(F35:F36)&gt;0,(SUMIF(F35:F36,"&gt;0",E35:E36)/2),0)</f>
        <v>1</v>
      </c>
      <c r="F37" s="103"/>
      <c r="G37" s="104"/>
      <c r="H37" s="105"/>
      <c r="I37" s="105"/>
      <c r="J37" s="106"/>
      <c r="K37" s="107"/>
      <c r="L37" s="82">
        <f>IF(SUM(M35:M36)&gt;0,(SUMIF(M35:M36,"&gt;0",L35:L36)/2),0)</f>
        <v>0.5</v>
      </c>
      <c r="M37" s="108"/>
      <c r="N37" s="109"/>
    </row>
    <row r="38" spans="1:14" ht="15" customHeight="1" x14ac:dyDescent="0.25">
      <c r="A38" s="110"/>
      <c r="B38" s="111" t="s">
        <v>60</v>
      </c>
      <c r="D38" s="218" t="s">
        <v>61</v>
      </c>
      <c r="E38" s="219"/>
      <c r="F38" s="222">
        <f>SUM(F12:F36)</f>
        <v>26</v>
      </c>
      <c r="G38" s="112"/>
      <c r="H38" s="112"/>
      <c r="I38" s="112"/>
      <c r="J38" s="112"/>
      <c r="K38" s="238" t="s">
        <v>61</v>
      </c>
      <c r="L38" s="239"/>
      <c r="M38" s="224">
        <f>SUM(M12:M36)</f>
        <v>5</v>
      </c>
    </row>
    <row r="39" spans="1:14" ht="15" customHeight="1" x14ac:dyDescent="0.25">
      <c r="A39" s="110"/>
      <c r="B39" s="113" t="s">
        <v>62</v>
      </c>
      <c r="D39" s="220"/>
      <c r="E39" s="221"/>
      <c r="F39" s="223"/>
      <c r="G39" s="114"/>
      <c r="H39" s="114"/>
      <c r="I39" s="114"/>
      <c r="J39" s="114"/>
      <c r="K39" s="240"/>
      <c r="L39" s="241"/>
      <c r="M39" s="225"/>
    </row>
    <row r="40" spans="1:14" ht="15" customHeight="1" x14ac:dyDescent="0.25">
      <c r="A40" s="110"/>
      <c r="B40" s="115" t="s">
        <v>63</v>
      </c>
      <c r="D40" s="226" t="s">
        <v>64</v>
      </c>
      <c r="E40" s="227"/>
      <c r="F40" s="230" t="str">
        <f>IF(F38="N/A","TIDAK KUMUH",IF(F38&gt;=71,"KUMUH BERAT",IF(AND(F38&lt;=70,F38&gt;=45),"KUMUH SEDANG",IF(AND(F38&lt;=44,F38&gt;=19),"KUMUH RINGAN","TIDAK KUMUH"))))</f>
        <v>KUMUH RINGAN</v>
      </c>
      <c r="G40" s="116"/>
      <c r="H40" s="116"/>
      <c r="I40" s="116"/>
      <c r="J40" s="116"/>
      <c r="K40" s="232" t="s">
        <v>64</v>
      </c>
      <c r="L40" s="233"/>
      <c r="M40" s="236" t="str">
        <f>IF(M38="N/A","TIDAK KUMUH",IF(M38&gt;=71,"KUMUH BERAT",IF(AND(M38&lt;=70,M38&gt;=45),"KUMUH SEDANG",IF(AND(M38&lt;=44,M38&gt;=19),"KUMUH RINGAN","TIDAK KUMUH"))))</f>
        <v>TIDAK KUMUH</v>
      </c>
    </row>
    <row r="41" spans="1:14" ht="15" customHeight="1" thickBot="1" x14ac:dyDescent="0.3">
      <c r="A41" s="110"/>
      <c r="B41" s="117" t="s">
        <v>65</v>
      </c>
      <c r="D41" s="228"/>
      <c r="E41" s="229"/>
      <c r="F41" s="231" t="str">
        <f>IF(E41&gt;71,"KB",IF(E41&gt;=47,"KS","KR"))</f>
        <v>KR</v>
      </c>
      <c r="G41" s="116"/>
      <c r="H41" s="116"/>
      <c r="I41" s="116"/>
      <c r="J41" s="116"/>
      <c r="K41" s="234"/>
      <c r="L41" s="235"/>
      <c r="M41" s="237" t="str">
        <f>IF(L41&gt;71,"KB",IF(L41&gt;=47,"KS","KR"))</f>
        <v>KR</v>
      </c>
    </row>
    <row r="42" spans="1:14" ht="21" customHeight="1" x14ac:dyDescent="0.25">
      <c r="B42" s="118" t="s">
        <v>66</v>
      </c>
      <c r="C42" s="119"/>
      <c r="D42" s="120"/>
      <c r="E42" s="121" t="s">
        <v>67</v>
      </c>
      <c r="F42" s="122">
        <f>AVERAGE(E15,E18,E21,E27,E30,E34,E37)</f>
        <v>0.27613018018517904</v>
      </c>
      <c r="J42" s="123"/>
      <c r="K42" s="124"/>
      <c r="L42" s="125" t="s">
        <v>67</v>
      </c>
      <c r="M42" s="126">
        <f>AVERAGE(L15,L18,L21,L27,L30,L34,L37)</f>
        <v>7.1428571428571425E-2</v>
      </c>
    </row>
    <row r="43" spans="1:14" ht="21" customHeight="1" x14ac:dyDescent="0.25">
      <c r="B43" s="127"/>
      <c r="C43" s="119"/>
      <c r="D43" s="120"/>
      <c r="E43" s="121" t="s">
        <v>68</v>
      </c>
      <c r="F43" s="122">
        <v>0</v>
      </c>
      <c r="J43" s="123"/>
      <c r="K43" s="124"/>
      <c r="L43" s="125" t="s">
        <v>68</v>
      </c>
      <c r="M43" s="126">
        <f>(F42-M42)/F42</f>
        <v>0.74132283772577912</v>
      </c>
      <c r="N43"/>
    </row>
    <row r="44" spans="1:14" x14ac:dyDescent="0.25">
      <c r="M44" s="128"/>
    </row>
    <row r="55" spans="12:12" x14ac:dyDescent="0.25">
      <c r="L55" s="129"/>
    </row>
  </sheetData>
  <mergeCells count="23">
    <mergeCell ref="A22:A26"/>
    <mergeCell ref="A1:F1"/>
    <mergeCell ref="A2:B2"/>
    <mergeCell ref="A9:A11"/>
    <mergeCell ref="B9:B11"/>
    <mergeCell ref="C9:F10"/>
    <mergeCell ref="J9:M10"/>
    <mergeCell ref="G10:I10"/>
    <mergeCell ref="A12:A14"/>
    <mergeCell ref="A16:A17"/>
    <mergeCell ref="A19:A20"/>
    <mergeCell ref="G9:I9"/>
    <mergeCell ref="A28:A29"/>
    <mergeCell ref="A31:A33"/>
    <mergeCell ref="A35:A36"/>
    <mergeCell ref="D38:E39"/>
    <mergeCell ref="F38:F39"/>
    <mergeCell ref="M38:M39"/>
    <mergeCell ref="D40:E41"/>
    <mergeCell ref="F40:F41"/>
    <mergeCell ref="K40:L41"/>
    <mergeCell ref="M40:M41"/>
    <mergeCell ref="K38:L39"/>
  </mergeCells>
  <conditionalFormatting sqref="F40:J41">
    <cfRule type="expression" dxfId="89" priority="6">
      <formula>F40="KUMUH SEDANG"</formula>
    </cfRule>
    <cfRule type="expression" dxfId="88" priority="7">
      <formula>F40="TIDAK KUMUH"</formula>
    </cfRule>
    <cfRule type="expression" dxfId="87" priority="8">
      <formula>F40="KUMUH BERAT"</formula>
    </cfRule>
    <cfRule type="expression" dxfId="86" priority="9">
      <formula>F40="KUMUH RINGAN"</formula>
    </cfRule>
  </conditionalFormatting>
  <conditionalFormatting sqref="G12:G14 G16:G17 G19:G20 G22:G26 G28:G29 G31:G33 G35:G36">
    <cfRule type="cellIs" dxfId="85" priority="1" operator="equal">
      <formula>", , , , , , "</formula>
    </cfRule>
  </conditionalFormatting>
  <conditionalFormatting sqref="M40:M41">
    <cfRule type="expression" dxfId="84" priority="2">
      <formula>M40="KUMUH SEDANG"</formula>
    </cfRule>
    <cfRule type="expression" dxfId="83" priority="3">
      <formula>M40="TIDAK KUMUH"</formula>
    </cfRule>
    <cfRule type="expression" dxfId="82" priority="4">
      <formula>M40="KUMUH BERAT"</formula>
    </cfRule>
    <cfRule type="expression" dxfId="81" priority="5">
      <formula>M40="KUMUH RINGAN"</formula>
    </cfRule>
  </conditionalFormatting>
  <pageMargins left="0.7" right="0.2" top="0.75" bottom="0.75" header="0.3" footer="0.3"/>
  <pageSetup paperSize="9" scale="70" orientation="portrait" horizontalDpi="4294967293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6809E-72E0-4CDB-90E0-9C0A76F5174E}">
  <sheetPr>
    <tabColor rgb="FF0070C0"/>
  </sheetPr>
  <dimension ref="A1:O55"/>
  <sheetViews>
    <sheetView showGridLines="0" zoomScale="80" zoomScaleNormal="80" zoomScaleSheetLayoutView="75" zoomScalePageLayoutView="9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F12" sqref="F12:F37"/>
    </sheetView>
  </sheetViews>
  <sheetFormatPr defaultColWidth="8.85546875" defaultRowHeight="15" x14ac:dyDescent="0.25"/>
  <cols>
    <col min="1" max="1" width="24" customWidth="1"/>
    <col min="2" max="2" width="45.85546875" customWidth="1"/>
    <col min="3" max="3" width="12.42578125" customWidth="1"/>
    <col min="4" max="4" width="9.140625" customWidth="1"/>
    <col min="5" max="5" width="12.140625" customWidth="1"/>
    <col min="6" max="6" width="9.140625" customWidth="1"/>
    <col min="7" max="7" width="36.42578125" customWidth="1"/>
    <col min="8" max="9" width="9.140625" customWidth="1"/>
    <col min="10" max="10" width="10" bestFit="1" customWidth="1"/>
    <col min="11" max="12" width="9.140625" customWidth="1"/>
    <col min="13" max="13" width="11.28515625" customWidth="1"/>
    <col min="14" max="14" width="2.28515625" style="3" customWidth="1"/>
  </cols>
  <sheetData>
    <row r="1" spans="1:14" ht="18.75" customHeight="1" x14ac:dyDescent="0.3">
      <c r="A1" s="193" t="s">
        <v>0</v>
      </c>
      <c r="B1" s="193"/>
      <c r="C1" s="193"/>
      <c r="D1" s="193"/>
      <c r="E1" s="193"/>
      <c r="F1" s="193"/>
      <c r="G1" s="1"/>
      <c r="H1" s="1"/>
      <c r="I1" s="1"/>
      <c r="J1" s="1"/>
      <c r="K1" s="1"/>
      <c r="L1" s="1"/>
      <c r="M1" s="2"/>
    </row>
    <row r="2" spans="1:14" ht="3.75" customHeight="1" x14ac:dyDescent="0.25">
      <c r="A2" s="194"/>
      <c r="B2" s="194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4" ht="15.75" customHeight="1" x14ac:dyDescent="0.25">
      <c r="A3" s="6" t="s">
        <v>1</v>
      </c>
      <c r="B3" s="6" t="str">
        <f>": "&amp;[28]NUMERIK!E14</f>
        <v>: JAWA TIMUR</v>
      </c>
      <c r="C3" s="7" t="s">
        <v>2</v>
      </c>
      <c r="D3" s="8"/>
      <c r="E3" s="9">
        <f>[28]NUMERIK!K6</f>
        <v>5.48</v>
      </c>
      <c r="F3" t="s">
        <v>3</v>
      </c>
    </row>
    <row r="4" spans="1:14" ht="15.75" customHeight="1" x14ac:dyDescent="0.25">
      <c r="A4" s="6" t="s">
        <v>4</v>
      </c>
      <c r="B4" s="6" t="str">
        <f>": "&amp;[28]NUMERIK!E12</f>
        <v>: KAB. BOJONEGORO</v>
      </c>
      <c r="C4" s="7" t="s">
        <v>5</v>
      </c>
      <c r="D4" s="8"/>
      <c r="E4" s="9">
        <f>[28]NUMERIK!K8</f>
        <v>5.48</v>
      </c>
      <c r="F4" t="s">
        <v>3</v>
      </c>
    </row>
    <row r="5" spans="1:14" ht="15.75" customHeight="1" x14ac:dyDescent="0.25">
      <c r="A5" s="10" t="s">
        <v>6</v>
      </c>
      <c r="B5" s="10" t="str">
        <f>": "&amp;[28]NUMERIK!E10</f>
        <v>: BOJONEGORO</v>
      </c>
      <c r="C5" s="7" t="s">
        <v>7</v>
      </c>
      <c r="D5" s="8"/>
      <c r="E5" s="11">
        <f>[28]NUMERIK!K10</f>
        <v>185</v>
      </c>
      <c r="F5" t="s">
        <v>8</v>
      </c>
    </row>
    <row r="6" spans="1:14" ht="15.75" customHeight="1" x14ac:dyDescent="0.25">
      <c r="A6" s="10" t="s">
        <v>9</v>
      </c>
      <c r="B6" s="10" t="str">
        <f>": "&amp;[28]NUMERIK!E6</f>
        <v>: KARANG PACAR</v>
      </c>
      <c r="C6" s="7" t="s">
        <v>10</v>
      </c>
      <c r="D6" s="8"/>
      <c r="E6" s="12">
        <f>[28]NUMERIK!K12</f>
        <v>639</v>
      </c>
      <c r="F6" t="s">
        <v>11</v>
      </c>
    </row>
    <row r="7" spans="1:14" ht="15.75" customHeight="1" x14ac:dyDescent="0.25">
      <c r="A7" s="4"/>
      <c r="B7" s="13"/>
      <c r="C7" s="7" t="s">
        <v>7</v>
      </c>
      <c r="D7" s="5"/>
      <c r="E7" s="12">
        <f>[28]NUMERIK!K14</f>
        <v>192</v>
      </c>
      <c r="F7" t="s">
        <v>12</v>
      </c>
    </row>
    <row r="8" spans="1:14" ht="5.25" customHeight="1" thickBot="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4" ht="12" customHeight="1" x14ac:dyDescent="0.25">
      <c r="A9" s="195" t="s">
        <v>13</v>
      </c>
      <c r="B9" s="197" t="s">
        <v>14</v>
      </c>
      <c r="C9" s="199" t="s">
        <v>15</v>
      </c>
      <c r="D9" s="200"/>
      <c r="E9" s="200"/>
      <c r="F9" s="201"/>
      <c r="G9" s="216" t="s">
        <v>16</v>
      </c>
      <c r="H9" s="217"/>
      <c r="I9" s="217"/>
      <c r="J9" s="205" t="s">
        <v>17</v>
      </c>
      <c r="K9" s="206"/>
      <c r="L9" s="206"/>
      <c r="M9" s="207"/>
    </row>
    <row r="10" spans="1:14" ht="9.75" customHeight="1" x14ac:dyDescent="0.25">
      <c r="A10" s="196"/>
      <c r="B10" s="198"/>
      <c r="C10" s="202"/>
      <c r="D10" s="203"/>
      <c r="E10" s="203"/>
      <c r="F10" s="204"/>
      <c r="G10" s="211" t="s">
        <v>18</v>
      </c>
      <c r="H10" s="212"/>
      <c r="I10" s="212"/>
      <c r="J10" s="208"/>
      <c r="K10" s="209"/>
      <c r="L10" s="209"/>
      <c r="M10" s="210"/>
    </row>
    <row r="11" spans="1:14" ht="15.75" thickBot="1" x14ac:dyDescent="0.3">
      <c r="A11" s="196"/>
      <c r="B11" s="198"/>
      <c r="C11" s="14" t="s">
        <v>19</v>
      </c>
      <c r="D11" s="14" t="s">
        <v>20</v>
      </c>
      <c r="E11" s="14" t="s">
        <v>21</v>
      </c>
      <c r="F11" s="15" t="s">
        <v>22</v>
      </c>
      <c r="G11" s="16" t="s">
        <v>23</v>
      </c>
      <c r="H11" s="17" t="s">
        <v>24</v>
      </c>
      <c r="I11" s="17" t="s">
        <v>20</v>
      </c>
      <c r="J11" s="18" t="s">
        <v>19</v>
      </c>
      <c r="K11" s="19" t="s">
        <v>20</v>
      </c>
      <c r="L11" s="19" t="s">
        <v>25</v>
      </c>
      <c r="M11" s="20" t="s">
        <v>22</v>
      </c>
    </row>
    <row r="12" spans="1:14" s="34" customFormat="1" ht="24.95" customHeight="1" x14ac:dyDescent="0.25">
      <c r="A12" s="213" t="s">
        <v>26</v>
      </c>
      <c r="B12" s="21" t="s">
        <v>27</v>
      </c>
      <c r="C12" s="22">
        <f>[28]NUMERIK!K18</f>
        <v>5</v>
      </c>
      <c r="D12" s="23" t="s">
        <v>8</v>
      </c>
      <c r="E12" s="24">
        <f>C12/E5*100%</f>
        <v>2.7027027027027029E-2</v>
      </c>
      <c r="F12" s="25">
        <f t="shared" ref="F12:F36" si="0">IF(AND(E12&gt;=24.995%,E12&lt;50.995%),1,IF(AND(E12&gt;=50.995%,E12&lt;75.995%),3,IF(E12&gt;=75.995%,5,0)))</f>
        <v>0</v>
      </c>
      <c r="G12" s="26" t="str">
        <f>[28]Outcome!Q6</f>
        <v xml:space="preserve">, , , , , , , , , , , , , , , , , , , , , , , , , , , , , , , , , , , , , , , , , , , , </v>
      </c>
      <c r="H12" s="27">
        <f>[28]Outcome!M6</f>
        <v>0</v>
      </c>
      <c r="I12" s="28" t="s">
        <v>8</v>
      </c>
      <c r="J12" s="29">
        <f>IF(H12&gt;C12,0,C12-H12)</f>
        <v>5</v>
      </c>
      <c r="K12" s="30" t="s">
        <v>8</v>
      </c>
      <c r="L12" s="31">
        <f>J12/E$5*100%</f>
        <v>2.7027027027027029E-2</v>
      </c>
      <c r="M12" s="32">
        <f t="shared" ref="M12:M36" si="1">IF(AND(L12&gt;=24.995%,L12&lt;50.995%),1,IF(AND(L12&gt;=50.995%,L12&lt;75.995%),3,IF(L12&gt;=75.995%,5,0)))</f>
        <v>0</v>
      </c>
      <c r="N12" s="33"/>
    </row>
    <row r="13" spans="1:14" s="34" customFormat="1" ht="24.95" customHeight="1" x14ac:dyDescent="0.25">
      <c r="A13" s="213"/>
      <c r="B13" s="21" t="s">
        <v>28</v>
      </c>
      <c r="C13" s="35">
        <f>[28]NUMERIK!K20</f>
        <v>0</v>
      </c>
      <c r="D13" s="23" t="s">
        <v>3</v>
      </c>
      <c r="E13" s="24">
        <f>C13/E4*100%</f>
        <v>0</v>
      </c>
      <c r="F13" s="25">
        <f t="shared" si="0"/>
        <v>0</v>
      </c>
      <c r="G13" s="36" t="str">
        <f>[28]Outcome!Q51</f>
        <v xml:space="preserve">, , , , , , , , , , , , , , , , , , , </v>
      </c>
      <c r="H13" s="37">
        <f>[28]Outcome!M51</f>
        <v>0</v>
      </c>
      <c r="I13" s="38" t="s">
        <v>3</v>
      </c>
      <c r="J13" s="39">
        <f>IF(H13&gt;C13,0,C13-H13)</f>
        <v>0</v>
      </c>
      <c r="K13" s="40" t="s">
        <v>3</v>
      </c>
      <c r="L13" s="41">
        <f>J13/E$4*100%</f>
        <v>0</v>
      </c>
      <c r="M13" s="42">
        <f t="shared" si="1"/>
        <v>0</v>
      </c>
      <c r="N13" s="33"/>
    </row>
    <row r="14" spans="1:14" s="34" customFormat="1" ht="24.95" customHeight="1" thickBot="1" x14ac:dyDescent="0.3">
      <c r="A14" s="214"/>
      <c r="B14" s="43" t="s">
        <v>29</v>
      </c>
      <c r="C14" s="35">
        <f>[28]NUMERIK!K22</f>
        <v>11</v>
      </c>
      <c r="D14" s="23" t="s">
        <v>8</v>
      </c>
      <c r="E14" s="24">
        <f>C14/E5*100%</f>
        <v>5.9459459459459463E-2</v>
      </c>
      <c r="F14" s="44">
        <f t="shared" si="0"/>
        <v>0</v>
      </c>
      <c r="G14" s="45" t="str">
        <f>[28]Outcome!Q71</f>
        <v xml:space="preserve">, , , , , , , , , , , , , , , , , , , , , , , , , , , , , , , , , , , , , , , , , , , , </v>
      </c>
      <c r="H14" s="46">
        <f>[28]Outcome!M71</f>
        <v>0</v>
      </c>
      <c r="I14" s="47" t="s">
        <v>8</v>
      </c>
      <c r="J14" s="48">
        <f>IF(H14&gt;C14,0,C14-H14)</f>
        <v>11</v>
      </c>
      <c r="K14" s="49" t="s">
        <v>8</v>
      </c>
      <c r="L14" s="50">
        <f>J14/E$5*100%</f>
        <v>5.9459459459459463E-2</v>
      </c>
      <c r="M14" s="51">
        <f t="shared" si="1"/>
        <v>0</v>
      </c>
      <c r="N14" s="33"/>
    </row>
    <row r="15" spans="1:14" s="34" customFormat="1" ht="30" customHeight="1" thickBot="1" x14ac:dyDescent="0.3">
      <c r="A15" s="52" t="s">
        <v>30</v>
      </c>
      <c r="B15" s="53"/>
      <c r="C15" s="54"/>
      <c r="D15" s="55"/>
      <c r="E15" s="56">
        <f>IF(SUM(F12:F14)&gt;0,(SUMIF(F12:F14,"&gt;0",E12:E14)/3),0)</f>
        <v>0</v>
      </c>
      <c r="F15" s="57"/>
      <c r="G15" s="58"/>
      <c r="H15" s="59"/>
      <c r="I15" s="59"/>
      <c r="J15" s="60"/>
      <c r="K15" s="61"/>
      <c r="L15" s="56">
        <f>IF(SUM(M12:M14)&gt;0,(SUMIF(M12:M14,"&gt;0",L12:L14)/3),0)</f>
        <v>0</v>
      </c>
      <c r="M15" s="62"/>
      <c r="N15" s="33"/>
    </row>
    <row r="16" spans="1:14" s="34" customFormat="1" ht="24.95" customHeight="1" x14ac:dyDescent="0.25">
      <c r="A16" s="215" t="s">
        <v>31</v>
      </c>
      <c r="B16" s="63" t="s">
        <v>32</v>
      </c>
      <c r="C16" s="64">
        <f>[28]NUMERIK!K25-[28]NUMERIK!K26</f>
        <v>0</v>
      </c>
      <c r="D16" s="65" t="s">
        <v>33</v>
      </c>
      <c r="E16" s="66">
        <f>C16/[28]NUMERIK!K$25*100%</f>
        <v>0</v>
      </c>
      <c r="F16" s="67">
        <f t="shared" si="0"/>
        <v>0</v>
      </c>
      <c r="G16" s="36" t="str">
        <f>[28]Outcome!Q116</f>
        <v xml:space="preserve">, , , , , , , , , , , , , , , , , , , </v>
      </c>
      <c r="H16" s="27">
        <f>[28]Outcome!M116</f>
        <v>0</v>
      </c>
      <c r="I16" s="68" t="s">
        <v>33</v>
      </c>
      <c r="J16" s="69">
        <f>IF(H16&gt;C16,0,C16-H16)</f>
        <v>0</v>
      </c>
      <c r="K16" s="70" t="s">
        <v>33</v>
      </c>
      <c r="L16" s="71">
        <f>J16/[28]NUMERIK!K$25*100%</f>
        <v>0</v>
      </c>
      <c r="M16" s="72">
        <f t="shared" si="1"/>
        <v>0</v>
      </c>
      <c r="N16" s="33"/>
    </row>
    <row r="17" spans="1:15" s="34" customFormat="1" ht="24.95" customHeight="1" thickBot="1" x14ac:dyDescent="0.3">
      <c r="A17" s="192"/>
      <c r="B17" s="21" t="s">
        <v>34</v>
      </c>
      <c r="C17" s="22">
        <f>[28]NUMERIK!K28</f>
        <v>129</v>
      </c>
      <c r="D17" s="73" t="s">
        <v>33</v>
      </c>
      <c r="E17" s="24">
        <f>C17/[28]NUMERIK!K$25*100%</f>
        <v>9.8248286367098245E-2</v>
      </c>
      <c r="F17" s="25">
        <f t="shared" si="0"/>
        <v>0</v>
      </c>
      <c r="G17" s="45" t="str">
        <f>[28]Outcome!Q136</f>
        <v xml:space="preserve">, , , , , , , , , , , , , , , , , , , , , , , , , , , , , , , , , , , , , , , , , , , , </v>
      </c>
      <c r="H17" s="37">
        <f>[28]Outcome!M136</f>
        <v>0</v>
      </c>
      <c r="I17" s="38" t="s">
        <v>33</v>
      </c>
      <c r="J17" s="39">
        <f>IF(H17&gt;C17,0,C17-H17)</f>
        <v>129</v>
      </c>
      <c r="K17" s="40" t="s">
        <v>33</v>
      </c>
      <c r="L17" s="41">
        <f>J17/[28]NUMERIK!K$25*100%</f>
        <v>9.8248286367098245E-2</v>
      </c>
      <c r="M17" s="42">
        <f t="shared" si="1"/>
        <v>0</v>
      </c>
      <c r="N17" s="33"/>
    </row>
    <row r="18" spans="1:15" s="34" customFormat="1" ht="30" customHeight="1" thickBot="1" x14ac:dyDescent="0.3">
      <c r="A18" s="52" t="s">
        <v>35</v>
      </c>
      <c r="B18" s="53"/>
      <c r="C18" s="54"/>
      <c r="D18" s="55"/>
      <c r="E18" s="56">
        <f>IF(SUM(F16:F17)&gt;0,(SUMIF(F16:F17,"&gt;0",E16:E17)/2),0)</f>
        <v>0</v>
      </c>
      <c r="F18" s="57"/>
      <c r="G18" s="58"/>
      <c r="H18" s="59"/>
      <c r="I18" s="59"/>
      <c r="J18" s="60"/>
      <c r="K18" s="61"/>
      <c r="L18" s="56">
        <f>IF(SUM(M16:M17)&gt;0,(SUMIF(M16:M17,"&gt;0",L16:L17)/2),0)</f>
        <v>0</v>
      </c>
      <c r="M18" s="62"/>
      <c r="N18" s="33"/>
    </row>
    <row r="19" spans="1:15" s="34" customFormat="1" ht="24.95" customHeight="1" x14ac:dyDescent="0.25">
      <c r="A19" s="213" t="s">
        <v>36</v>
      </c>
      <c r="B19" s="21" t="s">
        <v>37</v>
      </c>
      <c r="C19" s="22">
        <f>[28]NUMERIK!K31</f>
        <v>31</v>
      </c>
      <c r="D19" s="73" t="s">
        <v>12</v>
      </c>
      <c r="E19" s="74">
        <f>C19/E$7*100%</f>
        <v>0.16145833333333334</v>
      </c>
      <c r="F19" s="25">
        <f t="shared" si="0"/>
        <v>0</v>
      </c>
      <c r="G19" s="36" t="str">
        <f>[28]Outcome!Q181</f>
        <v xml:space="preserve">, , , , , , , , , , , , , , , , , , , </v>
      </c>
      <c r="H19" s="27">
        <f>[28]Outcome!Q182</f>
        <v>0</v>
      </c>
      <c r="I19" s="38" t="s">
        <v>12</v>
      </c>
      <c r="J19" s="39">
        <f>IF(H19&gt;C19,0,C19-H19)</f>
        <v>31</v>
      </c>
      <c r="K19" s="75" t="s">
        <v>12</v>
      </c>
      <c r="L19" s="76">
        <f>J19/E$7*100%</f>
        <v>0.16145833333333334</v>
      </c>
      <c r="M19" s="42">
        <f t="shared" si="1"/>
        <v>0</v>
      </c>
      <c r="N19" s="33"/>
    </row>
    <row r="20" spans="1:15" s="34" customFormat="1" ht="24.95" customHeight="1" thickBot="1" x14ac:dyDescent="0.3">
      <c r="A20" s="213"/>
      <c r="B20" s="21" t="s">
        <v>38</v>
      </c>
      <c r="C20" s="22">
        <f>[28]NUMERIK!K33</f>
        <v>31</v>
      </c>
      <c r="D20" s="73" t="s">
        <v>12</v>
      </c>
      <c r="E20" s="74">
        <f>C20/E$7*100%</f>
        <v>0.16145833333333334</v>
      </c>
      <c r="F20" s="25">
        <f t="shared" si="0"/>
        <v>0</v>
      </c>
      <c r="G20" s="45" t="str">
        <f>[28]Outcome!Q201</f>
        <v xml:space="preserve">, , , , , , , , , , , , , , , , , , , , , , , , , , , , , , , , , , , , , , , , , , , , </v>
      </c>
      <c r="H20" s="37">
        <f>[28]Outcome!Q202</f>
        <v>0</v>
      </c>
      <c r="I20" s="38" t="s">
        <v>12</v>
      </c>
      <c r="J20" s="39">
        <f>IF(H20&gt;C20,0,C20-H20)</f>
        <v>31</v>
      </c>
      <c r="K20" s="75" t="s">
        <v>12</v>
      </c>
      <c r="L20" s="76">
        <f>J20/E$7*100%</f>
        <v>0.16145833333333334</v>
      </c>
      <c r="M20" s="42">
        <f t="shared" si="1"/>
        <v>0</v>
      </c>
      <c r="N20" s="33"/>
    </row>
    <row r="21" spans="1:15" s="77" customFormat="1" ht="30" customHeight="1" thickBot="1" x14ac:dyDescent="0.3">
      <c r="A21" s="52" t="s">
        <v>39</v>
      </c>
      <c r="B21" s="53"/>
      <c r="C21" s="54"/>
      <c r="D21" s="55"/>
      <c r="E21" s="56">
        <f>IF(SUM(F19:F20)&gt;0,(SUMIF(F19:F20,"&gt;0",E19:E20)/2),0)</f>
        <v>0</v>
      </c>
      <c r="F21" s="57"/>
      <c r="G21" s="58"/>
      <c r="H21" s="59"/>
      <c r="I21" s="59"/>
      <c r="J21" s="60"/>
      <c r="K21" s="61"/>
      <c r="L21" s="56">
        <f>IF(SUM(M19:M20)&gt;0,(SUMIF(M19:M20,"&gt;0",L19:L20)/2),0)</f>
        <v>0</v>
      </c>
      <c r="M21" s="62"/>
      <c r="N21" s="33"/>
      <c r="O21" s="34"/>
    </row>
    <row r="22" spans="1:15" s="34" customFormat="1" ht="20.100000000000001" customHeight="1" x14ac:dyDescent="0.25">
      <c r="A22" s="192" t="s">
        <v>40</v>
      </c>
      <c r="B22" s="78" t="s">
        <v>41</v>
      </c>
      <c r="C22" s="22">
        <f>[28]NUMERIK!K36</f>
        <v>0</v>
      </c>
      <c r="D22" s="73" t="s">
        <v>3</v>
      </c>
      <c r="E22" s="79">
        <f>C22/E$4*100%</f>
        <v>0</v>
      </c>
      <c r="F22" s="25">
        <f t="shared" si="0"/>
        <v>0</v>
      </c>
      <c r="G22" s="36" t="str">
        <f>[28]Outcome!Q246</f>
        <v xml:space="preserve">, , , , , , , , , , , , , , , , , , , </v>
      </c>
      <c r="H22" s="27">
        <f>[28]Outcome!M246</f>
        <v>0</v>
      </c>
      <c r="I22" s="38" t="s">
        <v>3</v>
      </c>
      <c r="J22" s="39">
        <f>IF(H22&gt;C22,0,C22-H22)</f>
        <v>0</v>
      </c>
      <c r="K22" s="40" t="s">
        <v>3</v>
      </c>
      <c r="L22" s="41">
        <f>J22/E$4*100%</f>
        <v>0</v>
      </c>
      <c r="M22" s="42">
        <f t="shared" si="1"/>
        <v>0</v>
      </c>
      <c r="N22" s="33"/>
    </row>
    <row r="23" spans="1:15" s="34" customFormat="1" ht="25.5" customHeight="1" x14ac:dyDescent="0.25">
      <c r="A23" s="192"/>
      <c r="B23" s="21" t="s">
        <v>42</v>
      </c>
      <c r="C23" s="22">
        <f>([28]NUMERIK!K38-[28]NUMERIK!K40)</f>
        <v>1315</v>
      </c>
      <c r="D23" s="73" t="s">
        <v>33</v>
      </c>
      <c r="E23" s="79">
        <f>C23/[28]NUMERIK!K$38*100%</f>
        <v>0.62858508604206498</v>
      </c>
      <c r="F23" s="25">
        <f t="shared" si="0"/>
        <v>3</v>
      </c>
      <c r="G23" s="36" t="str">
        <f>[28]Outcome!Q266</f>
        <v xml:space="preserve">Saluran Drainase RT001-RW001, Drainase Lingkungan RT002-RW001, , , , , , , , , , , , , , , , , , , , , , , , , , , , , , , , , , , , , , , , , , , </v>
      </c>
      <c r="H23" s="37">
        <f>[28]Outcome!M266</f>
        <v>345</v>
      </c>
      <c r="I23" s="38" t="s">
        <v>33</v>
      </c>
      <c r="J23" s="39">
        <f>IF(H23&gt;C23,0,C23-H23)</f>
        <v>970</v>
      </c>
      <c r="K23" s="40" t="s">
        <v>33</v>
      </c>
      <c r="L23" s="41">
        <f>J23/[28]NUMERIK!K$38*100%</f>
        <v>0.46367112810707456</v>
      </c>
      <c r="M23" s="42">
        <f t="shared" si="1"/>
        <v>1</v>
      </c>
      <c r="N23" s="33"/>
    </row>
    <row r="24" spans="1:15" s="34" customFormat="1" ht="20.100000000000001" customHeight="1" x14ac:dyDescent="0.25">
      <c r="A24" s="192"/>
      <c r="B24" s="21" t="s">
        <v>43</v>
      </c>
      <c r="C24" s="22">
        <f>[28]NUMERIK!K42</f>
        <v>330</v>
      </c>
      <c r="D24" s="73" t="s">
        <v>33</v>
      </c>
      <c r="E24" s="79">
        <f>C24/[28]NUMERIK!K$38*100%</f>
        <v>0.15774378585086041</v>
      </c>
      <c r="F24" s="25">
        <f t="shared" si="0"/>
        <v>0</v>
      </c>
      <c r="G24" s="36" t="str">
        <f>[28]Outcome!Q311</f>
        <v xml:space="preserve">Saluran Drainase RT020-RW003, , , , , , , , , , , , , , , , , , , </v>
      </c>
      <c r="H24" s="37">
        <f>[28]Outcome!M311</f>
        <v>364</v>
      </c>
      <c r="I24" s="38" t="s">
        <v>33</v>
      </c>
      <c r="J24" s="39">
        <f>IF(H24&gt;C24,0,C24-H24)</f>
        <v>0</v>
      </c>
      <c r="K24" s="40" t="s">
        <v>33</v>
      </c>
      <c r="L24" s="41">
        <f>J24/[28]NUMERIK!K$38*100%</f>
        <v>0</v>
      </c>
      <c r="M24" s="42">
        <f t="shared" si="1"/>
        <v>0</v>
      </c>
      <c r="N24" s="33"/>
    </row>
    <row r="25" spans="1:15" s="34" customFormat="1" ht="20.100000000000001" customHeight="1" x14ac:dyDescent="0.25">
      <c r="A25" s="192"/>
      <c r="B25" s="21" t="s">
        <v>44</v>
      </c>
      <c r="C25" s="22">
        <f>[28]NUMERIK!K45</f>
        <v>777</v>
      </c>
      <c r="D25" s="73" t="s">
        <v>33</v>
      </c>
      <c r="E25" s="79">
        <f>C25/[28]NUMERIK!K$38*100%</f>
        <v>0.37141491395793497</v>
      </c>
      <c r="F25" s="25">
        <f t="shared" si="0"/>
        <v>1</v>
      </c>
      <c r="G25" s="36" t="str">
        <f>[28]Outcome!Q331</f>
        <v xml:space="preserve">Drainase Lingkungan RT001-RW001, Saluran Drainase RT020-RW003, Drainase Lingkungan RT020-RW003, Drainase Lingkungan RT001-RW001, Normalisasi Drainase RT002-RW001, , , , , , , , , , , , , , , </v>
      </c>
      <c r="H25" s="37">
        <f>[28]Outcome!M331</f>
        <v>787.5</v>
      </c>
      <c r="I25" s="38" t="s">
        <v>33</v>
      </c>
      <c r="J25" s="39">
        <f>IF(H25&gt;C25,0,C25-H25)</f>
        <v>0</v>
      </c>
      <c r="K25" s="40" t="s">
        <v>33</v>
      </c>
      <c r="L25" s="41">
        <f>J25/[28]NUMERIK!K$38*100%</f>
        <v>0</v>
      </c>
      <c r="M25" s="42">
        <f t="shared" si="1"/>
        <v>0</v>
      </c>
      <c r="N25" s="33"/>
    </row>
    <row r="26" spans="1:15" s="34" customFormat="1" ht="20.100000000000001" customHeight="1" thickBot="1" x14ac:dyDescent="0.3">
      <c r="A26" s="192"/>
      <c r="B26" s="78" t="s">
        <v>45</v>
      </c>
      <c r="C26" s="22">
        <f>[28]NUMERIK!K48</f>
        <v>385</v>
      </c>
      <c r="D26" s="73" t="s">
        <v>33</v>
      </c>
      <c r="E26" s="79">
        <f>C26/[28]NUMERIK!K$38*100%</f>
        <v>0.18403441682600383</v>
      </c>
      <c r="F26" s="25">
        <f t="shared" si="0"/>
        <v>0</v>
      </c>
      <c r="G26" s="36" t="str">
        <f>[28]Outcome!Q351</f>
        <v xml:space="preserve">Saluran Drainase RT020-RW003, , , , , , , , , , , , , , , , , , , , , , , , , , , , , , , , , , , , , , , , , , , , </v>
      </c>
      <c r="H26" s="37">
        <f>[28]Outcome!M351</f>
        <v>364</v>
      </c>
      <c r="I26" s="38" t="s">
        <v>33</v>
      </c>
      <c r="J26" s="39">
        <f>IF(H26&gt;C26,0,C26-H26)</f>
        <v>21</v>
      </c>
      <c r="K26" s="40" t="s">
        <v>33</v>
      </c>
      <c r="L26" s="41">
        <f>J26/[28]NUMERIK!K$38*100%</f>
        <v>1.0038240917782026E-2</v>
      </c>
      <c r="M26" s="42">
        <f t="shared" si="1"/>
        <v>0</v>
      </c>
      <c r="N26" s="33"/>
    </row>
    <row r="27" spans="1:15" s="88" customFormat="1" ht="30" customHeight="1" thickBot="1" x14ac:dyDescent="0.3">
      <c r="A27" s="80" t="s">
        <v>46</v>
      </c>
      <c r="B27" s="81"/>
      <c r="C27" s="55"/>
      <c r="D27" s="55"/>
      <c r="E27" s="82">
        <f>IF(SUM(F22:F26)&gt;0,(SUMIF(F22:F26,"&gt;0",E22:E26)/5),0)</f>
        <v>0.2</v>
      </c>
      <c r="F27" s="83"/>
      <c r="G27" s="58"/>
      <c r="H27" s="59"/>
      <c r="I27" s="59"/>
      <c r="J27" s="84"/>
      <c r="K27" s="85"/>
      <c r="L27" s="82">
        <f>IF(SUM(M22:M26)&gt;0,(SUMIF(M22:M26,"&gt;0",L22:L26)/5),0)</f>
        <v>9.2734225621414909E-2</v>
      </c>
      <c r="M27" s="86"/>
      <c r="N27" s="87"/>
    </row>
    <row r="28" spans="1:15" s="34" customFormat="1" ht="27.75" customHeight="1" x14ac:dyDescent="0.25">
      <c r="A28" s="213" t="s">
        <v>47</v>
      </c>
      <c r="B28" s="21" t="s">
        <v>48</v>
      </c>
      <c r="C28" s="22">
        <f>[28]NUMERIK!K51</f>
        <v>0</v>
      </c>
      <c r="D28" s="73" t="s">
        <v>12</v>
      </c>
      <c r="E28" s="89">
        <f>C28/E$7*100%</f>
        <v>0</v>
      </c>
      <c r="F28" s="25">
        <f t="shared" si="0"/>
        <v>0</v>
      </c>
      <c r="G28" s="36" t="str">
        <f>[28]Outcome!Q396</f>
        <v xml:space="preserve">, , , , , , , , , , , , , , , , , , , , , , , , , , , , , , , , , , , , , , , , , , , , </v>
      </c>
      <c r="H28" s="37">
        <f>[28]Outcome!Q397</f>
        <v>0</v>
      </c>
      <c r="I28" s="38" t="s">
        <v>12</v>
      </c>
      <c r="J28" s="39">
        <f>IF(H28&gt;C28,0,C28-H28)</f>
        <v>0</v>
      </c>
      <c r="K28" s="40" t="s">
        <v>12</v>
      </c>
      <c r="L28" s="41">
        <f>J28/E$7*100%</f>
        <v>0</v>
      </c>
      <c r="M28" s="42">
        <f t="shared" si="1"/>
        <v>0</v>
      </c>
      <c r="N28" s="33"/>
    </row>
    <row r="29" spans="1:15" s="34" customFormat="1" ht="30" customHeight="1" thickBot="1" x14ac:dyDescent="0.3">
      <c r="A29" s="213"/>
      <c r="B29" s="21" t="s">
        <v>49</v>
      </c>
      <c r="C29" s="22">
        <f>[28]NUMERIK!K53</f>
        <v>0</v>
      </c>
      <c r="D29" s="73" t="s">
        <v>12</v>
      </c>
      <c r="E29" s="89">
        <f>C29/E$7*100%</f>
        <v>0</v>
      </c>
      <c r="F29" s="25">
        <f t="shared" si="0"/>
        <v>0</v>
      </c>
      <c r="G29" s="45" t="str">
        <f>[28]Outcome!Q441</f>
        <v xml:space="preserve">, , , , , , , , , , , , , , , , , , , , , , , , , , , , , , , , , , , , , , , , , , , , , , , , , , , , , , </v>
      </c>
      <c r="H29" s="37">
        <f>[28]Outcome!Q442</f>
        <v>0</v>
      </c>
      <c r="I29" s="38" t="s">
        <v>12</v>
      </c>
      <c r="J29" s="39">
        <f>IF(H29&gt;C29,0,C29-H29)</f>
        <v>0</v>
      </c>
      <c r="K29" s="40" t="s">
        <v>12</v>
      </c>
      <c r="L29" s="41">
        <f>J29/E$7*100%</f>
        <v>0</v>
      </c>
      <c r="M29" s="42">
        <f t="shared" si="1"/>
        <v>0</v>
      </c>
      <c r="N29" s="33"/>
    </row>
    <row r="30" spans="1:15" s="88" customFormat="1" ht="30" customHeight="1" thickBot="1" x14ac:dyDescent="0.3">
      <c r="A30" s="90" t="s">
        <v>50</v>
      </c>
      <c r="B30" s="81"/>
      <c r="C30" s="55"/>
      <c r="D30" s="55"/>
      <c r="E30" s="82">
        <f>IF(SUM(F28:F29)&gt;0,(SUMIF(F28:F29,"&gt;0",E28:E29)/2),0)</f>
        <v>0</v>
      </c>
      <c r="F30" s="83"/>
      <c r="G30" s="91"/>
      <c r="H30" s="92"/>
      <c r="I30" s="92"/>
      <c r="J30" s="84"/>
      <c r="K30" s="85"/>
      <c r="L30" s="82">
        <f>IF(SUM(M28:M29)&gt;0,(SUMIF(M28:M29,"&gt;0",L28:L29)/2),0)</f>
        <v>0</v>
      </c>
      <c r="M30" s="86"/>
      <c r="N30" s="87"/>
    </row>
    <row r="31" spans="1:15" s="34" customFormat="1" ht="31.5" customHeight="1" x14ac:dyDescent="0.25">
      <c r="A31" s="192" t="s">
        <v>51</v>
      </c>
      <c r="B31" s="21" t="s">
        <v>52</v>
      </c>
      <c r="C31" s="93">
        <f>[28]NUMERIK!K56</f>
        <v>192</v>
      </c>
      <c r="D31" s="94" t="s">
        <v>12</v>
      </c>
      <c r="E31" s="89">
        <f>C31/E$7*100%</f>
        <v>1</v>
      </c>
      <c r="F31" s="25">
        <f t="shared" si="0"/>
        <v>5</v>
      </c>
      <c r="G31" s="36" t="str">
        <f>[28]Outcome!Q496</f>
        <v xml:space="preserve">Gerobak Motor Sampah RT020-RW003, Gerobak Motor Sampah RT001-RW001, Gerobak Motor Sampah RT002-RW001, , , , , , , , , , , , , , , , , , , , , , , , , , , , , , , , , , , , , , , , , , </v>
      </c>
      <c r="H31" s="37">
        <f>[28]Outcome!Q497</f>
        <v>198</v>
      </c>
      <c r="I31" s="38" t="s">
        <v>12</v>
      </c>
      <c r="J31" s="39">
        <f>IF(H31&gt;C31,0,C31-H31)</f>
        <v>0</v>
      </c>
      <c r="K31" s="40" t="s">
        <v>12</v>
      </c>
      <c r="L31" s="41">
        <f>J31/E$7*100%</f>
        <v>0</v>
      </c>
      <c r="M31" s="42">
        <f t="shared" si="1"/>
        <v>0</v>
      </c>
      <c r="N31" s="33"/>
    </row>
    <row r="32" spans="1:15" s="34" customFormat="1" ht="32.25" customHeight="1" x14ac:dyDescent="0.25">
      <c r="A32" s="192"/>
      <c r="B32" s="21" t="s">
        <v>53</v>
      </c>
      <c r="C32" s="93">
        <f>[28]NUMERIK!K59</f>
        <v>0</v>
      </c>
      <c r="D32" s="94" t="s">
        <v>12</v>
      </c>
      <c r="E32" s="89">
        <f>C32/E$7*100%</f>
        <v>0</v>
      </c>
      <c r="F32" s="25">
        <f t="shared" si="0"/>
        <v>0</v>
      </c>
      <c r="G32" s="36" t="str">
        <f>[28]Outcome!Q541</f>
        <v xml:space="preserve">, , , , , , , , , , , , , , , , , , , , , , , , , , , , , , , , , , , , , , , , , , , , </v>
      </c>
      <c r="H32" s="37">
        <f>[28]Outcome!Q542</f>
        <v>0</v>
      </c>
      <c r="I32" s="38" t="s">
        <v>12</v>
      </c>
      <c r="J32" s="39">
        <f>IF(H32&gt;C32,0,C32-H32)</f>
        <v>0</v>
      </c>
      <c r="K32" s="40" t="s">
        <v>12</v>
      </c>
      <c r="L32" s="41">
        <f>J32/E$7*100%</f>
        <v>0</v>
      </c>
      <c r="M32" s="42">
        <f t="shared" si="1"/>
        <v>0</v>
      </c>
      <c r="N32" s="33"/>
    </row>
    <row r="33" spans="1:14" s="34" customFormat="1" ht="30.75" customHeight="1" thickBot="1" x14ac:dyDescent="0.3">
      <c r="A33" s="192"/>
      <c r="B33" s="21" t="s">
        <v>54</v>
      </c>
      <c r="C33" s="93">
        <f>[28]NUMERIK!K61</f>
        <v>192</v>
      </c>
      <c r="D33" s="94" t="s">
        <v>12</v>
      </c>
      <c r="E33" s="89">
        <f>C33/E$7*100%</f>
        <v>1</v>
      </c>
      <c r="F33" s="25">
        <f t="shared" si="0"/>
        <v>5</v>
      </c>
      <c r="G33" s="36" t="str">
        <f>[28]Outcome!Q586</f>
        <v xml:space="preserve">Gerobak Motor Sampah RT020-RW003, Gerobak Motor Sampah RT001-RW001, Gerobak Motor Sampah RT002-RW001, , , , , , , , , , , , , , , , , , , , , , , , , , , , , , , , , , , , , , , , , , </v>
      </c>
      <c r="H33" s="37">
        <f>[28]Outcome!Q587</f>
        <v>198</v>
      </c>
      <c r="I33" s="38" t="s">
        <v>12</v>
      </c>
      <c r="J33" s="39">
        <f>IF(H33&gt;C33,0,C33-H33)</f>
        <v>0</v>
      </c>
      <c r="K33" s="40" t="s">
        <v>12</v>
      </c>
      <c r="L33" s="41">
        <f>J33/E$7*100%</f>
        <v>0</v>
      </c>
      <c r="M33" s="42">
        <f t="shared" si="1"/>
        <v>0</v>
      </c>
      <c r="N33" s="33"/>
    </row>
    <row r="34" spans="1:14" s="88" customFormat="1" ht="30" customHeight="1" thickBot="1" x14ac:dyDescent="0.3">
      <c r="A34" s="80" t="s">
        <v>55</v>
      </c>
      <c r="B34" s="81"/>
      <c r="C34" s="55"/>
      <c r="D34" s="55"/>
      <c r="E34" s="82">
        <f>IF(SUM(F31:F33)&gt;0,(SUMIF(F31:F33,"&gt;0",E31:E33)/3),0)</f>
        <v>0.66666666666666663</v>
      </c>
      <c r="F34" s="83"/>
      <c r="G34" s="91"/>
      <c r="H34" s="92"/>
      <c r="I34" s="92"/>
      <c r="J34" s="84"/>
      <c r="K34" s="85"/>
      <c r="L34" s="82">
        <f>IF(SUM(M31:M33)&gt;0,(SUMIF(M31:M33,"&gt;0",L31:L33)/3),0)</f>
        <v>0</v>
      </c>
      <c r="M34" s="86"/>
      <c r="N34" s="87"/>
    </row>
    <row r="35" spans="1:14" s="34" customFormat="1" ht="24.95" customHeight="1" x14ac:dyDescent="0.25">
      <c r="A35" s="213" t="s">
        <v>56</v>
      </c>
      <c r="B35" s="95" t="s">
        <v>57</v>
      </c>
      <c r="C35" s="93">
        <f>[28]NUMERIK!K64</f>
        <v>185</v>
      </c>
      <c r="D35" s="94" t="s">
        <v>8</v>
      </c>
      <c r="E35" s="79">
        <f>C35/E$5*100%</f>
        <v>1</v>
      </c>
      <c r="F35" s="25">
        <f t="shared" si="0"/>
        <v>5</v>
      </c>
      <c r="G35" s="36" t="str">
        <f>[28]Outcome!Q631</f>
        <v xml:space="preserve">, , , , , , , , , , , , , , , , , , , </v>
      </c>
      <c r="H35" s="27">
        <f>[28]Outcome!Q632</f>
        <v>0</v>
      </c>
      <c r="I35" s="38" t="s">
        <v>8</v>
      </c>
      <c r="J35" s="39">
        <f>IF(H35&gt;C35,0,C35-H35)</f>
        <v>185</v>
      </c>
      <c r="K35" s="40" t="s">
        <v>8</v>
      </c>
      <c r="L35" s="41">
        <f>J35/E$5*100%</f>
        <v>1</v>
      </c>
      <c r="M35" s="42">
        <f t="shared" si="1"/>
        <v>5</v>
      </c>
      <c r="N35" s="33"/>
    </row>
    <row r="36" spans="1:14" s="34" customFormat="1" ht="24.95" customHeight="1" thickBot="1" x14ac:dyDescent="0.3">
      <c r="A36" s="213"/>
      <c r="B36" s="95" t="s">
        <v>58</v>
      </c>
      <c r="C36" s="96">
        <f>[28]NUMERIK!K66</f>
        <v>185</v>
      </c>
      <c r="D36" s="94" t="s">
        <v>8</v>
      </c>
      <c r="E36" s="79">
        <f>C36/E$5*100%</f>
        <v>1</v>
      </c>
      <c r="F36" s="25">
        <f t="shared" si="0"/>
        <v>5</v>
      </c>
      <c r="G36" s="36" t="str">
        <f>[28]Outcome!Q651</f>
        <v xml:space="preserve">Mobil pemadam kebakaran RT001-RW001, Mobil pemadam kebakaran RT002-RW001, Mobil pemadam kebakaran RT020-RW003, , , , , , , , , , , , , , , , , </v>
      </c>
      <c r="H36" s="37">
        <f>[28]Outcome!Q652</f>
        <v>194</v>
      </c>
      <c r="I36" s="97" t="s">
        <v>8</v>
      </c>
      <c r="J36" s="98">
        <f>IF(H36&gt;C36,0,C36-H36)</f>
        <v>0</v>
      </c>
      <c r="K36" s="99" t="s">
        <v>8</v>
      </c>
      <c r="L36" s="100">
        <f>J36/E$5*100%</f>
        <v>0</v>
      </c>
      <c r="M36" s="51">
        <f t="shared" si="1"/>
        <v>0</v>
      </c>
      <c r="N36" s="33"/>
    </row>
    <row r="37" spans="1:14" s="77" customFormat="1" ht="30" customHeight="1" thickBot="1" x14ac:dyDescent="0.3">
      <c r="A37" s="80" t="s">
        <v>59</v>
      </c>
      <c r="B37" s="101"/>
      <c r="C37" s="102"/>
      <c r="D37" s="102"/>
      <c r="E37" s="82">
        <f>IF(SUM(F35:F36)&gt;0,(SUMIF(F35:F36,"&gt;0",E35:E36)/2),0)</f>
        <v>1</v>
      </c>
      <c r="F37" s="103"/>
      <c r="G37" s="104"/>
      <c r="H37" s="105"/>
      <c r="I37" s="105"/>
      <c r="J37" s="106"/>
      <c r="K37" s="107"/>
      <c r="L37" s="82">
        <f>IF(SUM(M35:M36)&gt;0,(SUMIF(M35:M36,"&gt;0",L35:L36)/2),0)</f>
        <v>0.5</v>
      </c>
      <c r="M37" s="108"/>
      <c r="N37" s="109"/>
    </row>
    <row r="38" spans="1:14" ht="15" customHeight="1" x14ac:dyDescent="0.25">
      <c r="A38" s="110"/>
      <c r="B38" s="111" t="s">
        <v>60</v>
      </c>
      <c r="D38" s="218" t="s">
        <v>61</v>
      </c>
      <c r="E38" s="219"/>
      <c r="F38" s="222">
        <f>SUM(F12:F36)</f>
        <v>24</v>
      </c>
      <c r="G38" s="112"/>
      <c r="H38" s="112"/>
      <c r="I38" s="112"/>
      <c r="J38" s="112"/>
      <c r="K38" s="238" t="s">
        <v>61</v>
      </c>
      <c r="L38" s="239"/>
      <c r="M38" s="224">
        <f>SUM(M12:M36)</f>
        <v>6</v>
      </c>
    </row>
    <row r="39" spans="1:14" ht="15" customHeight="1" x14ac:dyDescent="0.25">
      <c r="A39" s="110"/>
      <c r="B39" s="113" t="s">
        <v>62</v>
      </c>
      <c r="D39" s="220"/>
      <c r="E39" s="221"/>
      <c r="F39" s="223"/>
      <c r="G39" s="114"/>
      <c r="H39" s="114"/>
      <c r="I39" s="114"/>
      <c r="J39" s="114"/>
      <c r="K39" s="240"/>
      <c r="L39" s="241"/>
      <c r="M39" s="225"/>
    </row>
    <row r="40" spans="1:14" ht="15" customHeight="1" x14ac:dyDescent="0.25">
      <c r="A40" s="110"/>
      <c r="B40" s="115" t="s">
        <v>63</v>
      </c>
      <c r="D40" s="226" t="s">
        <v>64</v>
      </c>
      <c r="E40" s="227"/>
      <c r="F40" s="230" t="str">
        <f>IF(F38="N/A","TIDAK KUMUH",IF(F38&gt;=71,"KUMUH BERAT",IF(AND(F38&lt;=70,F38&gt;=45),"KUMUH SEDANG",IF(AND(F38&lt;=44,F38&gt;=19),"KUMUH RINGAN","TIDAK KUMUH"))))</f>
        <v>KUMUH RINGAN</v>
      </c>
      <c r="G40" s="116"/>
      <c r="H40" s="116"/>
      <c r="I40" s="116"/>
      <c r="J40" s="116"/>
      <c r="K40" s="232" t="s">
        <v>64</v>
      </c>
      <c r="L40" s="233"/>
      <c r="M40" s="236" t="str">
        <f>IF(M38="N/A","TIDAK KUMUH",IF(M38&gt;=71,"KUMUH BERAT",IF(AND(M38&lt;=70,M38&gt;=45),"KUMUH SEDANG",IF(AND(M38&lt;=44,M38&gt;=19),"KUMUH RINGAN","TIDAK KUMUH"))))</f>
        <v>TIDAK KUMUH</v>
      </c>
    </row>
    <row r="41" spans="1:14" ht="15" customHeight="1" thickBot="1" x14ac:dyDescent="0.3">
      <c r="A41" s="110"/>
      <c r="B41" s="117" t="s">
        <v>65</v>
      </c>
      <c r="D41" s="228"/>
      <c r="E41" s="229"/>
      <c r="F41" s="231" t="str">
        <f>IF(E41&gt;71,"KB",IF(E41&gt;=47,"KS","KR"))</f>
        <v>KR</v>
      </c>
      <c r="G41" s="116"/>
      <c r="H41" s="116"/>
      <c r="I41" s="116"/>
      <c r="J41" s="116"/>
      <c r="K41" s="234"/>
      <c r="L41" s="235"/>
      <c r="M41" s="237" t="str">
        <f>IF(L41&gt;71,"KB",IF(L41&gt;=47,"KS","KR"))</f>
        <v>KR</v>
      </c>
    </row>
    <row r="42" spans="1:14" ht="21" customHeight="1" x14ac:dyDescent="0.25">
      <c r="B42" s="118" t="s">
        <v>66</v>
      </c>
      <c r="C42" s="119"/>
      <c r="D42" s="120"/>
      <c r="E42" s="121" t="s">
        <v>67</v>
      </c>
      <c r="F42" s="122">
        <f>AVERAGE(E15,E18,E21,E27,E30,E34,E37)</f>
        <v>0.26666666666666666</v>
      </c>
      <c r="J42" s="123"/>
      <c r="K42" s="124"/>
      <c r="L42" s="125" t="s">
        <v>67</v>
      </c>
      <c r="M42" s="126">
        <f>AVERAGE(L15,L18,L21,L27,L30,L34,L37)</f>
        <v>8.4676317945916416E-2</v>
      </c>
    </row>
    <row r="43" spans="1:14" ht="21" customHeight="1" x14ac:dyDescent="0.25">
      <c r="B43" s="127"/>
      <c r="C43" s="119"/>
      <c r="D43" s="120"/>
      <c r="E43" s="121" t="s">
        <v>68</v>
      </c>
      <c r="F43" s="122">
        <v>0</v>
      </c>
      <c r="J43" s="123"/>
      <c r="K43" s="124"/>
      <c r="L43" s="125" t="s">
        <v>68</v>
      </c>
      <c r="M43" s="126">
        <f>(F42-M42)/F42</f>
        <v>0.68246380770281345</v>
      </c>
      <c r="N43"/>
    </row>
    <row r="44" spans="1:14" x14ac:dyDescent="0.25">
      <c r="M44" s="128"/>
    </row>
    <row r="55" spans="12:12" x14ac:dyDescent="0.25">
      <c r="L55" s="129"/>
    </row>
  </sheetData>
  <mergeCells count="23">
    <mergeCell ref="A22:A26"/>
    <mergeCell ref="A1:F1"/>
    <mergeCell ref="A2:B2"/>
    <mergeCell ref="A9:A11"/>
    <mergeCell ref="B9:B11"/>
    <mergeCell ref="C9:F10"/>
    <mergeCell ref="J9:M10"/>
    <mergeCell ref="G10:I10"/>
    <mergeCell ref="A12:A14"/>
    <mergeCell ref="A16:A17"/>
    <mergeCell ref="A19:A20"/>
    <mergeCell ref="G9:I9"/>
    <mergeCell ref="A28:A29"/>
    <mergeCell ref="A31:A33"/>
    <mergeCell ref="A35:A36"/>
    <mergeCell ref="D38:E39"/>
    <mergeCell ref="F38:F39"/>
    <mergeCell ref="M38:M39"/>
    <mergeCell ref="D40:E41"/>
    <mergeCell ref="F40:F41"/>
    <mergeCell ref="K40:L41"/>
    <mergeCell ref="M40:M41"/>
    <mergeCell ref="K38:L39"/>
  </mergeCells>
  <conditionalFormatting sqref="F40:J41">
    <cfRule type="expression" dxfId="80" priority="6">
      <formula>F40="KUMUH SEDANG"</formula>
    </cfRule>
    <cfRule type="expression" dxfId="79" priority="7">
      <formula>F40="TIDAK KUMUH"</formula>
    </cfRule>
    <cfRule type="expression" dxfId="78" priority="8">
      <formula>F40="KUMUH BERAT"</formula>
    </cfRule>
    <cfRule type="expression" dxfId="77" priority="9">
      <formula>F40="KUMUH RINGAN"</formula>
    </cfRule>
  </conditionalFormatting>
  <conditionalFormatting sqref="G12:G14 G16:G17 G19:G20 G22:G26 G28:G29 G31:G33 G35:G36">
    <cfRule type="cellIs" dxfId="76" priority="1" operator="equal">
      <formula>", , , , , , "</formula>
    </cfRule>
  </conditionalFormatting>
  <conditionalFormatting sqref="M40:M41">
    <cfRule type="expression" dxfId="75" priority="2">
      <formula>M40="KUMUH SEDANG"</formula>
    </cfRule>
    <cfRule type="expression" dxfId="74" priority="3">
      <formula>M40="TIDAK KUMUH"</formula>
    </cfRule>
    <cfRule type="expression" dxfId="73" priority="4">
      <formula>M40="KUMUH BERAT"</formula>
    </cfRule>
    <cfRule type="expression" dxfId="72" priority="5">
      <formula>M40="KUMUH RINGAN"</formula>
    </cfRule>
  </conditionalFormatting>
  <pageMargins left="0.7" right="0.2" top="0.75" bottom="0.75" header="0.3" footer="0.3"/>
  <pageSetup paperSize="9" scale="70" orientation="portrait" horizontalDpi="4294967293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04A06-1C65-41CC-B932-8CAA9EE8EE74}">
  <sheetPr>
    <tabColor rgb="FF0070C0"/>
  </sheetPr>
  <dimension ref="A1:O55"/>
  <sheetViews>
    <sheetView showGridLines="0" zoomScale="80" zoomScaleNormal="80" zoomScaleSheetLayoutView="75" zoomScalePageLayoutView="90" workbookViewId="0">
      <pane xSplit="1" ySplit="11" topLeftCell="B32" activePane="bottomRight" state="frozen"/>
      <selection pane="topRight" activeCell="B1" sqref="B1"/>
      <selection pane="bottomLeft" activeCell="A12" sqref="A12"/>
      <selection pane="bottomRight" activeCell="F12" sqref="F12:F37"/>
    </sheetView>
  </sheetViews>
  <sheetFormatPr defaultColWidth="8.85546875" defaultRowHeight="15" x14ac:dyDescent="0.25"/>
  <cols>
    <col min="1" max="1" width="24" customWidth="1"/>
    <col min="2" max="2" width="45.85546875" customWidth="1"/>
    <col min="3" max="3" width="12.42578125" customWidth="1"/>
    <col min="4" max="4" width="9.140625" customWidth="1"/>
    <col min="5" max="5" width="12.140625" customWidth="1"/>
    <col min="6" max="6" width="9.140625" customWidth="1"/>
    <col min="7" max="7" width="36.42578125" customWidth="1"/>
    <col min="8" max="9" width="9.140625" customWidth="1"/>
    <col min="10" max="10" width="10" bestFit="1" customWidth="1"/>
    <col min="11" max="12" width="9.140625" customWidth="1"/>
    <col min="13" max="13" width="11.28515625" customWidth="1"/>
    <col min="14" max="14" width="2.28515625" style="3" customWidth="1"/>
  </cols>
  <sheetData>
    <row r="1" spans="1:14" ht="18.75" customHeight="1" x14ac:dyDescent="0.3">
      <c r="A1" s="193" t="s">
        <v>0</v>
      </c>
      <c r="B1" s="193"/>
      <c r="C1" s="193"/>
      <c r="D1" s="193"/>
      <c r="E1" s="193"/>
      <c r="F1" s="193"/>
      <c r="G1" s="1"/>
      <c r="H1" s="1"/>
      <c r="I1" s="1"/>
      <c r="J1" s="1"/>
      <c r="K1" s="1"/>
      <c r="L1" s="1"/>
      <c r="M1" s="2"/>
    </row>
    <row r="2" spans="1:14" ht="3.75" customHeight="1" x14ac:dyDescent="0.25">
      <c r="A2" s="194"/>
      <c r="B2" s="194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4" ht="15.75" customHeight="1" x14ac:dyDescent="0.25">
      <c r="A3" s="6" t="s">
        <v>1</v>
      </c>
      <c r="B3" s="6" t="str">
        <f>": "&amp;[29]NUMERIK!E14</f>
        <v>: JAWA TIMUR</v>
      </c>
      <c r="C3" s="7" t="s">
        <v>2</v>
      </c>
      <c r="D3" s="8"/>
      <c r="E3" s="9">
        <f>[29]NUMERIK!K6</f>
        <v>7.03</v>
      </c>
      <c r="F3" t="s">
        <v>3</v>
      </c>
    </row>
    <row r="4" spans="1:14" ht="15.75" customHeight="1" x14ac:dyDescent="0.25">
      <c r="A4" s="6" t="s">
        <v>4</v>
      </c>
      <c r="B4" s="6" t="str">
        <f>": "&amp;[29]NUMERIK!E12</f>
        <v>: KAB. BOJONEGORO</v>
      </c>
      <c r="C4" s="7" t="s">
        <v>5</v>
      </c>
      <c r="D4" s="8"/>
      <c r="E4" s="9">
        <f>[29]NUMERIK!K8</f>
        <v>7.03</v>
      </c>
      <c r="F4" t="s">
        <v>3</v>
      </c>
    </row>
    <row r="5" spans="1:14" ht="15.75" customHeight="1" x14ac:dyDescent="0.25">
      <c r="A5" s="10" t="s">
        <v>6</v>
      </c>
      <c r="B5" s="10" t="str">
        <f>": "&amp;[29]NUMERIK!E10</f>
        <v>: BOJONEGORO</v>
      </c>
      <c r="C5" s="7" t="s">
        <v>7</v>
      </c>
      <c r="D5" s="8"/>
      <c r="E5" s="11">
        <f>[29]NUMERIK!K10</f>
        <v>424</v>
      </c>
      <c r="F5" t="s">
        <v>8</v>
      </c>
    </row>
    <row r="6" spans="1:14" ht="15.75" customHeight="1" x14ac:dyDescent="0.25">
      <c r="A6" s="10" t="s">
        <v>9</v>
      </c>
      <c r="B6" s="10" t="str">
        <f>": "&amp;[29]NUMERIK!E6</f>
        <v>: KADIPATEN</v>
      </c>
      <c r="C6" s="7" t="s">
        <v>10</v>
      </c>
      <c r="D6" s="8"/>
      <c r="E6" s="12">
        <f>[29]NUMERIK!K12</f>
        <v>1619</v>
      </c>
      <c r="F6" t="s">
        <v>11</v>
      </c>
    </row>
    <row r="7" spans="1:14" ht="15.75" customHeight="1" x14ac:dyDescent="0.25">
      <c r="A7" s="4"/>
      <c r="B7" s="13"/>
      <c r="C7" s="7" t="s">
        <v>7</v>
      </c>
      <c r="D7" s="5"/>
      <c r="E7" s="12">
        <f>[29]NUMERIK!K14</f>
        <v>517</v>
      </c>
      <c r="F7" t="s">
        <v>12</v>
      </c>
    </row>
    <row r="8" spans="1:14" ht="5.25" customHeight="1" thickBot="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4" ht="12" customHeight="1" x14ac:dyDescent="0.25">
      <c r="A9" s="195" t="s">
        <v>13</v>
      </c>
      <c r="B9" s="197" t="s">
        <v>14</v>
      </c>
      <c r="C9" s="199" t="s">
        <v>15</v>
      </c>
      <c r="D9" s="200"/>
      <c r="E9" s="200"/>
      <c r="F9" s="201"/>
      <c r="G9" s="216" t="s">
        <v>16</v>
      </c>
      <c r="H9" s="217"/>
      <c r="I9" s="217"/>
      <c r="J9" s="205" t="s">
        <v>17</v>
      </c>
      <c r="K9" s="206"/>
      <c r="L9" s="206"/>
      <c r="M9" s="207"/>
    </row>
    <row r="10" spans="1:14" ht="9.75" customHeight="1" x14ac:dyDescent="0.25">
      <c r="A10" s="196"/>
      <c r="B10" s="198"/>
      <c r="C10" s="202"/>
      <c r="D10" s="203"/>
      <c r="E10" s="203"/>
      <c r="F10" s="204"/>
      <c r="G10" s="211" t="s">
        <v>18</v>
      </c>
      <c r="H10" s="212"/>
      <c r="I10" s="212"/>
      <c r="J10" s="208"/>
      <c r="K10" s="209"/>
      <c r="L10" s="209"/>
      <c r="M10" s="210"/>
    </row>
    <row r="11" spans="1:14" ht="15.75" thickBot="1" x14ac:dyDescent="0.3">
      <c r="A11" s="196"/>
      <c r="B11" s="198"/>
      <c r="C11" s="14" t="s">
        <v>19</v>
      </c>
      <c r="D11" s="14" t="s">
        <v>20</v>
      </c>
      <c r="E11" s="14" t="s">
        <v>21</v>
      </c>
      <c r="F11" s="15" t="s">
        <v>22</v>
      </c>
      <c r="G11" s="16" t="s">
        <v>23</v>
      </c>
      <c r="H11" s="17" t="s">
        <v>24</v>
      </c>
      <c r="I11" s="17" t="s">
        <v>20</v>
      </c>
      <c r="J11" s="18" t="s">
        <v>19</v>
      </c>
      <c r="K11" s="19" t="s">
        <v>20</v>
      </c>
      <c r="L11" s="19" t="s">
        <v>25</v>
      </c>
      <c r="M11" s="20" t="s">
        <v>22</v>
      </c>
    </row>
    <row r="12" spans="1:14" s="34" customFormat="1" ht="24.95" customHeight="1" x14ac:dyDescent="0.25">
      <c r="A12" s="213" t="s">
        <v>26</v>
      </c>
      <c r="B12" s="21" t="s">
        <v>27</v>
      </c>
      <c r="C12" s="22">
        <f>[29]NUMERIK!K18</f>
        <v>134</v>
      </c>
      <c r="D12" s="23" t="s">
        <v>8</v>
      </c>
      <c r="E12" s="24">
        <f>C12/E5*100%</f>
        <v>0.31603773584905659</v>
      </c>
      <c r="F12" s="25">
        <f t="shared" ref="F12:F36" si="0">IF(AND(E12&gt;=24.995%,E12&lt;50.995%),1,IF(AND(E12&gt;=50.995%,E12&lt;75.995%),3,IF(E12&gt;=75.995%,5,0)))</f>
        <v>1</v>
      </c>
      <c r="G12" s="26" t="str">
        <f>[29]Outcome!Q6</f>
        <v xml:space="preserve">, , , , , , , , , , , , , , , , , , , , , , , , , , , , , , , , , , , , , , , , , , , , </v>
      </c>
      <c r="H12" s="27">
        <f>[29]Outcome!M6</f>
        <v>0</v>
      </c>
      <c r="I12" s="28" t="s">
        <v>8</v>
      </c>
      <c r="J12" s="29">
        <f>IF(H12&gt;C12,0,C12-H12)</f>
        <v>134</v>
      </c>
      <c r="K12" s="30" t="s">
        <v>8</v>
      </c>
      <c r="L12" s="31">
        <f>J12/E$5*100%</f>
        <v>0.31603773584905659</v>
      </c>
      <c r="M12" s="32">
        <f t="shared" ref="M12:M36" si="1">IF(AND(L12&gt;=24.995%,L12&lt;50.995%),1,IF(AND(L12&gt;=50.995%,L12&lt;75.995%),3,IF(L12&gt;=75.995%,5,0)))</f>
        <v>1</v>
      </c>
      <c r="N12" s="33"/>
    </row>
    <row r="13" spans="1:14" s="34" customFormat="1" ht="24.95" customHeight="1" x14ac:dyDescent="0.25">
      <c r="A13" s="213"/>
      <c r="B13" s="21" t="s">
        <v>28</v>
      </c>
      <c r="C13" s="35">
        <f>[29]NUMERIK!K20</f>
        <v>7.03</v>
      </c>
      <c r="D13" s="23" t="s">
        <v>3</v>
      </c>
      <c r="E13" s="24">
        <f>C13/E4*100%</f>
        <v>1</v>
      </c>
      <c r="F13" s="25">
        <f t="shared" si="0"/>
        <v>5</v>
      </c>
      <c r="G13" s="36" t="str">
        <f>[29]Outcome!Q51</f>
        <v xml:space="preserve">, , , , , , , , , , , , , , , , , , , </v>
      </c>
      <c r="H13" s="37">
        <f>[29]Outcome!M51</f>
        <v>0</v>
      </c>
      <c r="I13" s="38" t="s">
        <v>3</v>
      </c>
      <c r="J13" s="39">
        <f>IF(H13&gt;C13,0,C13-H13)</f>
        <v>7.03</v>
      </c>
      <c r="K13" s="40" t="s">
        <v>3</v>
      </c>
      <c r="L13" s="41">
        <f>J13/E$4*100%</f>
        <v>1</v>
      </c>
      <c r="M13" s="42">
        <f t="shared" si="1"/>
        <v>5</v>
      </c>
      <c r="N13" s="33"/>
    </row>
    <row r="14" spans="1:14" s="34" customFormat="1" ht="24.95" customHeight="1" thickBot="1" x14ac:dyDescent="0.3">
      <c r="A14" s="214"/>
      <c r="B14" s="43" t="s">
        <v>29</v>
      </c>
      <c r="C14" s="35">
        <f>[29]NUMERIK!K22</f>
        <v>54</v>
      </c>
      <c r="D14" s="23" t="s">
        <v>8</v>
      </c>
      <c r="E14" s="24">
        <f>C14/E5*100%</f>
        <v>0.12735849056603774</v>
      </c>
      <c r="F14" s="44">
        <f t="shared" si="0"/>
        <v>0</v>
      </c>
      <c r="G14" s="45" t="str">
        <f>[29]Outcome!Q71</f>
        <v xml:space="preserve">, , , , , , , , , , , , , , , , , , , , , , , , , , , , , , , , , , , , , , , , , , , , </v>
      </c>
      <c r="H14" s="46">
        <f>[29]Outcome!M71</f>
        <v>0</v>
      </c>
      <c r="I14" s="47" t="s">
        <v>8</v>
      </c>
      <c r="J14" s="48">
        <f>IF(H14&gt;C14,0,C14-H14)</f>
        <v>54</v>
      </c>
      <c r="K14" s="49" t="s">
        <v>8</v>
      </c>
      <c r="L14" s="50">
        <f>J14/E$5*100%</f>
        <v>0.12735849056603774</v>
      </c>
      <c r="M14" s="51">
        <f t="shared" si="1"/>
        <v>0</v>
      </c>
      <c r="N14" s="33"/>
    </row>
    <row r="15" spans="1:14" s="34" customFormat="1" ht="30" customHeight="1" thickBot="1" x14ac:dyDescent="0.3">
      <c r="A15" s="52" t="s">
        <v>30</v>
      </c>
      <c r="B15" s="53"/>
      <c r="C15" s="54"/>
      <c r="D15" s="55"/>
      <c r="E15" s="56">
        <f>IF(SUM(F12:F14)&gt;0,(SUMIF(F12:F14,"&gt;0",E12:E14)/3),0)</f>
        <v>0.43867924528301883</v>
      </c>
      <c r="F15" s="57"/>
      <c r="G15" s="58"/>
      <c r="H15" s="59"/>
      <c r="I15" s="59"/>
      <c r="J15" s="60"/>
      <c r="K15" s="61"/>
      <c r="L15" s="56">
        <f>IF(SUM(M12:M14)&gt;0,(SUMIF(M12:M14,"&gt;0",L12:L14)/3),0)</f>
        <v>0.43867924528301883</v>
      </c>
      <c r="M15" s="62"/>
      <c r="N15" s="33"/>
    </row>
    <row r="16" spans="1:14" s="34" customFormat="1" ht="24.95" customHeight="1" x14ac:dyDescent="0.25">
      <c r="A16" s="215" t="s">
        <v>31</v>
      </c>
      <c r="B16" s="63" t="s">
        <v>32</v>
      </c>
      <c r="C16" s="64">
        <f>[29]NUMERIK!K25-[29]NUMERIK!K26</f>
        <v>19</v>
      </c>
      <c r="D16" s="65" t="s">
        <v>33</v>
      </c>
      <c r="E16" s="66">
        <f>C16/[29]NUMERIK!K$25*100%</f>
        <v>3.3705871917686712E-3</v>
      </c>
      <c r="F16" s="67">
        <f t="shared" si="0"/>
        <v>0</v>
      </c>
      <c r="G16" s="36" t="str">
        <f>[29]Outcome!Q116</f>
        <v xml:space="preserve">, , , , , , , , , , , , , , , , , , , </v>
      </c>
      <c r="H16" s="27">
        <f>[29]Outcome!M116</f>
        <v>0</v>
      </c>
      <c r="I16" s="68" t="s">
        <v>33</v>
      </c>
      <c r="J16" s="69">
        <f>IF(H16&gt;C16,0,C16-H16)</f>
        <v>19</v>
      </c>
      <c r="K16" s="70" t="s">
        <v>33</v>
      </c>
      <c r="L16" s="71">
        <f>J16/[29]NUMERIK!K$25*100%</f>
        <v>3.3705871917686712E-3</v>
      </c>
      <c r="M16" s="72">
        <f t="shared" si="1"/>
        <v>0</v>
      </c>
      <c r="N16" s="33"/>
    </row>
    <row r="17" spans="1:15" s="34" customFormat="1" ht="24.95" customHeight="1" thickBot="1" x14ac:dyDescent="0.3">
      <c r="A17" s="192"/>
      <c r="B17" s="21" t="s">
        <v>34</v>
      </c>
      <c r="C17" s="22">
        <f>[29]NUMERIK!K28</f>
        <v>959</v>
      </c>
      <c r="D17" s="73" t="s">
        <v>33</v>
      </c>
      <c r="E17" s="24">
        <f>C17/[29]NUMERIK!K$25*100%</f>
        <v>0.1701259535213766</v>
      </c>
      <c r="F17" s="25">
        <f t="shared" si="0"/>
        <v>0</v>
      </c>
      <c r="G17" s="45" t="str">
        <f>[29]Outcome!Q136</f>
        <v xml:space="preserve">Jalan Paving Block RT008-RW002, Jalan Paving Block RT010-RW003, , , , , , , , , , , , , , , , , , , , , , , , , , , , , , , , , , , , , , , , , , , </v>
      </c>
      <c r="H17" s="37">
        <f>[29]Outcome!M136</f>
        <v>137.80000000000001</v>
      </c>
      <c r="I17" s="38" t="s">
        <v>33</v>
      </c>
      <c r="J17" s="39">
        <f>IF(H17&gt;C17,0,C17-H17)</f>
        <v>821.2</v>
      </c>
      <c r="K17" s="40" t="s">
        <v>33</v>
      </c>
      <c r="L17" s="41">
        <f>J17/[29]NUMERIK!K$25*100%</f>
        <v>0.14568032641475964</v>
      </c>
      <c r="M17" s="42">
        <f t="shared" si="1"/>
        <v>0</v>
      </c>
      <c r="N17" s="33"/>
    </row>
    <row r="18" spans="1:15" s="34" customFormat="1" ht="30" customHeight="1" thickBot="1" x14ac:dyDescent="0.3">
      <c r="A18" s="52" t="s">
        <v>35</v>
      </c>
      <c r="B18" s="53"/>
      <c r="C18" s="54"/>
      <c r="D18" s="55"/>
      <c r="E18" s="56">
        <f>IF(SUM(F16:F17)&gt;0,(SUMIF(F16:F17,"&gt;0",E16:E17)/2),0)</f>
        <v>0</v>
      </c>
      <c r="F18" s="57"/>
      <c r="G18" s="58"/>
      <c r="H18" s="59"/>
      <c r="I18" s="59"/>
      <c r="J18" s="60"/>
      <c r="K18" s="61"/>
      <c r="L18" s="56">
        <f>IF(SUM(M16:M17)&gt;0,(SUMIF(M16:M17,"&gt;0",L16:L17)/2),0)</f>
        <v>0</v>
      </c>
      <c r="M18" s="62"/>
      <c r="N18" s="33"/>
    </row>
    <row r="19" spans="1:15" s="34" customFormat="1" ht="24.95" customHeight="1" x14ac:dyDescent="0.25">
      <c r="A19" s="213" t="s">
        <v>36</v>
      </c>
      <c r="B19" s="21" t="s">
        <v>37</v>
      </c>
      <c r="C19" s="22">
        <f>[29]NUMERIK!K31</f>
        <v>82</v>
      </c>
      <c r="D19" s="73" t="s">
        <v>12</v>
      </c>
      <c r="E19" s="74">
        <f>C19/E$7*100%</f>
        <v>0.15860735009671179</v>
      </c>
      <c r="F19" s="25">
        <f t="shared" si="0"/>
        <v>0</v>
      </c>
      <c r="G19" s="36" t="str">
        <f>[29]Outcome!Q181</f>
        <v xml:space="preserve">, , , , , , , , , , , , , , , , , , , </v>
      </c>
      <c r="H19" s="27">
        <f>[29]Outcome!Q182</f>
        <v>0</v>
      </c>
      <c r="I19" s="38" t="s">
        <v>12</v>
      </c>
      <c r="J19" s="39">
        <f>IF(H19&gt;C19,0,C19-H19)</f>
        <v>82</v>
      </c>
      <c r="K19" s="75" t="s">
        <v>12</v>
      </c>
      <c r="L19" s="76">
        <f>J19/E$7*100%</f>
        <v>0.15860735009671179</v>
      </c>
      <c r="M19" s="42">
        <f t="shared" si="1"/>
        <v>0</v>
      </c>
      <c r="N19" s="33"/>
    </row>
    <row r="20" spans="1:15" s="34" customFormat="1" ht="24.95" customHeight="1" thickBot="1" x14ac:dyDescent="0.3">
      <c r="A20" s="213"/>
      <c r="B20" s="21" t="s">
        <v>38</v>
      </c>
      <c r="C20" s="22">
        <f>[29]NUMERIK!K33</f>
        <v>30</v>
      </c>
      <c r="D20" s="73" t="s">
        <v>12</v>
      </c>
      <c r="E20" s="74">
        <f>C20/E$7*100%</f>
        <v>5.8027079303675046E-2</v>
      </c>
      <c r="F20" s="25">
        <f t="shared" si="0"/>
        <v>0</v>
      </c>
      <c r="G20" s="45" t="str">
        <f>[29]Outcome!Q201</f>
        <v xml:space="preserve">, , , , , , , , , , , , , , , , , , , , , , , , , , , , , , , , , , , , , , , , , , , , </v>
      </c>
      <c r="H20" s="37">
        <f>[29]Outcome!Q202</f>
        <v>0</v>
      </c>
      <c r="I20" s="38" t="s">
        <v>12</v>
      </c>
      <c r="J20" s="39">
        <f>IF(H20&gt;C20,0,C20-H20)</f>
        <v>30</v>
      </c>
      <c r="K20" s="75" t="s">
        <v>12</v>
      </c>
      <c r="L20" s="76">
        <f>J20/E$7*100%</f>
        <v>5.8027079303675046E-2</v>
      </c>
      <c r="M20" s="42">
        <f t="shared" si="1"/>
        <v>0</v>
      </c>
      <c r="N20" s="33"/>
    </row>
    <row r="21" spans="1:15" s="77" customFormat="1" ht="30" customHeight="1" thickBot="1" x14ac:dyDescent="0.3">
      <c r="A21" s="52" t="s">
        <v>39</v>
      </c>
      <c r="B21" s="53"/>
      <c r="C21" s="54"/>
      <c r="D21" s="55"/>
      <c r="E21" s="56">
        <f>IF(SUM(F19:F20)&gt;0,(SUMIF(F19:F20,"&gt;0",E19:E20)/2),0)</f>
        <v>0</v>
      </c>
      <c r="F21" s="57"/>
      <c r="G21" s="58"/>
      <c r="H21" s="59"/>
      <c r="I21" s="59"/>
      <c r="J21" s="60"/>
      <c r="K21" s="61"/>
      <c r="L21" s="56">
        <f>IF(SUM(M19:M20)&gt;0,(SUMIF(M19:M20,"&gt;0",L19:L20)/2),0)</f>
        <v>0</v>
      </c>
      <c r="M21" s="62"/>
      <c r="N21" s="33"/>
      <c r="O21" s="34"/>
    </row>
    <row r="22" spans="1:15" s="34" customFormat="1" ht="20.100000000000001" customHeight="1" x14ac:dyDescent="0.25">
      <c r="A22" s="192" t="s">
        <v>40</v>
      </c>
      <c r="B22" s="78" t="s">
        <v>41</v>
      </c>
      <c r="C22" s="22">
        <f>[29]NUMERIK!K36</f>
        <v>6.4099999999999993</v>
      </c>
      <c r="D22" s="73" t="s">
        <v>3</v>
      </c>
      <c r="E22" s="79">
        <f>C22/E$4*100%</f>
        <v>0.91180654338549061</v>
      </c>
      <c r="F22" s="25">
        <f t="shared" si="0"/>
        <v>5</v>
      </c>
      <c r="G22" s="36" t="str">
        <f>[29]Outcome!Q246</f>
        <v xml:space="preserve">, , , , , , , , , , , , , , , , , , , </v>
      </c>
      <c r="H22" s="27">
        <f>[29]Outcome!M246</f>
        <v>0</v>
      </c>
      <c r="I22" s="38" t="s">
        <v>3</v>
      </c>
      <c r="J22" s="39">
        <f>IF(H22&gt;C22,0,C22-H22)</f>
        <v>6.4099999999999993</v>
      </c>
      <c r="K22" s="40" t="s">
        <v>3</v>
      </c>
      <c r="L22" s="41">
        <f>J22/E$4*100%</f>
        <v>0.91180654338549061</v>
      </c>
      <c r="M22" s="42">
        <f t="shared" si="1"/>
        <v>5</v>
      </c>
      <c r="N22" s="33"/>
    </row>
    <row r="23" spans="1:15" s="34" customFormat="1" ht="25.5" customHeight="1" x14ac:dyDescent="0.25">
      <c r="A23" s="192"/>
      <c r="B23" s="21" t="s">
        <v>42</v>
      </c>
      <c r="C23" s="22">
        <f>([29]NUMERIK!K38-[29]NUMERIK!K40)</f>
        <v>62</v>
      </c>
      <c r="D23" s="73" t="s">
        <v>33</v>
      </c>
      <c r="E23" s="79">
        <f>C23/[29]NUMERIK!K$38*100%</f>
        <v>9.4873756694720743E-3</v>
      </c>
      <c r="F23" s="25">
        <f t="shared" si="0"/>
        <v>0</v>
      </c>
      <c r="G23" s="36" t="str">
        <f>[29]Outcome!Q266</f>
        <v xml:space="preserve">, , , , , , , , , , , , , , , , , , , , , , , , , , , , , , , , , , , , , , , , , , , , </v>
      </c>
      <c r="H23" s="37">
        <f>[29]Outcome!M266</f>
        <v>0</v>
      </c>
      <c r="I23" s="38" t="s">
        <v>33</v>
      </c>
      <c r="J23" s="39">
        <f>IF(H23&gt;C23,0,C23-H23)</f>
        <v>62</v>
      </c>
      <c r="K23" s="40" t="s">
        <v>33</v>
      </c>
      <c r="L23" s="41">
        <f>J23/[29]NUMERIK!K$38*100%</f>
        <v>9.4873756694720743E-3</v>
      </c>
      <c r="M23" s="42">
        <f t="shared" si="1"/>
        <v>0</v>
      </c>
      <c r="N23" s="33"/>
    </row>
    <row r="24" spans="1:15" s="34" customFormat="1" ht="20.100000000000001" customHeight="1" x14ac:dyDescent="0.25">
      <c r="A24" s="192"/>
      <c r="B24" s="21" t="s">
        <v>43</v>
      </c>
      <c r="C24" s="22">
        <f>[29]NUMERIK!K42</f>
        <v>0</v>
      </c>
      <c r="D24" s="73" t="s">
        <v>33</v>
      </c>
      <c r="E24" s="79">
        <f>C24/[29]NUMERIK!K$38*100%</f>
        <v>0</v>
      </c>
      <c r="F24" s="25">
        <f t="shared" si="0"/>
        <v>0</v>
      </c>
      <c r="G24" s="36" t="str">
        <f>[29]Outcome!Q311</f>
        <v xml:space="preserve">, , , , , , , , , , , , , , , , , , , </v>
      </c>
      <c r="H24" s="37">
        <f>[29]Outcome!M311</f>
        <v>0</v>
      </c>
      <c r="I24" s="38" t="s">
        <v>33</v>
      </c>
      <c r="J24" s="39">
        <f>IF(H24&gt;C24,0,C24-H24)</f>
        <v>0</v>
      </c>
      <c r="K24" s="40" t="s">
        <v>33</v>
      </c>
      <c r="L24" s="41">
        <f>J24/[29]NUMERIK!K$38*100%</f>
        <v>0</v>
      </c>
      <c r="M24" s="42">
        <f t="shared" si="1"/>
        <v>0</v>
      </c>
      <c r="N24" s="33"/>
    </row>
    <row r="25" spans="1:15" s="34" customFormat="1" ht="20.100000000000001" customHeight="1" x14ac:dyDescent="0.25">
      <c r="A25" s="192"/>
      <c r="B25" s="21" t="s">
        <v>44</v>
      </c>
      <c r="C25" s="22">
        <f>[29]NUMERIK!K45</f>
        <v>5805</v>
      </c>
      <c r="D25" s="73" t="s">
        <v>33</v>
      </c>
      <c r="E25" s="79">
        <f>C25/[29]NUMERIK!K$38*100%</f>
        <v>0.88829380260137725</v>
      </c>
      <c r="F25" s="25">
        <f t="shared" si="0"/>
        <v>5</v>
      </c>
      <c r="G25" s="36" t="str">
        <f>[29]Outcome!Q331</f>
        <v xml:space="preserve">Drainase Lingkungan RT001-RW001, Drainase Lingkungan RT007-RW002, Drainase Lingkungan RT007-RW002, Drainase Lingkungan RT008-RW002, Drainase Lingkungan RT010-RW003, , , , , , , , , , , , , , , </v>
      </c>
      <c r="H25" s="37">
        <f>[29]Outcome!M331</f>
        <v>945.2</v>
      </c>
      <c r="I25" s="38" t="s">
        <v>33</v>
      </c>
      <c r="J25" s="39">
        <f>IF(H25&gt;C25,0,C25-H25)</f>
        <v>4859.8</v>
      </c>
      <c r="K25" s="40" t="s">
        <v>33</v>
      </c>
      <c r="L25" s="41">
        <f>J25/[29]NUMERIK!K$38*100%</f>
        <v>0.74365723029839326</v>
      </c>
      <c r="M25" s="42">
        <f t="shared" si="1"/>
        <v>3</v>
      </c>
      <c r="N25" s="33"/>
    </row>
    <row r="26" spans="1:15" s="34" customFormat="1" ht="20.100000000000001" customHeight="1" thickBot="1" x14ac:dyDescent="0.3">
      <c r="A26" s="192"/>
      <c r="B26" s="78" t="s">
        <v>45</v>
      </c>
      <c r="C26" s="22">
        <f>[29]NUMERIK!K48</f>
        <v>1461</v>
      </c>
      <c r="D26" s="73" t="s">
        <v>33</v>
      </c>
      <c r="E26" s="79">
        <f>C26/[29]NUMERIK!K$38*100%</f>
        <v>0.22356541698546289</v>
      </c>
      <c r="F26" s="25">
        <f t="shared" si="0"/>
        <v>0</v>
      </c>
      <c r="G26" s="36" t="str">
        <f>[29]Outcome!Q351</f>
        <v xml:space="preserve">Drainase Lingkungan RT008-RW002, Drainase Lingkungan RT015-RW001, , , , , , , , , , , , , , , , , , , , , , , , , , , , , , , , , , , , , , , , , , , </v>
      </c>
      <c r="H26" s="37">
        <f>[29]Outcome!M351</f>
        <v>320</v>
      </c>
      <c r="I26" s="38" t="s">
        <v>33</v>
      </c>
      <c r="J26" s="39">
        <f>IF(H26&gt;C26,0,C26-H26)</f>
        <v>1141</v>
      </c>
      <c r="K26" s="40" t="s">
        <v>33</v>
      </c>
      <c r="L26" s="41">
        <f>J26/[29]NUMERIK!K$38*100%</f>
        <v>0.1745983167559296</v>
      </c>
      <c r="M26" s="42">
        <f t="shared" si="1"/>
        <v>0</v>
      </c>
      <c r="N26" s="33"/>
    </row>
    <row r="27" spans="1:15" s="88" customFormat="1" ht="30" customHeight="1" thickBot="1" x14ac:dyDescent="0.3">
      <c r="A27" s="80" t="s">
        <v>46</v>
      </c>
      <c r="B27" s="81"/>
      <c r="C27" s="55"/>
      <c r="D27" s="55"/>
      <c r="E27" s="82">
        <f>IF(SUM(F22:F26)&gt;0,(SUMIF(F22:F26,"&gt;0",E22:E26)/5),0)</f>
        <v>0.36002006919737356</v>
      </c>
      <c r="F27" s="83"/>
      <c r="G27" s="58"/>
      <c r="H27" s="59"/>
      <c r="I27" s="59"/>
      <c r="J27" s="84"/>
      <c r="K27" s="85"/>
      <c r="L27" s="82">
        <f>IF(SUM(M22:M26)&gt;0,(SUMIF(M22:M26,"&gt;0",L22:L26)/5),0)</f>
        <v>0.33109275473677674</v>
      </c>
      <c r="M27" s="86"/>
      <c r="N27" s="87"/>
    </row>
    <row r="28" spans="1:15" s="34" customFormat="1" ht="27.75" customHeight="1" x14ac:dyDescent="0.25">
      <c r="A28" s="213" t="s">
        <v>47</v>
      </c>
      <c r="B28" s="21" t="s">
        <v>48</v>
      </c>
      <c r="C28" s="22">
        <f>[29]NUMERIK!K51</f>
        <v>5</v>
      </c>
      <c r="D28" s="73" t="s">
        <v>12</v>
      </c>
      <c r="E28" s="89">
        <f>C28/E$7*100%</f>
        <v>9.6711798839458421E-3</v>
      </c>
      <c r="F28" s="25">
        <f t="shared" si="0"/>
        <v>0</v>
      </c>
      <c r="G28" s="36" t="str">
        <f>[29]Outcome!Q396</f>
        <v xml:space="preserve">, , , , , , , , , , , , , , , , , , , , , , , , , , , , , , , , , , , , , , , , , , , , </v>
      </c>
      <c r="H28" s="37">
        <f>[29]Outcome!Q397</f>
        <v>0</v>
      </c>
      <c r="I28" s="38" t="s">
        <v>12</v>
      </c>
      <c r="J28" s="39">
        <f>IF(H28&gt;C28,0,C28-H28)</f>
        <v>5</v>
      </c>
      <c r="K28" s="40" t="s">
        <v>12</v>
      </c>
      <c r="L28" s="41">
        <f>J28/E$7*100%</f>
        <v>9.6711798839458421E-3</v>
      </c>
      <c r="M28" s="42">
        <f t="shared" si="1"/>
        <v>0</v>
      </c>
      <c r="N28" s="33"/>
    </row>
    <row r="29" spans="1:15" s="34" customFormat="1" ht="30" customHeight="1" thickBot="1" x14ac:dyDescent="0.3">
      <c r="A29" s="213"/>
      <c r="B29" s="21" t="s">
        <v>49</v>
      </c>
      <c r="C29" s="22">
        <f>[29]NUMERIK!K53</f>
        <v>8</v>
      </c>
      <c r="D29" s="73" t="s">
        <v>12</v>
      </c>
      <c r="E29" s="89">
        <f>C29/E$7*100%</f>
        <v>1.5473887814313346E-2</v>
      </c>
      <c r="F29" s="25">
        <f t="shared" si="0"/>
        <v>0</v>
      </c>
      <c r="G29" s="45" t="str">
        <f>[29]Outcome!Q441</f>
        <v xml:space="preserve">, , , , , , , , , , , , , , , , , , , , , , , , , , , , , , , , , , , , , , , , , , , , , , , , , , , , , , </v>
      </c>
      <c r="H29" s="37">
        <f>[29]Outcome!Q442</f>
        <v>0</v>
      </c>
      <c r="I29" s="38" t="s">
        <v>12</v>
      </c>
      <c r="J29" s="39">
        <f>IF(H29&gt;C29,0,C29-H29)</f>
        <v>8</v>
      </c>
      <c r="K29" s="40" t="s">
        <v>12</v>
      </c>
      <c r="L29" s="41">
        <f>J29/E$7*100%</f>
        <v>1.5473887814313346E-2</v>
      </c>
      <c r="M29" s="42">
        <f t="shared" si="1"/>
        <v>0</v>
      </c>
      <c r="N29" s="33"/>
    </row>
    <row r="30" spans="1:15" s="88" customFormat="1" ht="30" customHeight="1" thickBot="1" x14ac:dyDescent="0.3">
      <c r="A30" s="90" t="s">
        <v>50</v>
      </c>
      <c r="B30" s="81"/>
      <c r="C30" s="55"/>
      <c r="D30" s="55"/>
      <c r="E30" s="82">
        <f>IF(SUM(F28:F29)&gt;0,(SUMIF(F28:F29,"&gt;0",E28:E29)/2),0)</f>
        <v>0</v>
      </c>
      <c r="F30" s="83"/>
      <c r="G30" s="91"/>
      <c r="H30" s="92"/>
      <c r="I30" s="92"/>
      <c r="J30" s="84"/>
      <c r="K30" s="85"/>
      <c r="L30" s="82">
        <f>IF(SUM(M28:M29)&gt;0,(SUMIF(M28:M29,"&gt;0",L28:L29)/2),0)</f>
        <v>0</v>
      </c>
      <c r="M30" s="86"/>
      <c r="N30" s="87"/>
    </row>
    <row r="31" spans="1:15" s="34" customFormat="1" ht="31.5" customHeight="1" x14ac:dyDescent="0.25">
      <c r="A31" s="192" t="s">
        <v>51</v>
      </c>
      <c r="B31" s="21" t="s">
        <v>52</v>
      </c>
      <c r="C31" s="93">
        <f>[29]NUMERIK!K56</f>
        <v>432</v>
      </c>
      <c r="D31" s="94" t="s">
        <v>12</v>
      </c>
      <c r="E31" s="89">
        <f>C31/E$7*100%</f>
        <v>0.83558994197292069</v>
      </c>
      <c r="F31" s="25">
        <f t="shared" si="0"/>
        <v>5</v>
      </c>
      <c r="G31" s="36" t="str">
        <f>[29]Outcome!Q496</f>
        <v xml:space="preserve">, , , , , , , , , , , , , , , , , , , , , , , , , , , , , , , , , , , , , , , , , , , , </v>
      </c>
      <c r="H31" s="37">
        <f>[29]Outcome!Q497</f>
        <v>0</v>
      </c>
      <c r="I31" s="38" t="s">
        <v>12</v>
      </c>
      <c r="J31" s="39">
        <f>IF(H31&gt;C31,0,C31-H31)</f>
        <v>432</v>
      </c>
      <c r="K31" s="40" t="s">
        <v>12</v>
      </c>
      <c r="L31" s="41">
        <f>J31/E$7*100%</f>
        <v>0.83558994197292069</v>
      </c>
      <c r="M31" s="42">
        <f t="shared" si="1"/>
        <v>5</v>
      </c>
      <c r="N31" s="33"/>
    </row>
    <row r="32" spans="1:15" s="34" customFormat="1" ht="32.25" customHeight="1" x14ac:dyDescent="0.25">
      <c r="A32" s="192"/>
      <c r="B32" s="21" t="s">
        <v>53</v>
      </c>
      <c r="C32" s="93">
        <f>[29]NUMERIK!K59</f>
        <v>165</v>
      </c>
      <c r="D32" s="94" t="s">
        <v>12</v>
      </c>
      <c r="E32" s="89">
        <f>C32/E$7*100%</f>
        <v>0.31914893617021278</v>
      </c>
      <c r="F32" s="25">
        <f t="shared" si="0"/>
        <v>1</v>
      </c>
      <c r="G32" s="36" t="str">
        <f>[29]Outcome!Q541</f>
        <v xml:space="preserve">Gerobak/Motor Sampah RT010-RW003, , , , , , , , , , , , , , , , , , , , , , , , , , , , , , , , , , , , , , , , , , , , </v>
      </c>
      <c r="H32" s="37">
        <f>[29]Outcome!Q542</f>
        <v>85</v>
      </c>
      <c r="I32" s="38" t="s">
        <v>12</v>
      </c>
      <c r="J32" s="39">
        <f>IF(H32&gt;C32,0,C32-H32)</f>
        <v>80</v>
      </c>
      <c r="K32" s="40" t="s">
        <v>12</v>
      </c>
      <c r="L32" s="41">
        <f>J32/E$7*100%</f>
        <v>0.15473887814313347</v>
      </c>
      <c r="M32" s="42">
        <f t="shared" si="1"/>
        <v>0</v>
      </c>
      <c r="N32" s="33"/>
    </row>
    <row r="33" spans="1:14" s="34" customFormat="1" ht="30.75" customHeight="1" thickBot="1" x14ac:dyDescent="0.3">
      <c r="A33" s="192"/>
      <c r="B33" s="21" t="s">
        <v>54</v>
      </c>
      <c r="C33" s="93">
        <f>[29]NUMERIK!K61</f>
        <v>432</v>
      </c>
      <c r="D33" s="94" t="s">
        <v>12</v>
      </c>
      <c r="E33" s="89">
        <f>C33/E$7*100%</f>
        <v>0.83558994197292069</v>
      </c>
      <c r="F33" s="25">
        <f t="shared" si="0"/>
        <v>5</v>
      </c>
      <c r="G33" s="36" t="str">
        <f>[29]Outcome!Q586</f>
        <v xml:space="preserve">Gerobak/Motor Sampah RT007-RW002, Gerobak/Motor Sampah RT008-RW002, , , , , , , , , , , , , , , , , , , , , , , , , , , , , , , , , , , , , , , , , , , </v>
      </c>
      <c r="H33" s="37">
        <f>[29]Outcome!Q587</f>
        <v>147</v>
      </c>
      <c r="I33" s="38" t="s">
        <v>12</v>
      </c>
      <c r="J33" s="39">
        <f>IF(H33&gt;C33,0,C33-H33)</f>
        <v>285</v>
      </c>
      <c r="K33" s="40" t="s">
        <v>12</v>
      </c>
      <c r="L33" s="41">
        <f>J33/E$7*100%</f>
        <v>0.55125725338491294</v>
      </c>
      <c r="M33" s="42">
        <f t="shared" si="1"/>
        <v>3</v>
      </c>
      <c r="N33" s="33"/>
    </row>
    <row r="34" spans="1:14" s="88" customFormat="1" ht="30" customHeight="1" thickBot="1" x14ac:dyDescent="0.3">
      <c r="A34" s="80" t="s">
        <v>55</v>
      </c>
      <c r="B34" s="81"/>
      <c r="C34" s="55"/>
      <c r="D34" s="55"/>
      <c r="E34" s="82">
        <f>IF(SUM(F31:F33)&gt;0,(SUMIF(F31:F33,"&gt;0",E31:E33)/3),0)</f>
        <v>0.66344294003868465</v>
      </c>
      <c r="F34" s="83"/>
      <c r="G34" s="91"/>
      <c r="H34" s="92"/>
      <c r="I34" s="92"/>
      <c r="J34" s="84"/>
      <c r="K34" s="85"/>
      <c r="L34" s="82">
        <f>IF(SUM(M31:M33)&gt;0,(SUMIF(M31:M33,"&gt;0",L31:L33)/3),0)</f>
        <v>0.46228239845261121</v>
      </c>
      <c r="M34" s="86"/>
      <c r="N34" s="87"/>
    </row>
    <row r="35" spans="1:14" s="34" customFormat="1" ht="24.95" customHeight="1" x14ac:dyDescent="0.25">
      <c r="A35" s="213" t="s">
        <v>56</v>
      </c>
      <c r="B35" s="95" t="s">
        <v>57</v>
      </c>
      <c r="C35" s="93">
        <f>[29]NUMERIK!K64</f>
        <v>246</v>
      </c>
      <c r="D35" s="94" t="s">
        <v>8</v>
      </c>
      <c r="E35" s="79">
        <f>C35/E$5*100%</f>
        <v>0.58018867924528306</v>
      </c>
      <c r="F35" s="25">
        <f t="shared" si="0"/>
        <v>3</v>
      </c>
      <c r="G35" s="36" t="str">
        <f>[29]Outcome!Q631</f>
        <v xml:space="preserve">, , , , , , , , , , , , , , , , , , , </v>
      </c>
      <c r="H35" s="27">
        <f>[29]Outcome!Q632</f>
        <v>0</v>
      </c>
      <c r="I35" s="38" t="s">
        <v>8</v>
      </c>
      <c r="J35" s="39">
        <f>IF(H35&gt;C35,0,C35-H35)</f>
        <v>246</v>
      </c>
      <c r="K35" s="40" t="s">
        <v>8</v>
      </c>
      <c r="L35" s="41">
        <f>J35/E$5*100%</f>
        <v>0.58018867924528306</v>
      </c>
      <c r="M35" s="42">
        <f t="shared" si="1"/>
        <v>3</v>
      </c>
      <c r="N35" s="33"/>
    </row>
    <row r="36" spans="1:14" s="34" customFormat="1" ht="24.95" customHeight="1" thickBot="1" x14ac:dyDescent="0.3">
      <c r="A36" s="213"/>
      <c r="B36" s="95" t="s">
        <v>58</v>
      </c>
      <c r="C36" s="96">
        <f>[29]NUMERIK!K66</f>
        <v>424</v>
      </c>
      <c r="D36" s="94" t="s">
        <v>8</v>
      </c>
      <c r="E36" s="79">
        <f>C36/E$5*100%</f>
        <v>1</v>
      </c>
      <c r="F36" s="25">
        <f t="shared" si="0"/>
        <v>5</v>
      </c>
      <c r="G36" s="36" t="str">
        <f>[29]Outcome!Q651</f>
        <v xml:space="preserve">Mobil Pemadam Kebakaran RT001-RW001, Mobil Pemadam Kebakaran RT002-RW001, Mobil Pemadam Kebakaran RT005-RW001, Mobil Pemadam Kebakaran RT007-RW002, Mobil Pemadam Kebakaran RT008-RW002, Mobil Pemadam Kebakaran RT010-RW003, Mobil Pemadam Kebakaran RT015-RW001, , , , , , , , , , , , , </v>
      </c>
      <c r="H36" s="37">
        <f>[29]Outcome!Q652</f>
        <v>517</v>
      </c>
      <c r="I36" s="97" t="s">
        <v>8</v>
      </c>
      <c r="J36" s="98">
        <f>IF(H36&gt;C36,0,C36-H36)</f>
        <v>0</v>
      </c>
      <c r="K36" s="99" t="s">
        <v>8</v>
      </c>
      <c r="L36" s="100">
        <f>J36/E$5*100%</f>
        <v>0</v>
      </c>
      <c r="M36" s="51">
        <f t="shared" si="1"/>
        <v>0</v>
      </c>
      <c r="N36" s="33"/>
    </row>
    <row r="37" spans="1:14" s="77" customFormat="1" ht="30" customHeight="1" thickBot="1" x14ac:dyDescent="0.3">
      <c r="A37" s="80" t="s">
        <v>59</v>
      </c>
      <c r="B37" s="101"/>
      <c r="C37" s="102"/>
      <c r="D37" s="102"/>
      <c r="E37" s="82">
        <f>IF(SUM(F35:F36)&gt;0,(SUMIF(F35:F36,"&gt;0",E35:E36)/2),0)</f>
        <v>0.79009433962264153</v>
      </c>
      <c r="F37" s="103"/>
      <c r="G37" s="104"/>
      <c r="H37" s="105"/>
      <c r="I37" s="105"/>
      <c r="J37" s="106"/>
      <c r="K37" s="107"/>
      <c r="L37" s="82">
        <f>IF(SUM(M35:M36)&gt;0,(SUMIF(M35:M36,"&gt;0",L35:L36)/2),0)</f>
        <v>0.29009433962264153</v>
      </c>
      <c r="M37" s="108"/>
      <c r="N37" s="109"/>
    </row>
    <row r="38" spans="1:14" ht="15" customHeight="1" x14ac:dyDescent="0.25">
      <c r="A38" s="110"/>
      <c r="B38" s="111" t="s">
        <v>60</v>
      </c>
      <c r="D38" s="218" t="s">
        <v>61</v>
      </c>
      <c r="E38" s="219"/>
      <c r="F38" s="222">
        <f>SUM(F12:F36)</f>
        <v>35</v>
      </c>
      <c r="G38" s="112"/>
      <c r="H38" s="112"/>
      <c r="I38" s="112"/>
      <c r="J38" s="112"/>
      <c r="K38" s="238" t="s">
        <v>61</v>
      </c>
      <c r="L38" s="239"/>
      <c r="M38" s="224">
        <f>SUM(M12:M36)</f>
        <v>25</v>
      </c>
    </row>
    <row r="39" spans="1:14" ht="15" customHeight="1" x14ac:dyDescent="0.25">
      <c r="A39" s="110"/>
      <c r="B39" s="113" t="s">
        <v>62</v>
      </c>
      <c r="D39" s="220"/>
      <c r="E39" s="221"/>
      <c r="F39" s="223"/>
      <c r="G39" s="114"/>
      <c r="H39" s="114"/>
      <c r="I39" s="114"/>
      <c r="J39" s="114"/>
      <c r="K39" s="240"/>
      <c r="L39" s="241"/>
      <c r="M39" s="225"/>
    </row>
    <row r="40" spans="1:14" ht="15" customHeight="1" x14ac:dyDescent="0.25">
      <c r="A40" s="110"/>
      <c r="B40" s="115" t="s">
        <v>63</v>
      </c>
      <c r="D40" s="226" t="s">
        <v>64</v>
      </c>
      <c r="E40" s="227"/>
      <c r="F40" s="230" t="str">
        <f>IF(F38="N/A","TIDAK KUMUH",IF(F38&gt;=71,"KUMUH BERAT",IF(AND(F38&lt;=70,F38&gt;=45),"KUMUH SEDANG",IF(AND(F38&lt;=44,F38&gt;=19),"KUMUH RINGAN","TIDAK KUMUH"))))</f>
        <v>KUMUH RINGAN</v>
      </c>
      <c r="G40" s="116"/>
      <c r="H40" s="116"/>
      <c r="I40" s="116"/>
      <c r="J40" s="116"/>
      <c r="K40" s="232" t="s">
        <v>64</v>
      </c>
      <c r="L40" s="233"/>
      <c r="M40" s="236" t="str">
        <f>IF(M38="N/A","TIDAK KUMUH",IF(M38&gt;=71,"KUMUH BERAT",IF(AND(M38&lt;=70,M38&gt;=45),"KUMUH SEDANG",IF(AND(M38&lt;=44,M38&gt;=19),"KUMUH RINGAN","TIDAK KUMUH"))))</f>
        <v>KUMUH RINGAN</v>
      </c>
    </row>
    <row r="41" spans="1:14" ht="15" customHeight="1" thickBot="1" x14ac:dyDescent="0.3">
      <c r="A41" s="110"/>
      <c r="B41" s="117" t="s">
        <v>65</v>
      </c>
      <c r="D41" s="228"/>
      <c r="E41" s="229"/>
      <c r="F41" s="231" t="str">
        <f>IF(E41&gt;71,"KB",IF(E41&gt;=47,"KS","KR"))</f>
        <v>KR</v>
      </c>
      <c r="G41" s="116"/>
      <c r="H41" s="116"/>
      <c r="I41" s="116"/>
      <c r="J41" s="116"/>
      <c r="K41" s="234"/>
      <c r="L41" s="235"/>
      <c r="M41" s="237" t="str">
        <f>IF(L41&gt;71,"KB",IF(L41&gt;=47,"KS","KR"))</f>
        <v>KR</v>
      </c>
    </row>
    <row r="42" spans="1:14" ht="21" customHeight="1" x14ac:dyDescent="0.25">
      <c r="B42" s="118" t="s">
        <v>66</v>
      </c>
      <c r="C42" s="119"/>
      <c r="D42" s="120"/>
      <c r="E42" s="121" t="s">
        <v>67</v>
      </c>
      <c r="F42" s="122">
        <f>AVERAGE(E15,E18,E21,E27,E30,E34,E37)</f>
        <v>0.32174808487738832</v>
      </c>
      <c r="J42" s="123"/>
      <c r="K42" s="124"/>
      <c r="L42" s="125" t="s">
        <v>67</v>
      </c>
      <c r="M42" s="126">
        <f>AVERAGE(L15,L18,L21,L27,L30,L34,L37)</f>
        <v>0.21744981972786404</v>
      </c>
    </row>
    <row r="43" spans="1:14" ht="21" customHeight="1" x14ac:dyDescent="0.25">
      <c r="B43" s="127"/>
      <c r="C43" s="119"/>
      <c r="D43" s="120"/>
      <c r="E43" s="121" t="s">
        <v>68</v>
      </c>
      <c r="F43" s="122">
        <v>0</v>
      </c>
      <c r="J43" s="123"/>
      <c r="K43" s="124"/>
      <c r="L43" s="125" t="s">
        <v>68</v>
      </c>
      <c r="M43" s="126">
        <f>(F42-M42)/F42</f>
        <v>0.32416126171899434</v>
      </c>
      <c r="N43"/>
    </row>
    <row r="44" spans="1:14" x14ac:dyDescent="0.25">
      <c r="M44" s="128"/>
    </row>
    <row r="55" spans="12:12" x14ac:dyDescent="0.25">
      <c r="L55" s="129"/>
    </row>
  </sheetData>
  <mergeCells count="23">
    <mergeCell ref="A22:A26"/>
    <mergeCell ref="A1:F1"/>
    <mergeCell ref="A2:B2"/>
    <mergeCell ref="A9:A11"/>
    <mergeCell ref="B9:B11"/>
    <mergeCell ref="C9:F10"/>
    <mergeCell ref="J9:M10"/>
    <mergeCell ref="G10:I10"/>
    <mergeCell ref="A12:A14"/>
    <mergeCell ref="A16:A17"/>
    <mergeCell ref="A19:A20"/>
    <mergeCell ref="G9:I9"/>
    <mergeCell ref="A28:A29"/>
    <mergeCell ref="A31:A33"/>
    <mergeCell ref="A35:A36"/>
    <mergeCell ref="D38:E39"/>
    <mergeCell ref="F38:F39"/>
    <mergeCell ref="M38:M39"/>
    <mergeCell ref="D40:E41"/>
    <mergeCell ref="F40:F41"/>
    <mergeCell ref="K40:L41"/>
    <mergeCell ref="M40:M41"/>
    <mergeCell ref="K38:L39"/>
  </mergeCells>
  <conditionalFormatting sqref="F40:J41">
    <cfRule type="expression" dxfId="71" priority="6">
      <formula>F40="KUMUH SEDANG"</formula>
    </cfRule>
    <cfRule type="expression" dxfId="70" priority="7">
      <formula>F40="TIDAK KUMUH"</formula>
    </cfRule>
    <cfRule type="expression" dxfId="69" priority="8">
      <formula>F40="KUMUH BERAT"</formula>
    </cfRule>
    <cfRule type="expression" dxfId="68" priority="9">
      <formula>F40="KUMUH RINGAN"</formula>
    </cfRule>
  </conditionalFormatting>
  <conditionalFormatting sqref="G12:G14 G16:G17 G19:G20 G22:G26 G28:G29 G31:G33 G35:G36">
    <cfRule type="cellIs" dxfId="67" priority="1" operator="equal">
      <formula>", , , , , , "</formula>
    </cfRule>
  </conditionalFormatting>
  <conditionalFormatting sqref="M40:M41">
    <cfRule type="expression" dxfId="66" priority="2">
      <formula>M40="KUMUH SEDANG"</formula>
    </cfRule>
    <cfRule type="expression" dxfId="65" priority="3">
      <formula>M40="TIDAK KUMUH"</formula>
    </cfRule>
    <cfRule type="expression" dxfId="64" priority="4">
      <formula>M40="KUMUH BERAT"</formula>
    </cfRule>
    <cfRule type="expression" dxfId="63" priority="5">
      <formula>M40="KUMUH RINGAN"</formula>
    </cfRule>
  </conditionalFormatting>
  <pageMargins left="0.7" right="0.2" top="0.75" bottom="0.75" header="0.3" footer="0.3"/>
  <pageSetup paperSize="9" scale="70" orientation="portrait" horizontalDpi="4294967293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4F344-1EED-4E66-88C1-DDB16083B0DC}">
  <sheetPr>
    <tabColor rgb="FF0070C0"/>
  </sheetPr>
  <dimension ref="A1:O55"/>
  <sheetViews>
    <sheetView showGridLines="0" zoomScale="80" zoomScaleNormal="80" zoomScaleSheetLayoutView="75" zoomScalePageLayoutView="90" workbookViewId="0">
      <pane xSplit="1" ySplit="11" topLeftCell="B34" activePane="bottomRight" state="frozen"/>
      <selection pane="topRight" activeCell="B1" sqref="B1"/>
      <selection pane="bottomLeft" activeCell="A12" sqref="A12"/>
      <selection pane="bottomRight" activeCell="F23" sqref="F23:F37"/>
    </sheetView>
  </sheetViews>
  <sheetFormatPr defaultColWidth="8.85546875" defaultRowHeight="15" x14ac:dyDescent="0.25"/>
  <cols>
    <col min="1" max="1" width="24" customWidth="1"/>
    <col min="2" max="2" width="45.85546875" customWidth="1"/>
    <col min="3" max="3" width="12.42578125" customWidth="1"/>
    <col min="4" max="4" width="9.140625" customWidth="1"/>
    <col min="5" max="5" width="12.140625" customWidth="1"/>
    <col min="6" max="6" width="9.140625" customWidth="1"/>
    <col min="7" max="7" width="36.42578125" customWidth="1"/>
    <col min="8" max="9" width="9.140625" customWidth="1"/>
    <col min="10" max="10" width="10" bestFit="1" customWidth="1"/>
    <col min="11" max="12" width="9.140625" customWidth="1"/>
    <col min="13" max="13" width="11.28515625" customWidth="1"/>
    <col min="14" max="14" width="2.28515625" style="3" customWidth="1"/>
  </cols>
  <sheetData>
    <row r="1" spans="1:14" ht="18.75" customHeight="1" x14ac:dyDescent="0.3">
      <c r="A1" s="193" t="s">
        <v>0</v>
      </c>
      <c r="B1" s="193"/>
      <c r="C1" s="193"/>
      <c r="D1" s="193"/>
      <c r="E1" s="193"/>
      <c r="F1" s="193"/>
      <c r="G1" s="1"/>
      <c r="H1" s="1"/>
      <c r="I1" s="1"/>
      <c r="J1" s="1"/>
      <c r="K1" s="1"/>
      <c r="L1" s="1"/>
      <c r="M1" s="2"/>
    </row>
    <row r="2" spans="1:14" ht="3.75" customHeight="1" x14ac:dyDescent="0.25">
      <c r="A2" s="194"/>
      <c r="B2" s="194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4" ht="15.75" customHeight="1" x14ac:dyDescent="0.25">
      <c r="A3" s="6" t="s">
        <v>1</v>
      </c>
      <c r="B3" s="6" t="str">
        <f>": "&amp;[30]NUMERIK!E14</f>
        <v>: JAWA TIMUR</v>
      </c>
      <c r="C3" s="7" t="s">
        <v>2</v>
      </c>
      <c r="D3" s="8"/>
      <c r="E3" s="9">
        <f>[30]NUMERIK!K6</f>
        <v>2.1399999999999997</v>
      </c>
      <c r="F3" t="s">
        <v>3</v>
      </c>
    </row>
    <row r="4" spans="1:14" ht="15.75" customHeight="1" x14ac:dyDescent="0.25">
      <c r="A4" s="6" t="s">
        <v>4</v>
      </c>
      <c r="B4" s="6" t="str">
        <f>": "&amp;[30]NUMERIK!E12</f>
        <v>: KAB. BOJONEGORO</v>
      </c>
      <c r="C4" s="7" t="s">
        <v>5</v>
      </c>
      <c r="D4" s="8"/>
      <c r="E4" s="9">
        <f>[30]NUMERIK!K8</f>
        <v>2.1399999999999997</v>
      </c>
      <c r="F4" t="s">
        <v>3</v>
      </c>
    </row>
    <row r="5" spans="1:14" ht="15.75" customHeight="1" x14ac:dyDescent="0.25">
      <c r="A5" s="10" t="s">
        <v>6</v>
      </c>
      <c r="B5" s="10" t="str">
        <f>": "&amp;[30]NUMERIK!E10</f>
        <v>: BOJONEGORO</v>
      </c>
      <c r="C5" s="7" t="s">
        <v>7</v>
      </c>
      <c r="D5" s="8"/>
      <c r="E5" s="11">
        <f>[30]NUMERIK!K10</f>
        <v>407</v>
      </c>
      <c r="F5" t="s">
        <v>8</v>
      </c>
    </row>
    <row r="6" spans="1:14" ht="15.75" customHeight="1" x14ac:dyDescent="0.25">
      <c r="A6" s="10" t="s">
        <v>9</v>
      </c>
      <c r="B6" s="10" t="str">
        <f>": "&amp;[30]NUMERIK!E6</f>
        <v>: JETAK</v>
      </c>
      <c r="C6" s="7" t="s">
        <v>10</v>
      </c>
      <c r="D6" s="8"/>
      <c r="E6" s="12">
        <f>[30]NUMERIK!K12</f>
        <v>1651</v>
      </c>
      <c r="F6" t="s">
        <v>11</v>
      </c>
    </row>
    <row r="7" spans="1:14" ht="15.75" customHeight="1" x14ac:dyDescent="0.25">
      <c r="A7" s="4"/>
      <c r="B7" s="13"/>
      <c r="C7" s="7" t="s">
        <v>7</v>
      </c>
      <c r="D7" s="5"/>
      <c r="E7" s="12">
        <f>[30]NUMERIK!K14</f>
        <v>475</v>
      </c>
      <c r="F7" t="s">
        <v>12</v>
      </c>
    </row>
    <row r="8" spans="1:14" ht="5.25" customHeight="1" thickBot="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4" ht="12" customHeight="1" x14ac:dyDescent="0.25">
      <c r="A9" s="195" t="s">
        <v>13</v>
      </c>
      <c r="B9" s="197" t="s">
        <v>14</v>
      </c>
      <c r="C9" s="199" t="s">
        <v>15</v>
      </c>
      <c r="D9" s="200"/>
      <c r="E9" s="200"/>
      <c r="F9" s="201"/>
      <c r="G9" s="216" t="s">
        <v>16</v>
      </c>
      <c r="H9" s="217"/>
      <c r="I9" s="217"/>
      <c r="J9" s="205" t="s">
        <v>17</v>
      </c>
      <c r="K9" s="206"/>
      <c r="L9" s="206"/>
      <c r="M9" s="207"/>
    </row>
    <row r="10" spans="1:14" ht="9.75" customHeight="1" x14ac:dyDescent="0.25">
      <c r="A10" s="196"/>
      <c r="B10" s="198"/>
      <c r="C10" s="202"/>
      <c r="D10" s="203"/>
      <c r="E10" s="203"/>
      <c r="F10" s="204"/>
      <c r="G10" s="211" t="s">
        <v>18</v>
      </c>
      <c r="H10" s="212"/>
      <c r="I10" s="212"/>
      <c r="J10" s="208"/>
      <c r="K10" s="209"/>
      <c r="L10" s="209"/>
      <c r="M10" s="210"/>
    </row>
    <row r="11" spans="1:14" ht="15.75" thickBot="1" x14ac:dyDescent="0.3">
      <c r="A11" s="196"/>
      <c r="B11" s="198"/>
      <c r="C11" s="14" t="s">
        <v>19</v>
      </c>
      <c r="D11" s="14" t="s">
        <v>20</v>
      </c>
      <c r="E11" s="14" t="s">
        <v>21</v>
      </c>
      <c r="F11" s="15" t="s">
        <v>22</v>
      </c>
      <c r="G11" s="16" t="s">
        <v>23</v>
      </c>
      <c r="H11" s="17" t="s">
        <v>24</v>
      </c>
      <c r="I11" s="17" t="s">
        <v>20</v>
      </c>
      <c r="J11" s="18" t="s">
        <v>19</v>
      </c>
      <c r="K11" s="19" t="s">
        <v>20</v>
      </c>
      <c r="L11" s="19" t="s">
        <v>25</v>
      </c>
      <c r="M11" s="20" t="s">
        <v>22</v>
      </c>
    </row>
    <row r="12" spans="1:14" s="34" customFormat="1" ht="24.95" customHeight="1" x14ac:dyDescent="0.25">
      <c r="A12" s="213" t="s">
        <v>26</v>
      </c>
      <c r="B12" s="21" t="s">
        <v>27</v>
      </c>
      <c r="C12" s="22">
        <f>[30]NUMERIK!K18</f>
        <v>198</v>
      </c>
      <c r="D12" s="23" t="s">
        <v>8</v>
      </c>
      <c r="E12" s="24">
        <f>C12/E5*100%</f>
        <v>0.48648648648648651</v>
      </c>
      <c r="F12" s="25">
        <f t="shared" ref="F12:F36" si="0">IF(AND(E12&gt;=24.995%,E12&lt;50.995%),1,IF(AND(E12&gt;=50.995%,E12&lt;75.995%),3,IF(E12&gt;=75.995%,5,0)))</f>
        <v>1</v>
      </c>
      <c r="G12" s="26" t="str">
        <f>[30]Outcome!Q6</f>
        <v xml:space="preserve">, , , , , , , , , , , , , , , , , , , , , , , , , , , , , , , , , , , , , , , , , , , , </v>
      </c>
      <c r="H12" s="27">
        <f>[30]Outcome!M6</f>
        <v>0</v>
      </c>
      <c r="I12" s="28" t="s">
        <v>8</v>
      </c>
      <c r="J12" s="29">
        <f>IF(H12&gt;C12,0,C12-H12)</f>
        <v>198</v>
      </c>
      <c r="K12" s="30" t="s">
        <v>8</v>
      </c>
      <c r="L12" s="31">
        <f>J12/E$5*100%</f>
        <v>0.48648648648648651</v>
      </c>
      <c r="M12" s="32">
        <f t="shared" ref="M12:M36" si="1">IF(AND(L12&gt;=24.995%,L12&lt;50.995%),1,IF(AND(L12&gt;=50.995%,L12&lt;75.995%),3,IF(L12&gt;=75.995%,5,0)))</f>
        <v>1</v>
      </c>
      <c r="N12" s="33"/>
    </row>
    <row r="13" spans="1:14" s="34" customFormat="1" ht="24.95" customHeight="1" x14ac:dyDescent="0.25">
      <c r="A13" s="213"/>
      <c r="B13" s="21" t="s">
        <v>28</v>
      </c>
      <c r="C13" s="35">
        <f>[30]NUMERIK!K20</f>
        <v>1.18</v>
      </c>
      <c r="D13" s="23" t="s">
        <v>3</v>
      </c>
      <c r="E13" s="24">
        <f>C13/E4*100%</f>
        <v>0.55140186915887857</v>
      </c>
      <c r="F13" s="25">
        <f t="shared" si="0"/>
        <v>3</v>
      </c>
      <c r="G13" s="36" t="str">
        <f>[30]Outcome!Q51</f>
        <v xml:space="preserve">, , , , , , , , , , , , , , , , , , , </v>
      </c>
      <c r="H13" s="37">
        <f>[30]Outcome!M51</f>
        <v>0</v>
      </c>
      <c r="I13" s="38" t="s">
        <v>3</v>
      </c>
      <c r="J13" s="39">
        <f>IF(H13&gt;C13,0,C13-H13)</f>
        <v>1.18</v>
      </c>
      <c r="K13" s="40" t="s">
        <v>3</v>
      </c>
      <c r="L13" s="41">
        <f>J13/E$4*100%</f>
        <v>0.55140186915887857</v>
      </c>
      <c r="M13" s="42">
        <f t="shared" si="1"/>
        <v>3</v>
      </c>
      <c r="N13" s="33"/>
    </row>
    <row r="14" spans="1:14" s="34" customFormat="1" ht="24.95" customHeight="1" thickBot="1" x14ac:dyDescent="0.3">
      <c r="A14" s="214"/>
      <c r="B14" s="43" t="s">
        <v>29</v>
      </c>
      <c r="C14" s="35">
        <f>[30]NUMERIK!K22</f>
        <v>64</v>
      </c>
      <c r="D14" s="23" t="s">
        <v>8</v>
      </c>
      <c r="E14" s="24">
        <f>C14/E5*100%</f>
        <v>0.15724815724815724</v>
      </c>
      <c r="F14" s="44">
        <f t="shared" si="0"/>
        <v>0</v>
      </c>
      <c r="G14" s="45" t="str">
        <f>[30]Outcome!Q71</f>
        <v xml:space="preserve">, , , , , , , , , , , , , , , , , , , , , , , , , , , , , , , , , , , , , , , , , , , , </v>
      </c>
      <c r="H14" s="46">
        <f>[30]Outcome!M71</f>
        <v>0</v>
      </c>
      <c r="I14" s="47" t="s">
        <v>8</v>
      </c>
      <c r="J14" s="48">
        <f>IF(H14&gt;C14,0,C14-H14)</f>
        <v>64</v>
      </c>
      <c r="K14" s="49" t="s">
        <v>8</v>
      </c>
      <c r="L14" s="50">
        <f>J14/E$5*100%</f>
        <v>0.15724815724815724</v>
      </c>
      <c r="M14" s="51">
        <f t="shared" si="1"/>
        <v>0</v>
      </c>
      <c r="N14" s="33"/>
    </row>
    <row r="15" spans="1:14" s="34" customFormat="1" ht="30" customHeight="1" thickBot="1" x14ac:dyDescent="0.3">
      <c r="A15" s="52" t="s">
        <v>30</v>
      </c>
      <c r="B15" s="53"/>
      <c r="C15" s="54"/>
      <c r="D15" s="55"/>
      <c r="E15" s="56">
        <f>IF(SUM(F12:F14)&gt;0,(SUMIF(F12:F14,"&gt;0",E12:E14)/3),0)</f>
        <v>0.34596278521512169</v>
      </c>
      <c r="F15" s="57"/>
      <c r="G15" s="58"/>
      <c r="H15" s="59"/>
      <c r="I15" s="59"/>
      <c r="J15" s="60"/>
      <c r="K15" s="61"/>
      <c r="L15" s="56">
        <f>IF(SUM(M12:M14)&gt;0,(SUMIF(M12:M14,"&gt;0",L12:L14)/3),0)</f>
        <v>0.34596278521512169</v>
      </c>
      <c r="M15" s="62"/>
      <c r="N15" s="33"/>
    </row>
    <row r="16" spans="1:14" s="34" customFormat="1" ht="24.95" customHeight="1" x14ac:dyDescent="0.25">
      <c r="A16" s="215" t="s">
        <v>31</v>
      </c>
      <c r="B16" s="63" t="s">
        <v>32</v>
      </c>
      <c r="C16" s="64">
        <f>[30]NUMERIK!K25-[30]NUMERIK!K26</f>
        <v>0</v>
      </c>
      <c r="D16" s="65" t="s">
        <v>33</v>
      </c>
      <c r="E16" s="66">
        <f>C16/[30]NUMERIK!K$25*100%</f>
        <v>0</v>
      </c>
      <c r="F16" s="67">
        <f t="shared" si="0"/>
        <v>0</v>
      </c>
      <c r="G16" s="36" t="str">
        <f>[30]Outcome!Q116</f>
        <v xml:space="preserve">, , , , , , , , , , , , , , , , , , , </v>
      </c>
      <c r="H16" s="27">
        <f>[30]Outcome!M116</f>
        <v>0</v>
      </c>
      <c r="I16" s="68" t="s">
        <v>33</v>
      </c>
      <c r="J16" s="69">
        <f>IF(H16&gt;C16,0,C16-H16)</f>
        <v>0</v>
      </c>
      <c r="K16" s="70" t="s">
        <v>33</v>
      </c>
      <c r="L16" s="71">
        <f>J16/[30]NUMERIK!K$25*100%</f>
        <v>0</v>
      </c>
      <c r="M16" s="72">
        <f t="shared" si="1"/>
        <v>0</v>
      </c>
      <c r="N16" s="33"/>
    </row>
    <row r="17" spans="1:15" s="34" customFormat="1" ht="24.95" customHeight="1" thickBot="1" x14ac:dyDescent="0.3">
      <c r="A17" s="192"/>
      <c r="B17" s="21" t="s">
        <v>34</v>
      </c>
      <c r="C17" s="22">
        <f>[30]NUMERIK!K28</f>
        <v>1783</v>
      </c>
      <c r="D17" s="73" t="s">
        <v>33</v>
      </c>
      <c r="E17" s="24">
        <f>C17/[30]NUMERIK!K$25*100%</f>
        <v>0.30242893004952842</v>
      </c>
      <c r="F17" s="25">
        <f t="shared" si="0"/>
        <v>1</v>
      </c>
      <c r="G17" s="45" t="str">
        <f>[30]Outcome!Q136</f>
        <v xml:space="preserve">Jalan Paving Block RT005-RW001, Jalan Paving Block RT006-RW001, Jalan Paving RT002-RW001, , , , , , , , , , , , , , , , , , , , , , , , , , , , , , , , , , , , , , , , , , </v>
      </c>
      <c r="H17" s="37">
        <f>[30]Outcome!M136</f>
        <v>756</v>
      </c>
      <c r="I17" s="38" t="s">
        <v>33</v>
      </c>
      <c r="J17" s="39">
        <f>IF(H17&gt;C17,0,C17-H17)</f>
        <v>1027</v>
      </c>
      <c r="K17" s="40" t="s">
        <v>33</v>
      </c>
      <c r="L17" s="41">
        <f>J17/[30]NUMERIK!K$25*100%</f>
        <v>0.17419770676436663</v>
      </c>
      <c r="M17" s="42">
        <f t="shared" si="1"/>
        <v>0</v>
      </c>
      <c r="N17" s="33"/>
    </row>
    <row r="18" spans="1:15" s="34" customFormat="1" ht="30" customHeight="1" thickBot="1" x14ac:dyDescent="0.3">
      <c r="A18" s="52" t="s">
        <v>35</v>
      </c>
      <c r="B18" s="53"/>
      <c r="C18" s="54"/>
      <c r="D18" s="55"/>
      <c r="E18" s="56">
        <f>IF(SUM(F16:F17)&gt;0,(SUMIF(F16:F17,"&gt;0",E16:E17)/2),0)</f>
        <v>0.15121446502476421</v>
      </c>
      <c r="F18" s="57"/>
      <c r="G18" s="58"/>
      <c r="H18" s="59"/>
      <c r="I18" s="59"/>
      <c r="J18" s="60"/>
      <c r="K18" s="61"/>
      <c r="L18" s="56">
        <f>IF(SUM(M16:M17)&gt;0,(SUMIF(M16:M17,"&gt;0",L16:L17)/2),0)</f>
        <v>0</v>
      </c>
      <c r="M18" s="62"/>
      <c r="N18" s="33"/>
    </row>
    <row r="19" spans="1:15" s="34" customFormat="1" ht="24.95" customHeight="1" x14ac:dyDescent="0.25">
      <c r="A19" s="213" t="s">
        <v>36</v>
      </c>
      <c r="B19" s="21" t="s">
        <v>37</v>
      </c>
      <c r="C19" s="22">
        <f>[30]NUMERIK!K31</f>
        <v>284</v>
      </c>
      <c r="D19" s="73" t="s">
        <v>12</v>
      </c>
      <c r="E19" s="74">
        <f>C19/E$7*100%</f>
        <v>0.59789473684210526</v>
      </c>
      <c r="F19" s="25">
        <f t="shared" si="0"/>
        <v>3</v>
      </c>
      <c r="G19" s="36" t="str">
        <f>[30]Outcome!Q181</f>
        <v xml:space="preserve">Sumur Bor+Tandon RT004-RW001, Sumur Bor+Tandon RT005-RW001, , , , , , , , , , , , , , , , , , </v>
      </c>
      <c r="H19" s="27">
        <f>[30]Outcome!Q182</f>
        <v>70</v>
      </c>
      <c r="I19" s="38" t="s">
        <v>12</v>
      </c>
      <c r="J19" s="39">
        <f>IF(H19&gt;C19,0,C19-H19)</f>
        <v>214</v>
      </c>
      <c r="K19" s="75" t="s">
        <v>12</v>
      </c>
      <c r="L19" s="76">
        <f>J19/E$7*100%</f>
        <v>0.45052631578947366</v>
      </c>
      <c r="M19" s="42">
        <f t="shared" si="1"/>
        <v>1</v>
      </c>
      <c r="N19" s="33"/>
    </row>
    <row r="20" spans="1:15" s="34" customFormat="1" ht="24.95" customHeight="1" thickBot="1" x14ac:dyDescent="0.3">
      <c r="A20" s="213"/>
      <c r="B20" s="21" t="s">
        <v>38</v>
      </c>
      <c r="C20" s="22">
        <f>[30]NUMERIK!K33</f>
        <v>52</v>
      </c>
      <c r="D20" s="73" t="s">
        <v>12</v>
      </c>
      <c r="E20" s="74">
        <f>C20/E$7*100%</f>
        <v>0.10947368421052632</v>
      </c>
      <c r="F20" s="25">
        <f t="shared" si="0"/>
        <v>0</v>
      </c>
      <c r="G20" s="45" t="str">
        <f>[30]Outcome!Q201</f>
        <v xml:space="preserve">Sumur Bor+Tandon RT004-RW001, , , , , , , , , , , , , , , , , , , , , , , , , , , , , , , , , , , , , , , , , , , , </v>
      </c>
      <c r="H20" s="37">
        <f>[30]Outcome!Q202</f>
        <v>65</v>
      </c>
      <c r="I20" s="38" t="s">
        <v>12</v>
      </c>
      <c r="J20" s="39">
        <f>IF(H20&gt;C20,0,C20-H20)</f>
        <v>0</v>
      </c>
      <c r="K20" s="75" t="s">
        <v>12</v>
      </c>
      <c r="L20" s="76">
        <f>J20/E$7*100%</f>
        <v>0</v>
      </c>
      <c r="M20" s="42">
        <f t="shared" si="1"/>
        <v>0</v>
      </c>
      <c r="N20" s="33"/>
    </row>
    <row r="21" spans="1:15" s="77" customFormat="1" ht="30" customHeight="1" thickBot="1" x14ac:dyDescent="0.3">
      <c r="A21" s="52" t="s">
        <v>39</v>
      </c>
      <c r="B21" s="53"/>
      <c r="C21" s="54"/>
      <c r="D21" s="55"/>
      <c r="E21" s="56">
        <f>IF(SUM(F19:F20)&gt;0,(SUMIF(F19:F20,"&gt;0",E19:E20)/2),0)</f>
        <v>0.29894736842105263</v>
      </c>
      <c r="F21" s="57"/>
      <c r="G21" s="58"/>
      <c r="H21" s="59"/>
      <c r="I21" s="59"/>
      <c r="J21" s="60"/>
      <c r="K21" s="61"/>
      <c r="L21" s="56">
        <f>IF(SUM(M19:M20)&gt;0,(SUMIF(M19:M20,"&gt;0",L19:L20)/2),0)</f>
        <v>0.22526315789473683</v>
      </c>
      <c r="M21" s="62"/>
      <c r="N21" s="33"/>
      <c r="O21" s="34"/>
    </row>
    <row r="22" spans="1:15" s="34" customFormat="1" ht="20.100000000000001" customHeight="1" x14ac:dyDescent="0.25">
      <c r="A22" s="192" t="s">
        <v>40</v>
      </c>
      <c r="B22" s="78" t="s">
        <v>41</v>
      </c>
      <c r="C22" s="22">
        <f>[30]NUMERIK!K36</f>
        <v>0</v>
      </c>
      <c r="D22" s="73" t="s">
        <v>3</v>
      </c>
      <c r="E22" s="79">
        <f>C22/E$4*100%</f>
        <v>0</v>
      </c>
      <c r="F22" s="25">
        <f t="shared" si="0"/>
        <v>0</v>
      </c>
      <c r="G22" s="36" t="str">
        <f>[30]Outcome!Q246</f>
        <v xml:space="preserve">, , , , , , , , , , , , , , , , , , , </v>
      </c>
      <c r="H22" s="27">
        <f>[30]Outcome!M246</f>
        <v>0</v>
      </c>
      <c r="I22" s="38" t="s">
        <v>3</v>
      </c>
      <c r="J22" s="39">
        <f>IF(H22&gt;C22,0,C22-H22)</f>
        <v>0</v>
      </c>
      <c r="K22" s="40" t="s">
        <v>3</v>
      </c>
      <c r="L22" s="41">
        <f>J22/E$4*100%</f>
        <v>0</v>
      </c>
      <c r="M22" s="42">
        <f t="shared" si="1"/>
        <v>0</v>
      </c>
      <c r="N22" s="33"/>
    </row>
    <row r="23" spans="1:15" s="34" customFormat="1" ht="25.5" customHeight="1" x14ac:dyDescent="0.25">
      <c r="A23" s="192"/>
      <c r="B23" s="21" t="s">
        <v>42</v>
      </c>
      <c r="C23" s="22">
        <f>([30]NUMERIK!K38-[30]NUMERIK!K40)</f>
        <v>1057</v>
      </c>
      <c r="D23" s="73" t="s">
        <v>33</v>
      </c>
      <c r="E23" s="79">
        <f>C23/[30]NUMERIK!K$38*100%</f>
        <v>0.32959151855316493</v>
      </c>
      <c r="F23" s="25">
        <f t="shared" si="0"/>
        <v>1</v>
      </c>
      <c r="G23" s="36" t="str">
        <f>[30]Outcome!Q266</f>
        <v xml:space="preserve">Drainase Lingkungan RT002-RW001, Drainase Lingkungan RT006-RW001, , , , , , , , , , , , , , , , , , , , , , , , , , , , , , , , , , , , , , , , , , , </v>
      </c>
      <c r="H23" s="37">
        <f>[30]Outcome!M266</f>
        <v>410</v>
      </c>
      <c r="I23" s="38" t="s">
        <v>33</v>
      </c>
      <c r="J23" s="39">
        <f>IF(H23&gt;C23,0,C23-H23)</f>
        <v>647</v>
      </c>
      <c r="K23" s="40" t="s">
        <v>33</v>
      </c>
      <c r="L23" s="41">
        <f>J23/[30]NUMERIK!K$38*100%</f>
        <v>0.20174618023074525</v>
      </c>
      <c r="M23" s="42">
        <f t="shared" si="1"/>
        <v>0</v>
      </c>
      <c r="N23" s="33"/>
    </row>
    <row r="24" spans="1:15" s="34" customFormat="1" ht="20.100000000000001" customHeight="1" x14ac:dyDescent="0.25">
      <c r="A24" s="192"/>
      <c r="B24" s="21" t="s">
        <v>43</v>
      </c>
      <c r="C24" s="22">
        <f>[30]NUMERIK!K42</f>
        <v>0</v>
      </c>
      <c r="D24" s="73" t="s">
        <v>33</v>
      </c>
      <c r="E24" s="79">
        <f>C24/[30]NUMERIK!K$38*100%</f>
        <v>0</v>
      </c>
      <c r="F24" s="25">
        <f t="shared" si="0"/>
        <v>0</v>
      </c>
      <c r="G24" s="36" t="str">
        <f>[30]Outcome!Q311</f>
        <v xml:space="preserve">, , , , , , , , , , , , , , , , , , , </v>
      </c>
      <c r="H24" s="37">
        <f>[30]Outcome!M311</f>
        <v>0</v>
      </c>
      <c r="I24" s="38" t="s">
        <v>33</v>
      </c>
      <c r="J24" s="39">
        <f>IF(H24&gt;C24,0,C24-H24)</f>
        <v>0</v>
      </c>
      <c r="K24" s="40" t="s">
        <v>33</v>
      </c>
      <c r="L24" s="41">
        <f>J24/[30]NUMERIK!K$38*100%</f>
        <v>0</v>
      </c>
      <c r="M24" s="42">
        <f t="shared" si="1"/>
        <v>0</v>
      </c>
      <c r="N24" s="33"/>
    </row>
    <row r="25" spans="1:15" s="34" customFormat="1" ht="20.100000000000001" customHeight="1" x14ac:dyDescent="0.25">
      <c r="A25" s="192"/>
      <c r="B25" s="21" t="s">
        <v>44</v>
      </c>
      <c r="C25" s="22">
        <f>[30]NUMERIK!K45</f>
        <v>2050</v>
      </c>
      <c r="D25" s="73" t="s">
        <v>33</v>
      </c>
      <c r="E25" s="79">
        <f>C25/[30]NUMERIK!K$38*100%</f>
        <v>0.63922669161209855</v>
      </c>
      <c r="F25" s="25">
        <f t="shared" si="0"/>
        <v>3</v>
      </c>
      <c r="G25" s="36" t="str">
        <f>[30]Outcome!Q331</f>
        <v xml:space="preserve">Normalisasi Saluran RT002-RW001, Drainase Lingkungan RT005-RW001, Drainase Lingkungan RT006-RW001, Drainase Lingkungan RT005-RW001, , , , , , , , , , , , , , , , </v>
      </c>
      <c r="H25" s="37">
        <f>[30]Outcome!M331</f>
        <v>942</v>
      </c>
      <c r="I25" s="38" t="s">
        <v>33</v>
      </c>
      <c r="J25" s="39">
        <f>IF(H25&gt;C25,0,C25-H25)</f>
        <v>1108</v>
      </c>
      <c r="K25" s="40" t="s">
        <v>33</v>
      </c>
      <c r="L25" s="41">
        <f>J25/[30]NUMERIK!K$38*100%</f>
        <v>0.34549423136888058</v>
      </c>
      <c r="M25" s="42">
        <f t="shared" si="1"/>
        <v>1</v>
      </c>
      <c r="N25" s="33"/>
    </row>
    <row r="26" spans="1:15" s="34" customFormat="1" ht="20.100000000000001" customHeight="1" thickBot="1" x14ac:dyDescent="0.3">
      <c r="A26" s="192"/>
      <c r="B26" s="78" t="s">
        <v>45</v>
      </c>
      <c r="C26" s="22">
        <f>[30]NUMERIK!K48</f>
        <v>570</v>
      </c>
      <c r="D26" s="73" t="s">
        <v>33</v>
      </c>
      <c r="E26" s="79">
        <f>C26/[30]NUMERIK!K$38*100%</f>
        <v>0.17773620205799812</v>
      </c>
      <c r="F26" s="25">
        <f t="shared" si="0"/>
        <v>0</v>
      </c>
      <c r="G26" s="36" t="str">
        <f>[30]Outcome!Q351</f>
        <v xml:space="preserve">Drainase Lingkungan RT002-RW001, Saluran Drainase RT002-RW001, Saluran Drainase RT005-RW001, Drainase Lingkungan RT005-RW001, , , , , , , , , , , , , , , , , , , , , , , , , , , , , , , , , , , , , , , , , </v>
      </c>
      <c r="H26" s="37">
        <f>[30]Outcome!M351</f>
        <v>268.5</v>
      </c>
      <c r="I26" s="38" t="s">
        <v>33</v>
      </c>
      <c r="J26" s="39">
        <f>IF(H26&gt;C26,0,C26-H26)</f>
        <v>301.5</v>
      </c>
      <c r="K26" s="40" t="s">
        <v>33</v>
      </c>
      <c r="L26" s="41">
        <f>J26/[30]NUMERIK!K$38*100%</f>
        <v>9.4013096351730593E-2</v>
      </c>
      <c r="M26" s="42">
        <f t="shared" si="1"/>
        <v>0</v>
      </c>
      <c r="N26" s="33"/>
    </row>
    <row r="27" spans="1:15" s="88" customFormat="1" ht="30" customHeight="1" thickBot="1" x14ac:dyDescent="0.3">
      <c r="A27" s="80" t="s">
        <v>46</v>
      </c>
      <c r="B27" s="81"/>
      <c r="C27" s="55"/>
      <c r="D27" s="55"/>
      <c r="E27" s="82">
        <f>IF(SUM(F22:F26)&gt;0,(SUMIF(F22:F26,"&gt;0",E22:E26)/5),0)</f>
        <v>0.19376364203305269</v>
      </c>
      <c r="F27" s="83"/>
      <c r="G27" s="58"/>
      <c r="H27" s="59"/>
      <c r="I27" s="59"/>
      <c r="J27" s="84"/>
      <c r="K27" s="85"/>
      <c r="L27" s="82">
        <f>IF(SUM(M22:M26)&gt;0,(SUMIF(M22:M26,"&gt;0",L22:L26)/5),0)</f>
        <v>6.9098846273776118E-2</v>
      </c>
      <c r="M27" s="86"/>
      <c r="N27" s="87"/>
    </row>
    <row r="28" spans="1:15" s="34" customFormat="1" ht="27.75" customHeight="1" x14ac:dyDescent="0.25">
      <c r="A28" s="213" t="s">
        <v>47</v>
      </c>
      <c r="B28" s="21" t="s">
        <v>48</v>
      </c>
      <c r="C28" s="22">
        <f>[30]NUMERIK!K51</f>
        <v>27</v>
      </c>
      <c r="D28" s="73" t="s">
        <v>12</v>
      </c>
      <c r="E28" s="89">
        <f>C28/E$7*100%</f>
        <v>5.6842105263157895E-2</v>
      </c>
      <c r="F28" s="25">
        <f t="shared" si="0"/>
        <v>0</v>
      </c>
      <c r="G28" s="36" t="str">
        <f>[30]Outcome!Q396</f>
        <v xml:space="preserve">, , , , , , , , , , , , , , , , , , , , , , , , , , , , , , , , , , , , , , , , , , , , </v>
      </c>
      <c r="H28" s="37">
        <f>[30]Outcome!Q397</f>
        <v>0</v>
      </c>
      <c r="I28" s="38" t="s">
        <v>12</v>
      </c>
      <c r="J28" s="39">
        <f>IF(H28&gt;C28,0,C28-H28)</f>
        <v>27</v>
      </c>
      <c r="K28" s="40" t="s">
        <v>12</v>
      </c>
      <c r="L28" s="41">
        <f>J28/E$7*100%</f>
        <v>5.6842105263157895E-2</v>
      </c>
      <c r="M28" s="42">
        <f t="shared" si="1"/>
        <v>0</v>
      </c>
      <c r="N28" s="33"/>
    </row>
    <row r="29" spans="1:15" s="34" customFormat="1" ht="30" customHeight="1" thickBot="1" x14ac:dyDescent="0.3">
      <c r="A29" s="213"/>
      <c r="B29" s="21" t="s">
        <v>49</v>
      </c>
      <c r="C29" s="22">
        <f>[30]NUMERIK!K53</f>
        <v>13</v>
      </c>
      <c r="D29" s="73" t="s">
        <v>12</v>
      </c>
      <c r="E29" s="89">
        <f>C29/E$7*100%</f>
        <v>2.736842105263158E-2</v>
      </c>
      <c r="F29" s="25">
        <f t="shared" si="0"/>
        <v>0</v>
      </c>
      <c r="G29" s="45" t="str">
        <f>[30]Outcome!Q441</f>
        <v xml:space="preserve">, , , , , , , , , , , , , , , , , , , , , , , , , , , , , , , , , , , , , , , , , , , , , , , , , , , , , , </v>
      </c>
      <c r="H29" s="37">
        <f>[30]Outcome!Q442</f>
        <v>0</v>
      </c>
      <c r="I29" s="38" t="s">
        <v>12</v>
      </c>
      <c r="J29" s="39">
        <f>IF(H29&gt;C29,0,C29-H29)</f>
        <v>13</v>
      </c>
      <c r="K29" s="40" t="s">
        <v>12</v>
      </c>
      <c r="L29" s="41">
        <f>J29/E$7*100%</f>
        <v>2.736842105263158E-2</v>
      </c>
      <c r="M29" s="42">
        <f t="shared" si="1"/>
        <v>0</v>
      </c>
      <c r="N29" s="33"/>
    </row>
    <row r="30" spans="1:15" s="88" customFormat="1" ht="30" customHeight="1" thickBot="1" x14ac:dyDescent="0.3">
      <c r="A30" s="90" t="s">
        <v>50</v>
      </c>
      <c r="B30" s="81"/>
      <c r="C30" s="55"/>
      <c r="D30" s="55"/>
      <c r="E30" s="82">
        <f>IF(SUM(F28:F29)&gt;0,(SUMIF(F28:F29,"&gt;0",E28:E29)/2),0)</f>
        <v>0</v>
      </c>
      <c r="F30" s="83"/>
      <c r="G30" s="91"/>
      <c r="H30" s="92"/>
      <c r="I30" s="92"/>
      <c r="J30" s="84"/>
      <c r="K30" s="85"/>
      <c r="L30" s="82">
        <f>IF(SUM(M28:M29)&gt;0,(SUMIF(M28:M29,"&gt;0",L28:L29)/2),0)</f>
        <v>0</v>
      </c>
      <c r="M30" s="86"/>
      <c r="N30" s="87"/>
    </row>
    <row r="31" spans="1:15" s="34" customFormat="1" ht="31.5" customHeight="1" x14ac:dyDescent="0.25">
      <c r="A31" s="192" t="s">
        <v>51</v>
      </c>
      <c r="B31" s="21" t="s">
        <v>52</v>
      </c>
      <c r="C31" s="93">
        <f>[30]NUMERIK!K56</f>
        <v>475</v>
      </c>
      <c r="D31" s="94" t="s">
        <v>12</v>
      </c>
      <c r="E31" s="89">
        <f>C31/E$7*100%</f>
        <v>1</v>
      </c>
      <c r="F31" s="25">
        <f t="shared" si="0"/>
        <v>5</v>
      </c>
      <c r="G31" s="36" t="str">
        <f>[30]Outcome!Q496</f>
        <v xml:space="preserve">Gerobak Sampah Motor RT001-RW001, Gerobak Sampah Motor RT002-RW001, Gerobak Sampah Motor RT004-RW001, Gerobak Sampah Motor RT005-RW001, Gerobak Sampah Motor RT006-RW001, Gerobak Sampah Motor RT007-RW001, , , , , , , , , , , , , , , , , , , , , , , , , , , , , , , , , , , , , , , </v>
      </c>
      <c r="H31" s="37">
        <f>[30]Outcome!Q497</f>
        <v>475</v>
      </c>
      <c r="I31" s="38" t="s">
        <v>12</v>
      </c>
      <c r="J31" s="39">
        <f>IF(H31&gt;C31,0,C31-H31)</f>
        <v>0</v>
      </c>
      <c r="K31" s="40" t="s">
        <v>12</v>
      </c>
      <c r="L31" s="41">
        <f>J31/E$7*100%</f>
        <v>0</v>
      </c>
      <c r="M31" s="42">
        <f t="shared" si="1"/>
        <v>0</v>
      </c>
      <c r="N31" s="33"/>
    </row>
    <row r="32" spans="1:15" s="34" customFormat="1" ht="32.25" customHeight="1" x14ac:dyDescent="0.25">
      <c r="A32" s="192"/>
      <c r="B32" s="21" t="s">
        <v>53</v>
      </c>
      <c r="C32" s="93">
        <f>[30]NUMERIK!K59</f>
        <v>415</v>
      </c>
      <c r="D32" s="94" t="s">
        <v>12</v>
      </c>
      <c r="E32" s="89">
        <f>C32/E$7*100%</f>
        <v>0.87368421052631584</v>
      </c>
      <c r="F32" s="25">
        <f t="shared" si="0"/>
        <v>5</v>
      </c>
      <c r="G32" s="36" t="str">
        <f>[30]Outcome!Q541</f>
        <v xml:space="preserve">Gerobak/Motor Sampah RT002-RW001, Gerobak Sampah Motor RT001-RW001, Gerobak Sampah Motor RT002-RW001, Gerobak Sampah Motor RT004-RW001, Gerobak Sampah Motor RT005-RW001, Gerobak Sampah Motor RT006-RW001, Gerobak Sampah Motor RT007-RW001, , , , , , , , , , , , , , , , , , , , , , , , , , , , , , , , , , , , , , </v>
      </c>
      <c r="H32" s="37">
        <f>[30]Outcome!Q542</f>
        <v>568</v>
      </c>
      <c r="I32" s="38" t="s">
        <v>12</v>
      </c>
      <c r="J32" s="39">
        <f>IF(H32&gt;C32,0,C32-H32)</f>
        <v>0</v>
      </c>
      <c r="K32" s="40" t="s">
        <v>12</v>
      </c>
      <c r="L32" s="41">
        <f>J32/E$7*100%</f>
        <v>0</v>
      </c>
      <c r="M32" s="42">
        <f t="shared" si="1"/>
        <v>0</v>
      </c>
      <c r="N32" s="33"/>
    </row>
    <row r="33" spans="1:14" s="34" customFormat="1" ht="30.75" customHeight="1" thickBot="1" x14ac:dyDescent="0.3">
      <c r="A33" s="192"/>
      <c r="B33" s="21" t="s">
        <v>54</v>
      </c>
      <c r="C33" s="93">
        <f>[30]NUMERIK!K61</f>
        <v>475</v>
      </c>
      <c r="D33" s="94" t="s">
        <v>12</v>
      </c>
      <c r="E33" s="89">
        <f>C33/E$7*100%</f>
        <v>1</v>
      </c>
      <c r="F33" s="25">
        <f t="shared" si="0"/>
        <v>5</v>
      </c>
      <c r="G33" s="36" t="str">
        <f>[30]Outcome!Q586</f>
        <v xml:space="preserve">Bak sampah 3R RT002-RW001, Gerobak Sampah Motor RT001-RW001, Gerobak Sampah Motor RT002-RW001, Gerobak Sampah Motor RT004-RW001, Gerobak Sampah Motor RT005-RW001, Gerobak Sampah Motor RT006-RW001, Gerobak Sampah Motor RT007-RW001, , , , , , , , , , , , , , , , , , , , , , , , , , , , , , , , , , , , , , </v>
      </c>
      <c r="H33" s="37">
        <f>[30]Outcome!Q587</f>
        <v>568</v>
      </c>
      <c r="I33" s="38" t="s">
        <v>12</v>
      </c>
      <c r="J33" s="39">
        <f>IF(H33&gt;C33,0,C33-H33)</f>
        <v>0</v>
      </c>
      <c r="K33" s="40" t="s">
        <v>12</v>
      </c>
      <c r="L33" s="41">
        <f>J33/E$7*100%</f>
        <v>0</v>
      </c>
      <c r="M33" s="42">
        <f t="shared" si="1"/>
        <v>0</v>
      </c>
      <c r="N33" s="33"/>
    </row>
    <row r="34" spans="1:14" s="88" customFormat="1" ht="30" customHeight="1" thickBot="1" x14ac:dyDescent="0.3">
      <c r="A34" s="80" t="s">
        <v>55</v>
      </c>
      <c r="B34" s="81"/>
      <c r="C34" s="55"/>
      <c r="D34" s="55"/>
      <c r="E34" s="82">
        <f>IF(SUM(F31:F33)&gt;0,(SUMIF(F31:F33,"&gt;0",E31:E33)/3),0)</f>
        <v>0.95789473684210524</v>
      </c>
      <c r="F34" s="83"/>
      <c r="G34" s="91"/>
      <c r="H34" s="92"/>
      <c r="I34" s="92"/>
      <c r="J34" s="84"/>
      <c r="K34" s="85"/>
      <c r="L34" s="82">
        <f>IF(SUM(M31:M33)&gt;0,(SUMIF(M31:M33,"&gt;0",L31:L33)/3),0)</f>
        <v>0</v>
      </c>
      <c r="M34" s="86"/>
      <c r="N34" s="87"/>
    </row>
    <row r="35" spans="1:14" s="34" customFormat="1" ht="24.95" customHeight="1" x14ac:dyDescent="0.25">
      <c r="A35" s="213" t="s">
        <v>56</v>
      </c>
      <c r="B35" s="95" t="s">
        <v>57</v>
      </c>
      <c r="C35" s="93">
        <f>[30]NUMERIK!K64</f>
        <v>106</v>
      </c>
      <c r="D35" s="94" t="s">
        <v>8</v>
      </c>
      <c r="E35" s="79">
        <f>C35/E$5*100%</f>
        <v>0.26044226044226043</v>
      </c>
      <c r="F35" s="25">
        <f t="shared" si="0"/>
        <v>1</v>
      </c>
      <c r="G35" s="36" t="str">
        <f>[30]Outcome!Q631</f>
        <v xml:space="preserve">, , , , , , , , , , , , , , , , , , , </v>
      </c>
      <c r="H35" s="27">
        <f>[30]Outcome!Q632</f>
        <v>0</v>
      </c>
      <c r="I35" s="38" t="s">
        <v>8</v>
      </c>
      <c r="J35" s="39">
        <f>IF(H35&gt;C35,0,C35-H35)</f>
        <v>106</v>
      </c>
      <c r="K35" s="40" t="s">
        <v>8</v>
      </c>
      <c r="L35" s="41">
        <f>J35/E$5*100%</f>
        <v>0.26044226044226043</v>
      </c>
      <c r="M35" s="42">
        <f t="shared" si="1"/>
        <v>1</v>
      </c>
      <c r="N35" s="33"/>
    </row>
    <row r="36" spans="1:14" s="34" customFormat="1" ht="24.95" customHeight="1" thickBot="1" x14ac:dyDescent="0.3">
      <c r="A36" s="213"/>
      <c r="B36" s="95" t="s">
        <v>58</v>
      </c>
      <c r="C36" s="96">
        <f>[30]NUMERIK!K66</f>
        <v>407</v>
      </c>
      <c r="D36" s="94" t="s">
        <v>8</v>
      </c>
      <c r="E36" s="79">
        <f>C36/E$5*100%</f>
        <v>1</v>
      </c>
      <c r="F36" s="25">
        <f t="shared" si="0"/>
        <v>5</v>
      </c>
      <c r="G36" s="36" t="str">
        <f>[30]Outcome!Q651</f>
        <v xml:space="preserve">Alat Pemadam Api Ringan (APAR) RT002-RW001, Alat Pemadam Api Ringan (APAR) RT004-RW001, , , , , , , , , , , , , , , , , , </v>
      </c>
      <c r="H36" s="37">
        <f>[30]Outcome!Q652</f>
        <v>158</v>
      </c>
      <c r="I36" s="97" t="s">
        <v>8</v>
      </c>
      <c r="J36" s="98">
        <f>IF(H36&gt;C36,0,C36-H36)</f>
        <v>249</v>
      </c>
      <c r="K36" s="99" t="s">
        <v>8</v>
      </c>
      <c r="L36" s="100">
        <f>J36/E$5*100%</f>
        <v>0.6117936117936118</v>
      </c>
      <c r="M36" s="51">
        <f t="shared" si="1"/>
        <v>3</v>
      </c>
      <c r="N36" s="33"/>
    </row>
    <row r="37" spans="1:14" s="77" customFormat="1" ht="30" customHeight="1" thickBot="1" x14ac:dyDescent="0.3">
      <c r="A37" s="80" t="s">
        <v>59</v>
      </c>
      <c r="B37" s="101"/>
      <c r="C37" s="102"/>
      <c r="D37" s="102"/>
      <c r="E37" s="82">
        <f>IF(SUM(F35:F36)&gt;0,(SUMIF(F35:F36,"&gt;0",E35:E36)/2),0)</f>
        <v>0.63022113022113024</v>
      </c>
      <c r="F37" s="103"/>
      <c r="G37" s="104"/>
      <c r="H37" s="105"/>
      <c r="I37" s="105"/>
      <c r="J37" s="106"/>
      <c r="K37" s="107"/>
      <c r="L37" s="82">
        <f>IF(SUM(M35:M36)&gt;0,(SUMIF(M35:M36,"&gt;0",L35:L36)/2),0)</f>
        <v>0.43611793611793614</v>
      </c>
      <c r="M37" s="108"/>
      <c r="N37" s="109"/>
    </row>
    <row r="38" spans="1:14" ht="15" customHeight="1" x14ac:dyDescent="0.25">
      <c r="A38" s="110"/>
      <c r="B38" s="111" t="s">
        <v>60</v>
      </c>
      <c r="D38" s="218" t="s">
        <v>61</v>
      </c>
      <c r="E38" s="219"/>
      <c r="F38" s="222">
        <f>SUM(F12:F36)</f>
        <v>33</v>
      </c>
      <c r="G38" s="112"/>
      <c r="H38" s="112"/>
      <c r="I38" s="112"/>
      <c r="J38" s="112"/>
      <c r="K38" s="238" t="s">
        <v>61</v>
      </c>
      <c r="L38" s="239"/>
      <c r="M38" s="224">
        <f>SUM(M12:M36)</f>
        <v>10</v>
      </c>
    </row>
    <row r="39" spans="1:14" ht="15" customHeight="1" x14ac:dyDescent="0.25">
      <c r="A39" s="110"/>
      <c r="B39" s="113" t="s">
        <v>62</v>
      </c>
      <c r="D39" s="220"/>
      <c r="E39" s="221"/>
      <c r="F39" s="223"/>
      <c r="G39" s="114"/>
      <c r="H39" s="114"/>
      <c r="I39" s="114"/>
      <c r="J39" s="114"/>
      <c r="K39" s="240"/>
      <c r="L39" s="241"/>
      <c r="M39" s="225"/>
    </row>
    <row r="40" spans="1:14" ht="15" customHeight="1" x14ac:dyDescent="0.25">
      <c r="A40" s="110"/>
      <c r="B40" s="115" t="s">
        <v>63</v>
      </c>
      <c r="D40" s="226" t="s">
        <v>64</v>
      </c>
      <c r="E40" s="227"/>
      <c r="F40" s="230" t="str">
        <f>IF(F38="N/A","TIDAK KUMUH",IF(F38&gt;=71,"KUMUH BERAT",IF(AND(F38&lt;=70,F38&gt;=45),"KUMUH SEDANG",IF(AND(F38&lt;=44,F38&gt;=19),"KUMUH RINGAN","TIDAK KUMUH"))))</f>
        <v>KUMUH RINGAN</v>
      </c>
      <c r="G40" s="116"/>
      <c r="H40" s="116"/>
      <c r="I40" s="116"/>
      <c r="J40" s="116"/>
      <c r="K40" s="232" t="s">
        <v>64</v>
      </c>
      <c r="L40" s="233"/>
      <c r="M40" s="236" t="str">
        <f>IF(M38="N/A","TIDAK KUMUH",IF(M38&gt;=71,"KUMUH BERAT",IF(AND(M38&lt;=70,M38&gt;=45),"KUMUH SEDANG",IF(AND(M38&lt;=44,M38&gt;=19),"KUMUH RINGAN","TIDAK KUMUH"))))</f>
        <v>TIDAK KUMUH</v>
      </c>
    </row>
    <row r="41" spans="1:14" ht="15" customHeight="1" thickBot="1" x14ac:dyDescent="0.3">
      <c r="A41" s="110"/>
      <c r="B41" s="117" t="s">
        <v>65</v>
      </c>
      <c r="D41" s="228"/>
      <c r="E41" s="229"/>
      <c r="F41" s="231" t="str">
        <f>IF(E41&gt;71,"KB",IF(E41&gt;=47,"KS","KR"))</f>
        <v>KR</v>
      </c>
      <c r="G41" s="116"/>
      <c r="H41" s="116"/>
      <c r="I41" s="116"/>
      <c r="J41" s="116"/>
      <c r="K41" s="234"/>
      <c r="L41" s="235"/>
      <c r="M41" s="237" t="str">
        <f>IF(L41&gt;71,"KB",IF(L41&gt;=47,"KS","KR"))</f>
        <v>KR</v>
      </c>
    </row>
    <row r="42" spans="1:14" ht="21" customHeight="1" x14ac:dyDescent="0.25">
      <c r="B42" s="118" t="s">
        <v>66</v>
      </c>
      <c r="C42" s="119"/>
      <c r="D42" s="120"/>
      <c r="E42" s="121" t="s">
        <v>67</v>
      </c>
      <c r="F42" s="122">
        <f>AVERAGE(E15,E18,E21,E27,E30,E34,E37)</f>
        <v>0.36828630396531814</v>
      </c>
      <c r="J42" s="123"/>
      <c r="K42" s="124"/>
      <c r="L42" s="125" t="s">
        <v>67</v>
      </c>
      <c r="M42" s="126">
        <f>AVERAGE(L15,L18,L21,L27,L30,L34,L37)</f>
        <v>0.15377753221451013</v>
      </c>
    </row>
    <row r="43" spans="1:14" ht="21" customHeight="1" x14ac:dyDescent="0.25">
      <c r="B43" s="127"/>
      <c r="C43" s="119"/>
      <c r="D43" s="120"/>
      <c r="E43" s="121" t="s">
        <v>68</v>
      </c>
      <c r="F43" s="122">
        <v>0</v>
      </c>
      <c r="J43" s="123"/>
      <c r="K43" s="124"/>
      <c r="L43" s="125" t="s">
        <v>68</v>
      </c>
      <c r="M43" s="126">
        <f>(F42-M42)/F42</f>
        <v>0.58245112414228828</v>
      </c>
      <c r="N43"/>
    </row>
    <row r="44" spans="1:14" x14ac:dyDescent="0.25">
      <c r="M44" s="128"/>
    </row>
    <row r="55" spans="12:12" x14ac:dyDescent="0.25">
      <c r="L55" s="129"/>
    </row>
  </sheetData>
  <mergeCells count="23">
    <mergeCell ref="A22:A26"/>
    <mergeCell ref="A1:F1"/>
    <mergeCell ref="A2:B2"/>
    <mergeCell ref="A9:A11"/>
    <mergeCell ref="B9:B11"/>
    <mergeCell ref="C9:F10"/>
    <mergeCell ref="J9:M10"/>
    <mergeCell ref="G10:I10"/>
    <mergeCell ref="A12:A14"/>
    <mergeCell ref="A16:A17"/>
    <mergeCell ref="A19:A20"/>
    <mergeCell ref="G9:I9"/>
    <mergeCell ref="A28:A29"/>
    <mergeCell ref="A31:A33"/>
    <mergeCell ref="A35:A36"/>
    <mergeCell ref="D38:E39"/>
    <mergeCell ref="F38:F39"/>
    <mergeCell ref="M38:M39"/>
    <mergeCell ref="D40:E41"/>
    <mergeCell ref="F40:F41"/>
    <mergeCell ref="K40:L41"/>
    <mergeCell ref="M40:M41"/>
    <mergeCell ref="K38:L39"/>
  </mergeCells>
  <conditionalFormatting sqref="F40:J41">
    <cfRule type="expression" dxfId="62" priority="6">
      <formula>F40="KUMUH SEDANG"</formula>
    </cfRule>
    <cfRule type="expression" dxfId="61" priority="7">
      <formula>F40="TIDAK KUMUH"</formula>
    </cfRule>
    <cfRule type="expression" dxfId="60" priority="8">
      <formula>F40="KUMUH BERAT"</formula>
    </cfRule>
    <cfRule type="expression" dxfId="59" priority="9">
      <formula>F40="KUMUH RINGAN"</formula>
    </cfRule>
  </conditionalFormatting>
  <conditionalFormatting sqref="G12:G14 G16:G17 G19:G20 G22:G26 G28:G29 G31:G33 G35:G36">
    <cfRule type="cellIs" dxfId="58" priority="1" operator="equal">
      <formula>", , , , , , "</formula>
    </cfRule>
  </conditionalFormatting>
  <conditionalFormatting sqref="M40:M41">
    <cfRule type="expression" dxfId="57" priority="2">
      <formula>M40="KUMUH SEDANG"</formula>
    </cfRule>
    <cfRule type="expression" dxfId="56" priority="3">
      <formula>M40="TIDAK KUMUH"</formula>
    </cfRule>
    <cfRule type="expression" dxfId="55" priority="4">
      <formula>M40="KUMUH BERAT"</formula>
    </cfRule>
    <cfRule type="expression" dxfId="54" priority="5">
      <formula>M40="KUMUH RINGAN"</formula>
    </cfRule>
  </conditionalFormatting>
  <pageMargins left="0.7" right="0.2" top="0.75" bottom="0.75" header="0.3" footer="0.3"/>
  <pageSetup paperSize="9" scale="70" orientation="portrait" horizontalDpi="4294967293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205D5-AD5F-4846-8FFC-120D9B882996}">
  <sheetPr>
    <tabColor rgb="FF0070C0"/>
  </sheetPr>
  <dimension ref="A1:O55"/>
  <sheetViews>
    <sheetView showGridLines="0" zoomScale="80" zoomScaleNormal="80" zoomScaleSheetLayoutView="75" zoomScalePageLayoutView="90" workbookViewId="0">
      <selection activeCell="F12" sqref="F12:F37"/>
    </sheetView>
  </sheetViews>
  <sheetFormatPr defaultColWidth="8.85546875" defaultRowHeight="15" x14ac:dyDescent="0.25"/>
  <cols>
    <col min="1" max="1" width="24" customWidth="1"/>
    <col min="2" max="2" width="45.85546875" customWidth="1"/>
    <col min="3" max="3" width="12.42578125" customWidth="1"/>
    <col min="4" max="4" width="9.140625" customWidth="1"/>
    <col min="5" max="5" width="12.140625" customWidth="1"/>
    <col min="6" max="6" width="9.140625" customWidth="1"/>
    <col min="7" max="7" width="36.42578125" customWidth="1"/>
    <col min="8" max="9" width="9.140625" customWidth="1"/>
    <col min="10" max="10" width="10" bestFit="1" customWidth="1"/>
    <col min="11" max="12" width="9.140625" customWidth="1"/>
    <col min="13" max="13" width="11.28515625" customWidth="1"/>
    <col min="14" max="14" width="2.28515625" style="3" customWidth="1"/>
  </cols>
  <sheetData>
    <row r="1" spans="1:14" ht="18.75" customHeight="1" x14ac:dyDescent="0.3">
      <c r="A1" s="148" t="s">
        <v>0</v>
      </c>
      <c r="B1" s="148"/>
      <c r="C1" s="148"/>
      <c r="D1" s="148"/>
      <c r="E1" s="148"/>
      <c r="F1" s="148"/>
      <c r="G1" s="1"/>
      <c r="H1" s="1"/>
      <c r="I1" s="1"/>
      <c r="J1" s="1"/>
      <c r="K1" s="1"/>
      <c r="L1" s="1"/>
      <c r="M1" s="2"/>
    </row>
    <row r="2" spans="1:14" ht="3.75" customHeight="1" x14ac:dyDescent="0.25">
      <c r="A2" s="149"/>
      <c r="B2" s="149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4" ht="15.75" customHeight="1" x14ac:dyDescent="0.25">
      <c r="A3" s="6" t="s">
        <v>1</v>
      </c>
      <c r="B3" s="6" t="str">
        <f>": "&amp;[31]NUMERIK!E14</f>
        <v>: JAWA TIMUR</v>
      </c>
      <c r="C3" s="7" t="s">
        <v>2</v>
      </c>
      <c r="D3" s="8"/>
      <c r="E3" s="9">
        <f>[31]NUMERIK!K6</f>
        <v>15.749999999999996</v>
      </c>
      <c r="F3" t="s">
        <v>3</v>
      </c>
    </row>
    <row r="4" spans="1:14" ht="15.75" customHeight="1" x14ac:dyDescent="0.25">
      <c r="A4" s="6" t="s">
        <v>4</v>
      </c>
      <c r="B4" s="6" t="str">
        <f>": "&amp;[31]NUMERIK!E12</f>
        <v>: KOTA MADIUN</v>
      </c>
      <c r="C4" s="7" t="s">
        <v>5</v>
      </c>
      <c r="D4" s="8"/>
      <c r="E4" s="9">
        <f>[31]NUMERIK!K8</f>
        <v>15.749999999999996</v>
      </c>
      <c r="F4" t="s">
        <v>3</v>
      </c>
    </row>
    <row r="5" spans="1:14" ht="15.75" customHeight="1" x14ac:dyDescent="0.25">
      <c r="A5" s="10" t="s">
        <v>6</v>
      </c>
      <c r="B5" s="10" t="str">
        <f>": "&amp;[31]NUMERIK!E10</f>
        <v>: KARTOHARJO</v>
      </c>
      <c r="C5" s="7" t="s">
        <v>7</v>
      </c>
      <c r="D5" s="8"/>
      <c r="E5" s="11">
        <f>[31]NUMERIK!K10</f>
        <v>456</v>
      </c>
      <c r="F5" t="s">
        <v>8</v>
      </c>
    </row>
    <row r="6" spans="1:14" ht="15.75" customHeight="1" x14ac:dyDescent="0.25">
      <c r="A6" s="10" t="s">
        <v>9</v>
      </c>
      <c r="B6" s="10" t="str">
        <f>": "&amp;[31]NUMERIK!E6</f>
        <v>: TAWANGREJO</v>
      </c>
      <c r="C6" s="7" t="s">
        <v>10</v>
      </c>
      <c r="D6" s="8"/>
      <c r="E6" s="12">
        <f>[31]NUMERIK!K12</f>
        <v>1684</v>
      </c>
      <c r="F6" t="s">
        <v>11</v>
      </c>
    </row>
    <row r="7" spans="1:14" ht="15.75" customHeight="1" x14ac:dyDescent="0.25">
      <c r="A7" s="4"/>
      <c r="B7" s="13"/>
      <c r="C7" s="7" t="s">
        <v>7</v>
      </c>
      <c r="D7" s="5"/>
      <c r="E7" s="12">
        <f>[31]NUMERIK!K14</f>
        <v>596</v>
      </c>
      <c r="F7" t="s">
        <v>12</v>
      </c>
    </row>
    <row r="8" spans="1:14" ht="5.25" customHeight="1" thickBot="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4" ht="12" customHeight="1" x14ac:dyDescent="0.25">
      <c r="A9" s="150" t="s">
        <v>13</v>
      </c>
      <c r="B9" s="152" t="s">
        <v>14</v>
      </c>
      <c r="C9" s="154" t="s">
        <v>15</v>
      </c>
      <c r="D9" s="155"/>
      <c r="E9" s="155"/>
      <c r="F9" s="156"/>
      <c r="G9" s="160" t="s">
        <v>16</v>
      </c>
      <c r="H9" s="161"/>
      <c r="I9" s="161"/>
      <c r="J9" s="205" t="s">
        <v>17</v>
      </c>
      <c r="K9" s="206"/>
      <c r="L9" s="206"/>
      <c r="M9" s="207"/>
    </row>
    <row r="10" spans="1:14" ht="9.75" customHeight="1" x14ac:dyDescent="0.25">
      <c r="A10" s="151"/>
      <c r="B10" s="153"/>
      <c r="C10" s="157"/>
      <c r="D10" s="158"/>
      <c r="E10" s="158"/>
      <c r="F10" s="159"/>
      <c r="G10" s="144" t="s">
        <v>18</v>
      </c>
      <c r="H10" s="145"/>
      <c r="I10" s="145"/>
      <c r="J10" s="208"/>
      <c r="K10" s="209"/>
      <c r="L10" s="209"/>
      <c r="M10" s="210"/>
    </row>
    <row r="11" spans="1:14" ht="15.75" thickBot="1" x14ac:dyDescent="0.3">
      <c r="A11" s="151"/>
      <c r="B11" s="153"/>
      <c r="C11" s="14" t="s">
        <v>19</v>
      </c>
      <c r="D11" s="14" t="s">
        <v>20</v>
      </c>
      <c r="E11" s="14" t="s">
        <v>21</v>
      </c>
      <c r="F11" s="15" t="s">
        <v>22</v>
      </c>
      <c r="G11" s="16" t="s">
        <v>23</v>
      </c>
      <c r="H11" s="17" t="s">
        <v>24</v>
      </c>
      <c r="I11" s="17" t="s">
        <v>20</v>
      </c>
      <c r="J11" s="18" t="s">
        <v>19</v>
      </c>
      <c r="K11" s="19" t="s">
        <v>20</v>
      </c>
      <c r="L11" s="19" t="s">
        <v>25</v>
      </c>
      <c r="M11" s="20" t="s">
        <v>22</v>
      </c>
    </row>
    <row r="12" spans="1:14" s="34" customFormat="1" ht="24.95" customHeight="1" x14ac:dyDescent="0.25">
      <c r="A12" s="136" t="s">
        <v>26</v>
      </c>
      <c r="B12" s="21" t="s">
        <v>27</v>
      </c>
      <c r="C12" s="22">
        <f>[31]NUMERIK!K18</f>
        <v>154</v>
      </c>
      <c r="D12" s="23" t="s">
        <v>8</v>
      </c>
      <c r="E12" s="24">
        <f>C12/E5*100%</f>
        <v>0.33771929824561403</v>
      </c>
      <c r="F12" s="25">
        <f t="shared" ref="F12:F36" si="0">IF(AND(E12&gt;=24.995%,E12&lt;50.995%),1,IF(AND(E12&gt;=50.995%,E12&lt;75.995%),3,IF(E12&gt;=75.995%,5,0)))</f>
        <v>1</v>
      </c>
      <c r="G12" s="26" t="str">
        <f>[31]Outcome!Q6</f>
        <v xml:space="preserve">, , , , , , , , , , , , , , , , , , , , , , , , , , , , , , , , , , , , , , , , , , , , </v>
      </c>
      <c r="H12" s="27">
        <f>[31]Outcome!M6</f>
        <v>0</v>
      </c>
      <c r="I12" s="28" t="s">
        <v>8</v>
      </c>
      <c r="J12" s="29">
        <f>IF(H12&gt;C12,0,C12-H12)</f>
        <v>154</v>
      </c>
      <c r="K12" s="30" t="s">
        <v>8</v>
      </c>
      <c r="L12" s="31">
        <f>J12/E$5*100%</f>
        <v>0.33771929824561403</v>
      </c>
      <c r="M12" s="32">
        <f t="shared" ref="M12:M36" si="1">IF(AND(L12&gt;=24.995%,L12&lt;50.995%),1,IF(AND(L12&gt;=50.995%,L12&lt;75.995%),3,IF(L12&gt;=75.995%,5,0)))</f>
        <v>1</v>
      </c>
      <c r="N12" s="33"/>
    </row>
    <row r="13" spans="1:14" s="34" customFormat="1" ht="24.95" customHeight="1" x14ac:dyDescent="0.25">
      <c r="A13" s="136"/>
      <c r="B13" s="21" t="s">
        <v>28</v>
      </c>
      <c r="C13" s="35">
        <f>[31]NUMERIK!K20</f>
        <v>0</v>
      </c>
      <c r="D13" s="23" t="s">
        <v>3</v>
      </c>
      <c r="E13" s="24">
        <f>C13/E4*100%</f>
        <v>0</v>
      </c>
      <c r="F13" s="25">
        <f t="shared" si="0"/>
        <v>0</v>
      </c>
      <c r="G13" s="36" t="str">
        <f>[31]Outcome!Q51</f>
        <v xml:space="preserve">, , , , , , , , , , , , , , , , , , , </v>
      </c>
      <c r="H13" s="37">
        <f>[31]Outcome!M51</f>
        <v>0</v>
      </c>
      <c r="I13" s="38" t="s">
        <v>3</v>
      </c>
      <c r="J13" s="39">
        <f>IF(H13&gt;C13,0,C13-H13)</f>
        <v>0</v>
      </c>
      <c r="K13" s="40" t="s">
        <v>3</v>
      </c>
      <c r="L13" s="41">
        <f>J13/E$4*100%</f>
        <v>0</v>
      </c>
      <c r="M13" s="42">
        <f t="shared" si="1"/>
        <v>0</v>
      </c>
      <c r="N13" s="33"/>
    </row>
    <row r="14" spans="1:14" s="34" customFormat="1" ht="24.95" customHeight="1" thickBot="1" x14ac:dyDescent="0.3">
      <c r="A14" s="146"/>
      <c r="B14" s="43" t="s">
        <v>29</v>
      </c>
      <c r="C14" s="35">
        <f>[31]NUMERIK!K22</f>
        <v>81</v>
      </c>
      <c r="D14" s="23" t="s">
        <v>8</v>
      </c>
      <c r="E14" s="24">
        <f>C14/E5*100%</f>
        <v>0.17763157894736842</v>
      </c>
      <c r="F14" s="44">
        <f t="shared" si="0"/>
        <v>0</v>
      </c>
      <c r="G14" s="45" t="str">
        <f>[31]Outcome!Q71</f>
        <v xml:space="preserve">RTLH RT007-RW003, , , , , , , , , , , , , , , , , , , , , , , , , , , , , , , , , , , , , , , , , , , , </v>
      </c>
      <c r="H14" s="46">
        <f>[31]Outcome!M71</f>
        <v>1</v>
      </c>
      <c r="I14" s="47" t="s">
        <v>8</v>
      </c>
      <c r="J14" s="48">
        <f>IF(H14&gt;C14,0,C14-H14)</f>
        <v>80</v>
      </c>
      <c r="K14" s="49" t="s">
        <v>8</v>
      </c>
      <c r="L14" s="50">
        <f>J14/E$5*100%</f>
        <v>0.17543859649122806</v>
      </c>
      <c r="M14" s="51">
        <f t="shared" si="1"/>
        <v>0</v>
      </c>
      <c r="N14" s="33"/>
    </row>
    <row r="15" spans="1:14" s="34" customFormat="1" ht="30" customHeight="1" thickBot="1" x14ac:dyDescent="0.3">
      <c r="A15" s="52" t="s">
        <v>30</v>
      </c>
      <c r="B15" s="53"/>
      <c r="C15" s="54"/>
      <c r="D15" s="55"/>
      <c r="E15" s="56">
        <f>IF(SUM(F12:F14)&gt;0,(SUMIF(F12:F14,"&gt;0",E12:E14)/3),0)</f>
        <v>0.11257309941520467</v>
      </c>
      <c r="F15" s="57"/>
      <c r="G15" s="58"/>
      <c r="H15" s="59"/>
      <c r="I15" s="59"/>
      <c r="J15" s="60"/>
      <c r="K15" s="61"/>
      <c r="L15" s="56">
        <f>IF(SUM(M12:M14)&gt;0,(SUMIF(M12:M14,"&gt;0",L12:L14)/3),0)</f>
        <v>0.11257309941520467</v>
      </c>
      <c r="M15" s="62"/>
      <c r="N15" s="33"/>
    </row>
    <row r="16" spans="1:14" s="34" customFormat="1" ht="24.95" customHeight="1" x14ac:dyDescent="0.25">
      <c r="A16" s="147" t="s">
        <v>31</v>
      </c>
      <c r="B16" s="63" t="s">
        <v>32</v>
      </c>
      <c r="C16" s="64">
        <f>[31]NUMERIK!K25-[31]NUMERIK!K26</f>
        <v>450</v>
      </c>
      <c r="D16" s="65" t="s">
        <v>33</v>
      </c>
      <c r="E16" s="66">
        <f>C16/[31]NUMERIK!K$25*100%</f>
        <v>5.8723737439645048E-2</v>
      </c>
      <c r="F16" s="67">
        <f t="shared" si="0"/>
        <v>0</v>
      </c>
      <c r="G16" s="36" t="str">
        <f>[31]Outcome!Q116</f>
        <v xml:space="preserve">Jalan Aspal RT007-RW003, Jalan Aspal RT023-RW006, , , , , , , , , , , , , , , , , , </v>
      </c>
      <c r="H16" s="27">
        <f>[31]Outcome!M116</f>
        <v>225</v>
      </c>
      <c r="I16" s="68" t="s">
        <v>33</v>
      </c>
      <c r="J16" s="69">
        <f>IF(H16&gt;C16,0,C16-H16)</f>
        <v>225</v>
      </c>
      <c r="K16" s="70" t="s">
        <v>33</v>
      </c>
      <c r="L16" s="71">
        <f>J16/[31]NUMERIK!K$25*100%</f>
        <v>2.9361868719822524E-2</v>
      </c>
      <c r="M16" s="72">
        <f t="shared" si="1"/>
        <v>0</v>
      </c>
      <c r="N16" s="33"/>
    </row>
    <row r="17" spans="1:15" s="34" customFormat="1" ht="24.95" customHeight="1" thickBot="1" x14ac:dyDescent="0.3">
      <c r="A17" s="137"/>
      <c r="B17" s="21" t="s">
        <v>34</v>
      </c>
      <c r="C17" s="22">
        <f>[31]NUMERIK!K28</f>
        <v>1015</v>
      </c>
      <c r="D17" s="73" t="s">
        <v>33</v>
      </c>
      <c r="E17" s="24">
        <f>C17/[31]NUMERIK!K$25*100%</f>
        <v>0.13245465222497715</v>
      </c>
      <c r="F17" s="25">
        <f t="shared" si="0"/>
        <v>0</v>
      </c>
      <c r="G17" s="45" t="str">
        <f>[31]Outcome!Q136</f>
        <v xml:space="preserve">Jalan Paving Block RT017-RW005, Jalan Paving Block RT019-RW006, Jalan Paving Block RT002-RW001, Jalan Paving Block RT002-RW001, Jalan Paving Block RT024-RW004, Jalan Paving Block RT002-RW001, Jalan Paving Block RT024-RW004, , , , , , , , , , , , , , , , , , , , , , , , , , , , , , , , , , , , , , </v>
      </c>
      <c r="H17" s="37">
        <f>[31]Outcome!M136</f>
        <v>625.20000000000005</v>
      </c>
      <c r="I17" s="38" t="s">
        <v>33</v>
      </c>
      <c r="J17" s="39">
        <f>IF(H17&gt;C17,0,C17-H17)</f>
        <v>389.79999999999995</v>
      </c>
      <c r="K17" s="40" t="s">
        <v>33</v>
      </c>
      <c r="L17" s="41">
        <f>J17/[31]NUMERIK!K$25*100%</f>
        <v>5.0867806342163639E-2</v>
      </c>
      <c r="M17" s="42">
        <f t="shared" si="1"/>
        <v>0</v>
      </c>
      <c r="N17" s="33"/>
    </row>
    <row r="18" spans="1:15" s="34" customFormat="1" ht="30" customHeight="1" thickBot="1" x14ac:dyDescent="0.3">
      <c r="A18" s="52" t="s">
        <v>35</v>
      </c>
      <c r="B18" s="53"/>
      <c r="C18" s="54"/>
      <c r="D18" s="55"/>
      <c r="E18" s="56">
        <f>IF(SUM(F16:F17)&gt;0,(SUMIF(F16:F17,"&gt;0",E16:E17)/2),0)</f>
        <v>0</v>
      </c>
      <c r="F18" s="57"/>
      <c r="G18" s="58"/>
      <c r="H18" s="59"/>
      <c r="I18" s="59"/>
      <c r="J18" s="60"/>
      <c r="K18" s="61"/>
      <c r="L18" s="56">
        <f>IF(SUM(M16:M17)&gt;0,(SUMIF(M16:M17,"&gt;0",L16:L17)/2),0)</f>
        <v>0</v>
      </c>
      <c r="M18" s="62"/>
      <c r="N18" s="33"/>
    </row>
    <row r="19" spans="1:15" s="34" customFormat="1" ht="24.95" customHeight="1" x14ac:dyDescent="0.25">
      <c r="A19" s="136" t="s">
        <v>36</v>
      </c>
      <c r="B19" s="21" t="s">
        <v>37</v>
      </c>
      <c r="C19" s="22">
        <f>[31]NUMERIK!K31</f>
        <v>98.429450289270008</v>
      </c>
      <c r="D19" s="73" t="s">
        <v>12</v>
      </c>
      <c r="E19" s="74">
        <f>C19/E$7*100%</f>
        <v>0.16515008437796982</v>
      </c>
      <c r="F19" s="25">
        <f t="shared" si="0"/>
        <v>0</v>
      </c>
      <c r="G19" s="36" t="str">
        <f>[31]Outcome!Q181</f>
        <v xml:space="preserve">, , , , , , , , , , , , , , , , , , , </v>
      </c>
      <c r="H19" s="27">
        <f>[31]Outcome!Q182</f>
        <v>0</v>
      </c>
      <c r="I19" s="38" t="s">
        <v>12</v>
      </c>
      <c r="J19" s="39">
        <f>IF(H19&gt;C19,0,C19-H19)</f>
        <v>98.429450289270008</v>
      </c>
      <c r="K19" s="75" t="s">
        <v>12</v>
      </c>
      <c r="L19" s="76">
        <f>J19/E$7*100%</f>
        <v>0.16515008437796982</v>
      </c>
      <c r="M19" s="42">
        <f t="shared" si="1"/>
        <v>0</v>
      </c>
      <c r="N19" s="33"/>
    </row>
    <row r="20" spans="1:15" s="34" customFormat="1" ht="24.95" customHeight="1" thickBot="1" x14ac:dyDescent="0.3">
      <c r="A20" s="136"/>
      <c r="B20" s="21" t="s">
        <v>38</v>
      </c>
      <c r="C20" s="22">
        <f>[31]NUMERIK!K33</f>
        <v>0</v>
      </c>
      <c r="D20" s="73" t="s">
        <v>12</v>
      </c>
      <c r="E20" s="74">
        <f>C20/E$7*100%</f>
        <v>0</v>
      </c>
      <c r="F20" s="25">
        <f t="shared" si="0"/>
        <v>0</v>
      </c>
      <c r="G20" s="45" t="str">
        <f>[31]Outcome!Q201</f>
        <v xml:space="preserve">, , , , , , , , , , , , , , , , , , , , , , , , , , , , , , , , , , , , , , , , , , , , </v>
      </c>
      <c r="H20" s="37">
        <f>[31]Outcome!Q202</f>
        <v>0</v>
      </c>
      <c r="I20" s="38" t="s">
        <v>12</v>
      </c>
      <c r="J20" s="39">
        <f>IF(H20&gt;C20,0,C20-H20)</f>
        <v>0</v>
      </c>
      <c r="K20" s="75" t="s">
        <v>12</v>
      </c>
      <c r="L20" s="76">
        <f>J20/E$7*100%</f>
        <v>0</v>
      </c>
      <c r="M20" s="42">
        <f t="shared" si="1"/>
        <v>0</v>
      </c>
      <c r="N20" s="33"/>
    </row>
    <row r="21" spans="1:15" s="77" customFormat="1" ht="30" customHeight="1" thickBot="1" x14ac:dyDescent="0.3">
      <c r="A21" s="52" t="s">
        <v>39</v>
      </c>
      <c r="B21" s="53"/>
      <c r="C21" s="54"/>
      <c r="D21" s="55"/>
      <c r="E21" s="56">
        <f>IF(SUM(F19:F20)&gt;0,(SUMIF(F19:F20,"&gt;0",E19:E20)/2),0)</f>
        <v>0</v>
      </c>
      <c r="F21" s="57"/>
      <c r="G21" s="58"/>
      <c r="H21" s="59"/>
      <c r="I21" s="59"/>
      <c r="J21" s="60"/>
      <c r="K21" s="61"/>
      <c r="L21" s="56">
        <f>IF(SUM(M19:M20)&gt;0,(SUMIF(M19:M20,"&gt;0",L19:L20)/2),0)</f>
        <v>0</v>
      </c>
      <c r="M21" s="62"/>
      <c r="N21" s="33"/>
      <c r="O21" s="34"/>
    </row>
    <row r="22" spans="1:15" s="34" customFormat="1" ht="20.100000000000001" customHeight="1" x14ac:dyDescent="0.25">
      <c r="A22" s="137" t="s">
        <v>40</v>
      </c>
      <c r="B22" s="78" t="s">
        <v>41</v>
      </c>
      <c r="C22" s="22">
        <f>[31]NUMERIK!K36</f>
        <v>2.0133999999999999</v>
      </c>
      <c r="D22" s="73" t="s">
        <v>3</v>
      </c>
      <c r="E22" s="79">
        <f>C22/E$4*100%</f>
        <v>0.12783492063492066</v>
      </c>
      <c r="F22" s="25">
        <f t="shared" si="0"/>
        <v>0</v>
      </c>
      <c r="G22" s="36" t="str">
        <f>[31]Outcome!Q246</f>
        <v xml:space="preserve">, , , , , , , , , , , , , , , , , , , </v>
      </c>
      <c r="H22" s="27">
        <f>[31]Outcome!M246</f>
        <v>0</v>
      </c>
      <c r="I22" s="38" t="s">
        <v>3</v>
      </c>
      <c r="J22" s="39">
        <f>IF(H22&gt;C22,0,C22-H22)</f>
        <v>2.0133999999999999</v>
      </c>
      <c r="K22" s="40" t="s">
        <v>3</v>
      </c>
      <c r="L22" s="41">
        <f>J22/E$4*100%</f>
        <v>0.12783492063492066</v>
      </c>
      <c r="M22" s="42">
        <f t="shared" si="1"/>
        <v>0</v>
      </c>
      <c r="N22" s="33"/>
    </row>
    <row r="23" spans="1:15" s="34" customFormat="1" ht="25.5" customHeight="1" x14ac:dyDescent="0.25">
      <c r="A23" s="137"/>
      <c r="B23" s="21" t="s">
        <v>42</v>
      </c>
      <c r="C23" s="22">
        <f>([31]NUMERIK!K38-[31]NUMERIK!K40)</f>
        <v>1250</v>
      </c>
      <c r="D23" s="73" t="s">
        <v>33</v>
      </c>
      <c r="E23" s="79">
        <f>C23/[31]NUMERIK!K$38*100%</f>
        <v>0.1584685598377282</v>
      </c>
      <c r="F23" s="25">
        <f t="shared" si="0"/>
        <v>0</v>
      </c>
      <c r="G23" s="36" t="str">
        <f>[31]Outcome!Q266</f>
        <v xml:space="preserve">Drainase Lingkungan RT002-RW001, Drainase Lingkungan RT017-RW005, , , , , , , , , , , , , , , , , , , , , , , , , , , , , , , , , , , , , , , , , , , </v>
      </c>
      <c r="H23" s="37">
        <f>[31]Outcome!M266</f>
        <v>97</v>
      </c>
      <c r="I23" s="38" t="s">
        <v>33</v>
      </c>
      <c r="J23" s="39">
        <f>IF(H23&gt;C23,0,C23-H23)</f>
        <v>1153</v>
      </c>
      <c r="K23" s="40" t="s">
        <v>33</v>
      </c>
      <c r="L23" s="41">
        <f>J23/[31]NUMERIK!K$38*100%</f>
        <v>0.14617139959432049</v>
      </c>
      <c r="M23" s="42">
        <f t="shared" si="1"/>
        <v>0</v>
      </c>
      <c r="N23" s="33"/>
    </row>
    <row r="24" spans="1:15" s="34" customFormat="1" ht="20.100000000000001" customHeight="1" x14ac:dyDescent="0.25">
      <c r="A24" s="137"/>
      <c r="B24" s="21" t="s">
        <v>43</v>
      </c>
      <c r="C24" s="22">
        <f>[31]NUMERIK!K42</f>
        <v>450</v>
      </c>
      <c r="D24" s="73" t="s">
        <v>33</v>
      </c>
      <c r="E24" s="79">
        <f>C24/[31]NUMERIK!K$38*100%</f>
        <v>5.7048681541582151E-2</v>
      </c>
      <c r="F24" s="25">
        <f t="shared" si="0"/>
        <v>0</v>
      </c>
      <c r="G24" s="36" t="str">
        <f>[31]Outcome!Q311</f>
        <v xml:space="preserve">, , , , , , , , , , , , , , , , , , , </v>
      </c>
      <c r="H24" s="37">
        <f>[31]Outcome!M311</f>
        <v>0</v>
      </c>
      <c r="I24" s="38" t="s">
        <v>33</v>
      </c>
      <c r="J24" s="39">
        <f>IF(H24&gt;C24,0,C24-H24)</f>
        <v>450</v>
      </c>
      <c r="K24" s="40" t="s">
        <v>33</v>
      </c>
      <c r="L24" s="41">
        <f>J24/[31]NUMERIK!K$38*100%</f>
        <v>5.7048681541582151E-2</v>
      </c>
      <c r="M24" s="42">
        <f t="shared" si="1"/>
        <v>0</v>
      </c>
      <c r="N24" s="33"/>
    </row>
    <row r="25" spans="1:15" s="34" customFormat="1" ht="20.100000000000001" customHeight="1" x14ac:dyDescent="0.25">
      <c r="A25" s="137"/>
      <c r="B25" s="21" t="s">
        <v>44</v>
      </c>
      <c r="C25" s="22">
        <f>[31]NUMERIK!K45</f>
        <v>4540</v>
      </c>
      <c r="D25" s="73" t="s">
        <v>33</v>
      </c>
      <c r="E25" s="79">
        <f>C25/[31]NUMERIK!K$38*100%</f>
        <v>0.57555780933062883</v>
      </c>
      <c r="F25" s="25">
        <f t="shared" si="0"/>
        <v>3</v>
      </c>
      <c r="G25" s="36" t="str">
        <f>[31]Outcome!Q331</f>
        <v xml:space="preserve">Normalisasi Saluran RT024-RW004, Normalisasi Saluran RT002-RW001, Normalisasi Saluran RT012-RW004, , , , , , , , , , , , , , , , , </v>
      </c>
      <c r="H25" s="37">
        <f>[31]Outcome!M331</f>
        <v>2050</v>
      </c>
      <c r="I25" s="38" t="s">
        <v>33</v>
      </c>
      <c r="J25" s="39">
        <f>IF(H25&gt;C25,0,C25-H25)</f>
        <v>2490</v>
      </c>
      <c r="K25" s="40" t="s">
        <v>33</v>
      </c>
      <c r="L25" s="41">
        <f>J25/[31]NUMERIK!K$38*100%</f>
        <v>0.31566937119675459</v>
      </c>
      <c r="M25" s="42">
        <f t="shared" si="1"/>
        <v>1</v>
      </c>
      <c r="N25" s="33"/>
    </row>
    <row r="26" spans="1:15" s="34" customFormat="1" ht="20.100000000000001" customHeight="1" thickBot="1" x14ac:dyDescent="0.3">
      <c r="A26" s="137"/>
      <c r="B26" s="78" t="s">
        <v>45</v>
      </c>
      <c r="C26" s="22">
        <f>[31]NUMERIK!K48</f>
        <v>1350</v>
      </c>
      <c r="D26" s="73" t="s">
        <v>33</v>
      </c>
      <c r="E26" s="79">
        <f>C26/[31]NUMERIK!K$38*100%</f>
        <v>0.17114604462474645</v>
      </c>
      <c r="F26" s="25">
        <f t="shared" si="0"/>
        <v>0</v>
      </c>
      <c r="G26" s="36" t="str">
        <f>[31]Outcome!Q351</f>
        <v xml:space="preserve">Drainase Lingkungan RT003-RW001, Drainase Lingkungan RT003-RW001, Drainase Lingkungan RT002-RW001, Drainase Lingkungan RT013-RW004, , , , , , , , , , , , , , , , , , , , , , , , , , , , , , , , , , , , , , , , , </v>
      </c>
      <c r="H26" s="37">
        <f>[31]Outcome!M351</f>
        <v>221</v>
      </c>
      <c r="I26" s="38" t="s">
        <v>33</v>
      </c>
      <c r="J26" s="39">
        <f>IF(H26&gt;C26,0,C26-H26)</f>
        <v>1129</v>
      </c>
      <c r="K26" s="40" t="s">
        <v>33</v>
      </c>
      <c r="L26" s="41">
        <f>J26/[31]NUMERIK!K$38*100%</f>
        <v>0.14312880324543611</v>
      </c>
      <c r="M26" s="42">
        <f t="shared" si="1"/>
        <v>0</v>
      </c>
      <c r="N26" s="33"/>
    </row>
    <row r="27" spans="1:15" s="88" customFormat="1" ht="30" customHeight="1" thickBot="1" x14ac:dyDescent="0.3">
      <c r="A27" s="80" t="s">
        <v>46</v>
      </c>
      <c r="B27" s="81"/>
      <c r="C27" s="55"/>
      <c r="D27" s="55"/>
      <c r="E27" s="82">
        <f>IF(SUM(F22:F26)&gt;0,(SUMIF(F22:F26,"&gt;0",E22:E26)/5),0)</f>
        <v>0.11511156186612577</v>
      </c>
      <c r="F27" s="83"/>
      <c r="G27" s="58"/>
      <c r="H27" s="59"/>
      <c r="I27" s="59"/>
      <c r="J27" s="84"/>
      <c r="K27" s="85"/>
      <c r="L27" s="82">
        <f>IF(SUM(M22:M26)&gt;0,(SUMIF(M22:M26,"&gt;0",L22:L26)/5),0)</f>
        <v>6.3133874239350921E-2</v>
      </c>
      <c r="M27" s="86"/>
      <c r="N27" s="87"/>
    </row>
    <row r="28" spans="1:15" s="34" customFormat="1" ht="27.75" customHeight="1" x14ac:dyDescent="0.25">
      <c r="A28" s="136" t="s">
        <v>47</v>
      </c>
      <c r="B28" s="21" t="s">
        <v>48</v>
      </c>
      <c r="C28" s="22">
        <f>[31]NUMERIK!K51</f>
        <v>13.533794162826426</v>
      </c>
      <c r="D28" s="73" t="s">
        <v>12</v>
      </c>
      <c r="E28" s="89">
        <f>C28/E$7*100%</f>
        <v>2.2707708326889977E-2</v>
      </c>
      <c r="F28" s="25">
        <f t="shared" si="0"/>
        <v>0</v>
      </c>
      <c r="G28" s="36" t="str">
        <f>[31]Outcome!Q396</f>
        <v xml:space="preserve">, , , , , , , , , , , , , , , , , , , , , , , , , , , , , , , , , , , , , , , , , , , , </v>
      </c>
      <c r="H28" s="37">
        <f>[31]Outcome!Q397</f>
        <v>0</v>
      </c>
      <c r="I28" s="38" t="s">
        <v>12</v>
      </c>
      <c r="J28" s="39">
        <f>IF(H28&gt;C28,0,C28-H28)</f>
        <v>13.533794162826426</v>
      </c>
      <c r="K28" s="40" t="s">
        <v>12</v>
      </c>
      <c r="L28" s="41">
        <f>J28/E$7*100%</f>
        <v>2.2707708326889977E-2</v>
      </c>
      <c r="M28" s="42">
        <f t="shared" si="1"/>
        <v>0</v>
      </c>
      <c r="N28" s="33"/>
    </row>
    <row r="29" spans="1:15" s="34" customFormat="1" ht="30" customHeight="1" thickBot="1" x14ac:dyDescent="0.3">
      <c r="A29" s="136"/>
      <c r="B29" s="21" t="s">
        <v>49</v>
      </c>
      <c r="C29" s="22">
        <f>[31]NUMERIK!K53</f>
        <v>17.533794162826428</v>
      </c>
      <c r="D29" s="73" t="s">
        <v>12</v>
      </c>
      <c r="E29" s="89">
        <f>C29/E$7*100%</f>
        <v>2.9419117722863136E-2</v>
      </c>
      <c r="F29" s="25">
        <f t="shared" si="0"/>
        <v>0</v>
      </c>
      <c r="G29" s="45" t="str">
        <f>[31]Outcome!Q441</f>
        <v xml:space="preserve">, , , , , , , , , , , , , , , , , , , , , , , , , , , , , , , , , , , , , , , , , , , , , , , , , , , , , , </v>
      </c>
      <c r="H29" s="37">
        <f>[31]Outcome!Q442</f>
        <v>0</v>
      </c>
      <c r="I29" s="38" t="s">
        <v>12</v>
      </c>
      <c r="J29" s="39">
        <f>IF(H29&gt;C29,0,C29-H29)</f>
        <v>17.533794162826428</v>
      </c>
      <c r="K29" s="40" t="s">
        <v>12</v>
      </c>
      <c r="L29" s="41">
        <f>J29/E$7*100%</f>
        <v>2.9419117722863136E-2</v>
      </c>
      <c r="M29" s="42">
        <f t="shared" si="1"/>
        <v>0</v>
      </c>
      <c r="N29" s="33"/>
    </row>
    <row r="30" spans="1:15" s="88" customFormat="1" ht="30" customHeight="1" thickBot="1" x14ac:dyDescent="0.3">
      <c r="A30" s="90" t="s">
        <v>50</v>
      </c>
      <c r="B30" s="81"/>
      <c r="C30" s="55"/>
      <c r="D30" s="55"/>
      <c r="E30" s="82">
        <f>IF(SUM(F28:F29)&gt;0,(SUMIF(F28:F29,"&gt;0",E28:E29)/2),0)</f>
        <v>0</v>
      </c>
      <c r="F30" s="83"/>
      <c r="G30" s="91"/>
      <c r="H30" s="92"/>
      <c r="I30" s="92"/>
      <c r="J30" s="84"/>
      <c r="K30" s="85"/>
      <c r="L30" s="82">
        <f>IF(SUM(M28:M29)&gt;0,(SUMIF(M28:M29,"&gt;0",L28:L29)/2),0)</f>
        <v>0</v>
      </c>
      <c r="M30" s="86"/>
      <c r="N30" s="87"/>
    </row>
    <row r="31" spans="1:15" s="34" customFormat="1" ht="31.5" customHeight="1" x14ac:dyDescent="0.25">
      <c r="A31" s="137" t="s">
        <v>51</v>
      </c>
      <c r="B31" s="21" t="s">
        <v>52</v>
      </c>
      <c r="C31" s="93">
        <f>[31]NUMERIK!K56</f>
        <v>399</v>
      </c>
      <c r="D31" s="94" t="s">
        <v>12</v>
      </c>
      <c r="E31" s="89">
        <f>C31/E$7*100%</f>
        <v>0.66946308724832215</v>
      </c>
      <c r="F31" s="25">
        <f t="shared" si="0"/>
        <v>3</v>
      </c>
      <c r="G31" s="36" t="str">
        <f>[31]Outcome!Q496</f>
        <v xml:space="preserve">Gerobak/Motor Sampah RT017-RW005, Gerobak/Motor Sampah RT019-RW006, Cakupan Pelayanan Sampah RT018-RW005, Cakupan Pelayanan Sampah RT016-RW005, , , , , , , , , , , , , , , , , , , , , , , , , , , , , , , , , , , , , , , , , </v>
      </c>
      <c r="H31" s="37">
        <f>[31]Outcome!Q497</f>
        <v>173</v>
      </c>
      <c r="I31" s="38" t="s">
        <v>12</v>
      </c>
      <c r="J31" s="39">
        <f>IF(H31&gt;C31,0,C31-H31)</f>
        <v>226</v>
      </c>
      <c r="K31" s="40" t="s">
        <v>12</v>
      </c>
      <c r="L31" s="41">
        <f>J31/E$7*100%</f>
        <v>0.37919463087248323</v>
      </c>
      <c r="M31" s="42">
        <f t="shared" si="1"/>
        <v>1</v>
      </c>
      <c r="N31" s="33"/>
    </row>
    <row r="32" spans="1:15" s="34" customFormat="1" ht="32.25" customHeight="1" x14ac:dyDescent="0.25">
      <c r="A32" s="137"/>
      <c r="B32" s="21" t="s">
        <v>53</v>
      </c>
      <c r="C32" s="93">
        <f>[31]NUMERIK!K59</f>
        <v>312.12316715542522</v>
      </c>
      <c r="D32" s="94" t="s">
        <v>12</v>
      </c>
      <c r="E32" s="89">
        <f>C32/E$7*100%</f>
        <v>0.52369658918695505</v>
      </c>
      <c r="F32" s="25">
        <f t="shared" si="0"/>
        <v>3</v>
      </c>
      <c r="G32" s="36" t="str">
        <f>[31]Outcome!Q541</f>
        <v xml:space="preserve">Cakupan Pelayanan Sampah RT016-RW005, , , , , , , , , , , , , , , , , , , , , , , , , , , , , , , , , , , , , , , , , , , , </v>
      </c>
      <c r="H32" s="37">
        <f>[31]Outcome!Q542</f>
        <v>34</v>
      </c>
      <c r="I32" s="38" t="s">
        <v>12</v>
      </c>
      <c r="J32" s="39">
        <f>IF(H32&gt;C32,0,C32-H32)</f>
        <v>278.12316715542522</v>
      </c>
      <c r="K32" s="40" t="s">
        <v>12</v>
      </c>
      <c r="L32" s="41">
        <f>J32/E$7*100%</f>
        <v>0.46664960932118327</v>
      </c>
      <c r="M32" s="42">
        <f t="shared" si="1"/>
        <v>1</v>
      </c>
      <c r="N32" s="33"/>
    </row>
    <row r="33" spans="1:14" s="34" customFormat="1" ht="30.75" customHeight="1" thickBot="1" x14ac:dyDescent="0.3">
      <c r="A33" s="137"/>
      <c r="B33" s="21" t="s">
        <v>54</v>
      </c>
      <c r="C33" s="93">
        <f>[31]NUMERIK!K61</f>
        <v>221</v>
      </c>
      <c r="D33" s="94" t="s">
        <v>12</v>
      </c>
      <c r="E33" s="89">
        <f>C33/E$7*100%</f>
        <v>0.37080536912751677</v>
      </c>
      <c r="F33" s="25">
        <f t="shared" si="0"/>
        <v>1</v>
      </c>
      <c r="G33" s="36" t="str">
        <f>[31]Outcome!Q586</f>
        <v xml:space="preserve">Cakupan Pelayanan Sampah RT018-RW005, , , , , , , , , , , , , , , , , , , , , , , , , , , , , , , , , , , , , , , , , , , , </v>
      </c>
      <c r="H33" s="37">
        <f>[31]Outcome!Q587</f>
        <v>40</v>
      </c>
      <c r="I33" s="38" t="s">
        <v>12</v>
      </c>
      <c r="J33" s="39">
        <f>IF(H33&gt;C33,0,C33-H33)</f>
        <v>181</v>
      </c>
      <c r="K33" s="40" t="s">
        <v>12</v>
      </c>
      <c r="L33" s="41">
        <f>J33/E$7*100%</f>
        <v>0.30369127516778521</v>
      </c>
      <c r="M33" s="42">
        <f t="shared" si="1"/>
        <v>1</v>
      </c>
      <c r="N33" s="33"/>
    </row>
    <row r="34" spans="1:14" s="88" customFormat="1" ht="30" customHeight="1" thickBot="1" x14ac:dyDescent="0.3">
      <c r="A34" s="80" t="s">
        <v>55</v>
      </c>
      <c r="B34" s="81"/>
      <c r="C34" s="55"/>
      <c r="D34" s="55"/>
      <c r="E34" s="82">
        <f>IF(SUM(F31:F33)&gt;0,(SUMIF(F31:F33,"&gt;0",E31:E33)/3),0)</f>
        <v>0.52132168185426464</v>
      </c>
      <c r="F34" s="83"/>
      <c r="G34" s="91"/>
      <c r="H34" s="92"/>
      <c r="I34" s="92"/>
      <c r="J34" s="84"/>
      <c r="K34" s="85"/>
      <c r="L34" s="82">
        <f>IF(SUM(M31:M33)&gt;0,(SUMIF(M31:M33,"&gt;0",L31:L33)/3),0)</f>
        <v>0.3831785051204839</v>
      </c>
      <c r="M34" s="86"/>
      <c r="N34" s="87"/>
    </row>
    <row r="35" spans="1:14" s="34" customFormat="1" ht="24.95" customHeight="1" x14ac:dyDescent="0.25">
      <c r="A35" s="136" t="s">
        <v>56</v>
      </c>
      <c r="B35" s="95" t="s">
        <v>57</v>
      </c>
      <c r="C35" s="93">
        <f>[31]NUMERIK!K64</f>
        <v>31</v>
      </c>
      <c r="D35" s="94" t="s">
        <v>8</v>
      </c>
      <c r="E35" s="79">
        <f>C35/E$5*100%</f>
        <v>6.798245614035088E-2</v>
      </c>
      <c r="F35" s="25">
        <f t="shared" si="0"/>
        <v>0</v>
      </c>
      <c r="G35" s="36" t="str">
        <f>[31]Outcome!Q631</f>
        <v xml:space="preserve">Cakupan Pelayanan Kebakaran RT003-RW001, , , , , , , , , , , , , , , , , , , </v>
      </c>
      <c r="H35" s="27">
        <f>[31]Outcome!Q632</f>
        <v>64</v>
      </c>
      <c r="I35" s="38" t="s">
        <v>8</v>
      </c>
      <c r="J35" s="39">
        <f>IF(H35&gt;C35,0,C35-H35)</f>
        <v>0</v>
      </c>
      <c r="K35" s="40" t="s">
        <v>8</v>
      </c>
      <c r="L35" s="41">
        <f>J35/E$5*100%</f>
        <v>0</v>
      </c>
      <c r="M35" s="42">
        <f t="shared" si="1"/>
        <v>0</v>
      </c>
      <c r="N35" s="33"/>
    </row>
    <row r="36" spans="1:14" s="34" customFormat="1" ht="24.95" customHeight="1" thickBot="1" x14ac:dyDescent="0.3">
      <c r="A36" s="136"/>
      <c r="B36" s="95" t="s">
        <v>58</v>
      </c>
      <c r="C36" s="96">
        <f>[31]NUMERIK!K66</f>
        <v>392</v>
      </c>
      <c r="D36" s="94" t="s">
        <v>8</v>
      </c>
      <c r="E36" s="79">
        <f>C36/E$5*100%</f>
        <v>0.85964912280701755</v>
      </c>
      <c r="F36" s="25">
        <f t="shared" si="0"/>
        <v>5</v>
      </c>
      <c r="G36" s="36" t="str">
        <f>[31]Outcome!Q651</f>
        <v xml:space="preserve">Cakupan Pelayanan Kebakaran RT002-RW001, Cakupan Pelayanan Kebakaran RT003-RW001, Cakupan Pelayanan Kebakaran RT005-RW002, Cakupan Pelayanan Kebakaran RT007-RW003, Cakupan Pelayanan Kebakaran RT010-RW003, Cakupan Pelayanan Kebakaran RT012-RW004, Cakupan Pelayanan Kebakaran RT013-RW004, Cakupan Pelayanan Kebakaran RT017-RW005, Cakupan Pelayanan Kebakaran RT018-RW005, Cakupan Pelayanan Kebakaran RT023-RW006, Cakupan Pelayanan Kebakaran RT024-RW004, , , , , , , , , </v>
      </c>
      <c r="H36" s="37">
        <f>[31]Outcome!Q652</f>
        <v>508</v>
      </c>
      <c r="I36" s="97" t="s">
        <v>8</v>
      </c>
      <c r="J36" s="98">
        <f>IF(H36&gt;C36,0,C36-H36)</f>
        <v>0</v>
      </c>
      <c r="K36" s="99" t="s">
        <v>8</v>
      </c>
      <c r="L36" s="100">
        <f>J36/E$5*100%</f>
        <v>0</v>
      </c>
      <c r="M36" s="51">
        <f t="shared" si="1"/>
        <v>0</v>
      </c>
      <c r="N36" s="33"/>
    </row>
    <row r="37" spans="1:14" s="77" customFormat="1" ht="30" customHeight="1" thickBot="1" x14ac:dyDescent="0.3">
      <c r="A37" s="80" t="s">
        <v>59</v>
      </c>
      <c r="B37" s="101"/>
      <c r="C37" s="102"/>
      <c r="D37" s="102"/>
      <c r="E37" s="82">
        <f>IF(SUM(F35:F36)&gt;0,(SUMIF(F35:F36,"&gt;0",E35:E36)/2),0)</f>
        <v>0.42982456140350878</v>
      </c>
      <c r="F37" s="103"/>
      <c r="G37" s="104"/>
      <c r="H37" s="105"/>
      <c r="I37" s="105"/>
      <c r="J37" s="106"/>
      <c r="K37" s="107"/>
      <c r="L37" s="82">
        <f>IF(SUM(M35:M36)&gt;0,(SUMIF(M35:M36,"&gt;0",L35:L36)/2),0)</f>
        <v>0</v>
      </c>
      <c r="M37" s="108"/>
      <c r="N37" s="109"/>
    </row>
    <row r="38" spans="1:14" ht="15" customHeight="1" x14ac:dyDescent="0.25">
      <c r="A38" s="110"/>
      <c r="B38" s="111" t="s">
        <v>60</v>
      </c>
      <c r="D38" s="138" t="s">
        <v>61</v>
      </c>
      <c r="E38" s="139"/>
      <c r="F38" s="142">
        <f>SUM(F12:F36)</f>
        <v>16</v>
      </c>
      <c r="G38" s="112"/>
      <c r="H38" s="112"/>
      <c r="I38" s="112"/>
      <c r="J38" s="112"/>
      <c r="K38" s="238" t="s">
        <v>61</v>
      </c>
      <c r="L38" s="239"/>
      <c r="M38" s="224">
        <f>SUM(M12:M36)</f>
        <v>5</v>
      </c>
    </row>
    <row r="39" spans="1:14" ht="15" customHeight="1" x14ac:dyDescent="0.25">
      <c r="A39" s="110"/>
      <c r="B39" s="113" t="s">
        <v>62</v>
      </c>
      <c r="D39" s="140"/>
      <c r="E39" s="141"/>
      <c r="F39" s="143"/>
      <c r="G39" s="114"/>
      <c r="H39" s="114"/>
      <c r="I39" s="114"/>
      <c r="J39" s="114"/>
      <c r="K39" s="240"/>
      <c r="L39" s="241"/>
      <c r="M39" s="225"/>
    </row>
    <row r="40" spans="1:14" ht="15" customHeight="1" x14ac:dyDescent="0.25">
      <c r="A40" s="110"/>
      <c r="B40" s="115" t="s">
        <v>63</v>
      </c>
      <c r="D40" s="130" t="s">
        <v>64</v>
      </c>
      <c r="E40" s="131"/>
      <c r="F40" s="134" t="str">
        <f>IF(F38="N/A","TIDAK KUMUH",IF(F38&gt;=71,"KUMUH BERAT",IF(AND(F38&lt;=70,F38&gt;=45),"KUMUH SEDANG",IF(AND(F38&lt;=44,F38&gt;=19),"KUMUH RINGAN","TIDAK KUMUH"))))</f>
        <v>TIDAK KUMUH</v>
      </c>
      <c r="G40" s="116"/>
      <c r="H40" s="116"/>
      <c r="I40" s="116"/>
      <c r="J40" s="116"/>
      <c r="K40" s="232" t="s">
        <v>64</v>
      </c>
      <c r="L40" s="233"/>
      <c r="M40" s="236" t="str">
        <f>IF(M38="N/A","TIDAK KUMUH",IF(M38&gt;=71,"KUMUH BERAT",IF(AND(M38&lt;=70,M38&gt;=45),"KUMUH SEDANG",IF(AND(M38&lt;=44,M38&gt;=19),"KUMUH RINGAN","TIDAK KUMUH"))))</f>
        <v>TIDAK KUMUH</v>
      </c>
    </row>
    <row r="41" spans="1:14" ht="15" customHeight="1" thickBot="1" x14ac:dyDescent="0.3">
      <c r="A41" s="110"/>
      <c r="B41" s="117" t="s">
        <v>65</v>
      </c>
      <c r="D41" s="132"/>
      <c r="E41" s="133"/>
      <c r="F41" s="135" t="str">
        <f>IF(E41&gt;71,"KB",IF(E41&gt;=47,"KS","KR"))</f>
        <v>KR</v>
      </c>
      <c r="G41" s="116"/>
      <c r="H41" s="116"/>
      <c r="I41" s="116"/>
      <c r="J41" s="116"/>
      <c r="K41" s="234"/>
      <c r="L41" s="235"/>
      <c r="M41" s="237" t="str">
        <f>IF(L41&gt;71,"KB",IF(L41&gt;=47,"KS","KR"))</f>
        <v>KR</v>
      </c>
    </row>
    <row r="42" spans="1:14" ht="21" customHeight="1" x14ac:dyDescent="0.25">
      <c r="B42" s="118" t="s">
        <v>66</v>
      </c>
      <c r="C42" s="119"/>
      <c r="D42" s="120"/>
      <c r="E42" s="121" t="s">
        <v>67</v>
      </c>
      <c r="F42" s="122">
        <f>AVERAGE(E15,E18,E21,E27,E30,E34,E37)</f>
        <v>0.1684044149341577</v>
      </c>
      <c r="J42" s="123"/>
      <c r="K42" s="124"/>
      <c r="L42" s="125" t="s">
        <v>67</v>
      </c>
      <c r="M42" s="126">
        <f>AVERAGE(L15,L18,L21,L27,L30,L34,L37)</f>
        <v>7.984078268214849E-2</v>
      </c>
    </row>
    <row r="43" spans="1:14" ht="21" customHeight="1" x14ac:dyDescent="0.25">
      <c r="B43" s="127"/>
      <c r="C43" s="119"/>
      <c r="D43" s="120"/>
      <c r="E43" s="121" t="s">
        <v>68</v>
      </c>
      <c r="F43" s="122">
        <v>0</v>
      </c>
      <c r="J43" s="123"/>
      <c r="K43" s="124"/>
      <c r="L43" s="125" t="s">
        <v>68</v>
      </c>
      <c r="M43" s="126">
        <f>(F42-M42)/F42</f>
        <v>0.52589851808003718</v>
      </c>
      <c r="N43"/>
    </row>
    <row r="44" spans="1:14" x14ac:dyDescent="0.25">
      <c r="M44" s="128"/>
    </row>
    <row r="55" spans="12:12" x14ac:dyDescent="0.25">
      <c r="L55" s="129"/>
    </row>
  </sheetData>
  <mergeCells count="5">
    <mergeCell ref="M38:M39"/>
    <mergeCell ref="K40:L41"/>
    <mergeCell ref="M40:M41"/>
    <mergeCell ref="K38:L39"/>
    <mergeCell ref="J9:M10"/>
  </mergeCells>
  <conditionalFormatting sqref="F40:J41">
    <cfRule type="expression" dxfId="53" priority="6">
      <formula>F40="KUMUH SEDANG"</formula>
    </cfRule>
    <cfRule type="expression" dxfId="52" priority="7">
      <formula>F40="TIDAK KUMUH"</formula>
    </cfRule>
    <cfRule type="expression" dxfId="51" priority="8">
      <formula>F40="KUMUH BERAT"</formula>
    </cfRule>
    <cfRule type="expression" dxfId="50" priority="9">
      <formula>F40="KUMUH RINGAN"</formula>
    </cfRule>
  </conditionalFormatting>
  <conditionalFormatting sqref="G12:G14 G16:G17 G19:G20 G22:G26 G28:G29 G31:G33 G35:G36">
    <cfRule type="cellIs" dxfId="49" priority="1" operator="equal">
      <formula>", , , , , , "</formula>
    </cfRule>
  </conditionalFormatting>
  <conditionalFormatting sqref="M40:M41">
    <cfRule type="expression" dxfId="48" priority="2">
      <formula>M40="KUMUH SEDANG"</formula>
    </cfRule>
    <cfRule type="expression" dxfId="47" priority="3">
      <formula>M40="TIDAK KUMUH"</formula>
    </cfRule>
    <cfRule type="expression" dxfId="46" priority="4">
      <formula>M40="KUMUH BERAT"</formula>
    </cfRule>
    <cfRule type="expression" dxfId="45" priority="5">
      <formula>M40="KUMUH RINGAN"</formula>
    </cfRule>
  </conditionalFormatting>
  <pageMargins left="0.7" right="0.2" top="0.75" bottom="0.75" header="0.3" footer="0.3"/>
  <pageSetup paperSize="9" scale="70" orientation="portrait" horizontalDpi="4294967293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309A2-7600-425B-8131-3354FB6A247F}">
  <sheetPr>
    <tabColor rgb="FF0070C0"/>
  </sheetPr>
  <dimension ref="A1:O55"/>
  <sheetViews>
    <sheetView showGridLines="0" zoomScale="80" zoomScaleNormal="80" zoomScaleSheetLayoutView="75" zoomScalePageLayoutView="90" workbookViewId="0">
      <selection activeCell="F12" sqref="F12:F37"/>
    </sheetView>
  </sheetViews>
  <sheetFormatPr defaultColWidth="8.85546875" defaultRowHeight="15" x14ac:dyDescent="0.25"/>
  <cols>
    <col min="1" max="1" width="24" customWidth="1"/>
    <col min="2" max="2" width="45.85546875" customWidth="1"/>
    <col min="3" max="3" width="12.42578125" customWidth="1"/>
    <col min="4" max="4" width="9.140625" customWidth="1"/>
    <col min="5" max="5" width="12.140625" customWidth="1"/>
    <col min="6" max="6" width="9.140625" customWidth="1"/>
    <col min="7" max="7" width="36.42578125" customWidth="1"/>
    <col min="8" max="9" width="9.140625" customWidth="1"/>
    <col min="10" max="10" width="10" bestFit="1" customWidth="1"/>
    <col min="11" max="12" width="9.140625" customWidth="1"/>
    <col min="13" max="13" width="11.28515625" customWidth="1"/>
    <col min="14" max="14" width="2.28515625" style="3" customWidth="1"/>
  </cols>
  <sheetData>
    <row r="1" spans="1:14" ht="18.75" customHeight="1" x14ac:dyDescent="0.3">
      <c r="A1" s="193" t="s">
        <v>0</v>
      </c>
      <c r="B1" s="193"/>
      <c r="C1" s="193"/>
      <c r="D1" s="193"/>
      <c r="E1" s="193"/>
      <c r="F1" s="193"/>
      <c r="G1" s="1"/>
      <c r="H1" s="1"/>
      <c r="I1" s="1"/>
      <c r="J1" s="1"/>
      <c r="K1" s="1"/>
      <c r="L1" s="1"/>
      <c r="M1" s="2"/>
    </row>
    <row r="2" spans="1:14" ht="3.75" customHeight="1" x14ac:dyDescent="0.25">
      <c r="A2" s="194"/>
      <c r="B2" s="194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4" ht="15.75" customHeight="1" x14ac:dyDescent="0.25">
      <c r="A3" s="6" t="s">
        <v>1</v>
      </c>
      <c r="B3" s="6" t="str">
        <f>": "&amp;[32]NUMERIK!E14</f>
        <v>: JAWA TIMUR</v>
      </c>
      <c r="C3" s="7" t="s">
        <v>2</v>
      </c>
      <c r="D3" s="8"/>
      <c r="E3" s="9">
        <f>[32]NUMERIK!K6</f>
        <v>6.9399999999999995</v>
      </c>
      <c r="F3" t="s">
        <v>3</v>
      </c>
    </row>
    <row r="4" spans="1:14" ht="15.75" customHeight="1" x14ac:dyDescent="0.25">
      <c r="A4" s="6" t="s">
        <v>4</v>
      </c>
      <c r="B4" s="6" t="str">
        <f>": "&amp;[32]NUMERIK!E12</f>
        <v>: KOTA MADIUN</v>
      </c>
      <c r="C4" s="7" t="s">
        <v>5</v>
      </c>
      <c r="D4" s="8"/>
      <c r="E4" s="9">
        <f>[32]NUMERIK!K8</f>
        <v>6.9399999999999995</v>
      </c>
      <c r="F4" t="s">
        <v>3</v>
      </c>
    </row>
    <row r="5" spans="1:14" ht="15.75" customHeight="1" x14ac:dyDescent="0.25">
      <c r="A5" s="10" t="s">
        <v>6</v>
      </c>
      <c r="B5" s="10" t="str">
        <f>": "&amp;[32]NUMERIK!E10</f>
        <v>: TAMAN</v>
      </c>
      <c r="C5" s="7" t="s">
        <v>7</v>
      </c>
      <c r="D5" s="8"/>
      <c r="E5" s="11">
        <f>[32]NUMERIK!K10</f>
        <v>308</v>
      </c>
      <c r="F5" t="s">
        <v>8</v>
      </c>
    </row>
    <row r="6" spans="1:14" ht="15.75" customHeight="1" x14ac:dyDescent="0.25">
      <c r="A6" s="10" t="s">
        <v>9</v>
      </c>
      <c r="B6" s="10" t="str">
        <f>": "&amp;[32]NUMERIK!E6</f>
        <v>: PANDEAN</v>
      </c>
      <c r="C6" s="7" t="s">
        <v>10</v>
      </c>
      <c r="D6" s="8"/>
      <c r="E6" s="12">
        <f>[32]NUMERIK!K12</f>
        <v>1193</v>
      </c>
      <c r="F6" t="s">
        <v>11</v>
      </c>
    </row>
    <row r="7" spans="1:14" ht="15.75" customHeight="1" x14ac:dyDescent="0.25">
      <c r="A7" s="4"/>
      <c r="B7" s="13"/>
      <c r="C7" s="7" t="s">
        <v>7</v>
      </c>
      <c r="D7" s="5"/>
      <c r="E7" s="12">
        <f>[32]NUMERIK!K14</f>
        <v>403</v>
      </c>
      <c r="F7" t="s">
        <v>12</v>
      </c>
    </row>
    <row r="8" spans="1:14" ht="5.25" customHeight="1" thickBot="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4" ht="12" customHeight="1" x14ac:dyDescent="0.25">
      <c r="A9" s="195" t="s">
        <v>13</v>
      </c>
      <c r="B9" s="197" t="s">
        <v>14</v>
      </c>
      <c r="C9" s="199" t="s">
        <v>15</v>
      </c>
      <c r="D9" s="200"/>
      <c r="E9" s="200"/>
      <c r="F9" s="201"/>
      <c r="G9" s="216" t="s">
        <v>16</v>
      </c>
      <c r="H9" s="217"/>
      <c r="I9" s="217"/>
      <c r="J9" s="205" t="s">
        <v>17</v>
      </c>
      <c r="K9" s="206"/>
      <c r="L9" s="206"/>
      <c r="M9" s="207"/>
    </row>
    <row r="10" spans="1:14" ht="9.75" customHeight="1" x14ac:dyDescent="0.25">
      <c r="A10" s="196"/>
      <c r="B10" s="198"/>
      <c r="C10" s="202"/>
      <c r="D10" s="203"/>
      <c r="E10" s="203"/>
      <c r="F10" s="204"/>
      <c r="G10" s="211" t="s">
        <v>18</v>
      </c>
      <c r="H10" s="212"/>
      <c r="I10" s="212"/>
      <c r="J10" s="208"/>
      <c r="K10" s="209"/>
      <c r="L10" s="209"/>
      <c r="M10" s="210"/>
    </row>
    <row r="11" spans="1:14" ht="15.75" thickBot="1" x14ac:dyDescent="0.3">
      <c r="A11" s="196"/>
      <c r="B11" s="198"/>
      <c r="C11" s="14" t="s">
        <v>19</v>
      </c>
      <c r="D11" s="14" t="s">
        <v>20</v>
      </c>
      <c r="E11" s="14" t="s">
        <v>21</v>
      </c>
      <c r="F11" s="15" t="s">
        <v>22</v>
      </c>
      <c r="G11" s="16" t="s">
        <v>23</v>
      </c>
      <c r="H11" s="17" t="s">
        <v>24</v>
      </c>
      <c r="I11" s="17" t="s">
        <v>20</v>
      </c>
      <c r="J11" s="18" t="s">
        <v>19</v>
      </c>
      <c r="K11" s="19" t="s">
        <v>20</v>
      </c>
      <c r="L11" s="19" t="s">
        <v>25</v>
      </c>
      <c r="M11" s="20" t="s">
        <v>22</v>
      </c>
    </row>
    <row r="12" spans="1:14" s="34" customFormat="1" ht="24.95" customHeight="1" x14ac:dyDescent="0.25">
      <c r="A12" s="213" t="s">
        <v>26</v>
      </c>
      <c r="B12" s="21" t="s">
        <v>27</v>
      </c>
      <c r="C12" s="22">
        <f>[32]NUMERIK!K18</f>
        <v>16</v>
      </c>
      <c r="D12" s="23" t="s">
        <v>8</v>
      </c>
      <c r="E12" s="24">
        <f>C12/E5*100%</f>
        <v>5.1948051948051951E-2</v>
      </c>
      <c r="F12" s="25">
        <f t="shared" ref="F12:F36" si="0">IF(AND(E12&gt;=24.995%,E12&lt;50.995%),1,IF(AND(E12&gt;=50.995%,E12&lt;75.995%),3,IF(E12&gt;=75.995%,5,0)))</f>
        <v>0</v>
      </c>
      <c r="G12" s="26" t="str">
        <f>[32]Outcome!Q6</f>
        <v xml:space="preserve">, , , , , , , , , , , , , , , , , , , , , , , , , , , , , , , , , , , , , , , , , , , , </v>
      </c>
      <c r="H12" s="27">
        <f>[32]Outcome!M6</f>
        <v>0</v>
      </c>
      <c r="I12" s="28" t="s">
        <v>8</v>
      </c>
      <c r="J12" s="29">
        <f>IF(H12&gt;C12,0,C12-H12)</f>
        <v>16</v>
      </c>
      <c r="K12" s="30" t="s">
        <v>8</v>
      </c>
      <c r="L12" s="31">
        <f>J12/E$5*100%</f>
        <v>5.1948051948051951E-2</v>
      </c>
      <c r="M12" s="32">
        <f t="shared" ref="M12:M36" si="1">IF(AND(L12&gt;=24.995%,L12&lt;50.995%),1,IF(AND(L12&gt;=50.995%,L12&lt;75.995%),3,IF(L12&gt;=75.995%,5,0)))</f>
        <v>0</v>
      </c>
      <c r="N12" s="33"/>
    </row>
    <row r="13" spans="1:14" s="34" customFormat="1" ht="24.95" customHeight="1" x14ac:dyDescent="0.25">
      <c r="A13" s="213"/>
      <c r="B13" s="21" t="s">
        <v>28</v>
      </c>
      <c r="C13" s="35">
        <f>[32]NUMERIK!K20</f>
        <v>0</v>
      </c>
      <c r="D13" s="23" t="s">
        <v>3</v>
      </c>
      <c r="E13" s="24">
        <f>C13/E4*100%</f>
        <v>0</v>
      </c>
      <c r="F13" s="25">
        <f t="shared" si="0"/>
        <v>0</v>
      </c>
      <c r="G13" s="36" t="str">
        <f>[32]Outcome!Q51</f>
        <v xml:space="preserve">, , , , , , , , , , , , , , , , , , , </v>
      </c>
      <c r="H13" s="37">
        <f>[32]Outcome!M51</f>
        <v>0</v>
      </c>
      <c r="I13" s="38" t="s">
        <v>3</v>
      </c>
      <c r="J13" s="39">
        <f>IF(H13&gt;C13,0,C13-H13)</f>
        <v>0</v>
      </c>
      <c r="K13" s="40" t="s">
        <v>3</v>
      </c>
      <c r="L13" s="41">
        <f>J13/E$4*100%</f>
        <v>0</v>
      </c>
      <c r="M13" s="42">
        <f t="shared" si="1"/>
        <v>0</v>
      </c>
      <c r="N13" s="33"/>
    </row>
    <row r="14" spans="1:14" s="34" customFormat="1" ht="24.95" customHeight="1" thickBot="1" x14ac:dyDescent="0.3">
      <c r="A14" s="214"/>
      <c r="B14" s="43" t="s">
        <v>29</v>
      </c>
      <c r="C14" s="35">
        <f>[32]NUMERIK!K22</f>
        <v>19</v>
      </c>
      <c r="D14" s="23" t="s">
        <v>8</v>
      </c>
      <c r="E14" s="24">
        <f>C14/E5*100%</f>
        <v>6.1688311688311688E-2</v>
      </c>
      <c r="F14" s="44">
        <f t="shared" si="0"/>
        <v>0</v>
      </c>
      <c r="G14" s="45" t="str">
        <f>[32]Outcome!Q71</f>
        <v xml:space="preserve">, , , , , , , , , , , , , , , , , , , , , , , , , , , , , , , , , , , , , , , , , , , , </v>
      </c>
      <c r="H14" s="46">
        <f>[32]Outcome!M71</f>
        <v>0</v>
      </c>
      <c r="I14" s="47" t="s">
        <v>8</v>
      </c>
      <c r="J14" s="48">
        <f>IF(H14&gt;C14,0,C14-H14)</f>
        <v>19</v>
      </c>
      <c r="K14" s="49" t="s">
        <v>8</v>
      </c>
      <c r="L14" s="50">
        <f>J14/E$5*100%</f>
        <v>6.1688311688311688E-2</v>
      </c>
      <c r="M14" s="51">
        <f t="shared" si="1"/>
        <v>0</v>
      </c>
      <c r="N14" s="33"/>
    </row>
    <row r="15" spans="1:14" s="34" customFormat="1" ht="30" customHeight="1" thickBot="1" x14ac:dyDescent="0.3">
      <c r="A15" s="52" t="s">
        <v>30</v>
      </c>
      <c r="B15" s="53"/>
      <c r="C15" s="54"/>
      <c r="D15" s="55"/>
      <c r="E15" s="56">
        <f>IF(SUM(F12:F14)&gt;0,(SUMIF(F12:F14,"&gt;0",E12:E14)/3),0)</f>
        <v>0</v>
      </c>
      <c r="F15" s="57"/>
      <c r="G15" s="58"/>
      <c r="H15" s="59"/>
      <c r="I15" s="59"/>
      <c r="J15" s="60"/>
      <c r="K15" s="61"/>
      <c r="L15" s="56">
        <f>IF(SUM(M12:M14)&gt;0,(SUMIF(M12:M14,"&gt;0",L12:L14)/3),0)</f>
        <v>0</v>
      </c>
      <c r="M15" s="62"/>
      <c r="N15" s="33"/>
    </row>
    <row r="16" spans="1:14" s="34" customFormat="1" ht="24.95" customHeight="1" x14ac:dyDescent="0.25">
      <c r="A16" s="215" t="s">
        <v>31</v>
      </c>
      <c r="B16" s="63" t="s">
        <v>32</v>
      </c>
      <c r="C16" s="64">
        <f>[32]NUMERIK!K25-[32]NUMERIK!K26</f>
        <v>0</v>
      </c>
      <c r="D16" s="65" t="s">
        <v>33</v>
      </c>
      <c r="E16" s="66">
        <f>C16/[32]NUMERIK!K$25*100%</f>
        <v>0</v>
      </c>
      <c r="F16" s="67">
        <f t="shared" si="0"/>
        <v>0</v>
      </c>
      <c r="G16" s="36" t="str">
        <f>[32]Outcome!Q116</f>
        <v xml:space="preserve">, , , , , , , , , , , , , , , , , , , </v>
      </c>
      <c r="H16" s="27">
        <f>[32]Outcome!M116</f>
        <v>0</v>
      </c>
      <c r="I16" s="68" t="s">
        <v>33</v>
      </c>
      <c r="J16" s="69">
        <f>IF(H16&gt;C16,0,C16-H16)</f>
        <v>0</v>
      </c>
      <c r="K16" s="70" t="s">
        <v>33</v>
      </c>
      <c r="L16" s="71">
        <f>J16/[32]NUMERIK!K$25*100%</f>
        <v>0</v>
      </c>
      <c r="M16" s="72">
        <f t="shared" si="1"/>
        <v>0</v>
      </c>
      <c r="N16" s="33"/>
    </row>
    <row r="17" spans="1:15" s="34" customFormat="1" ht="24.95" customHeight="1" thickBot="1" x14ac:dyDescent="0.3">
      <c r="A17" s="192"/>
      <c r="B17" s="21" t="s">
        <v>34</v>
      </c>
      <c r="C17" s="22">
        <f>[32]NUMERIK!K28</f>
        <v>430</v>
      </c>
      <c r="D17" s="73" t="s">
        <v>33</v>
      </c>
      <c r="E17" s="24">
        <f>C17/[32]NUMERIK!K$25*100%</f>
        <v>0.14429530201342283</v>
      </c>
      <c r="F17" s="25">
        <f t="shared" si="0"/>
        <v>0</v>
      </c>
      <c r="G17" s="45" t="str">
        <f>[32]Outcome!Q136</f>
        <v xml:space="preserve">, , , , , , , , , , , , , , , , , , , , , , , , , , , , , , , , , , , , , , , , , , , , </v>
      </c>
      <c r="H17" s="37">
        <f>[32]Outcome!M136</f>
        <v>0</v>
      </c>
      <c r="I17" s="38" t="s">
        <v>33</v>
      </c>
      <c r="J17" s="39">
        <f>IF(H17&gt;C17,0,C17-H17)</f>
        <v>430</v>
      </c>
      <c r="K17" s="40" t="s">
        <v>33</v>
      </c>
      <c r="L17" s="41">
        <f>J17/[32]NUMERIK!K$25*100%</f>
        <v>0.14429530201342283</v>
      </c>
      <c r="M17" s="42">
        <f t="shared" si="1"/>
        <v>0</v>
      </c>
      <c r="N17" s="33"/>
    </row>
    <row r="18" spans="1:15" s="34" customFormat="1" ht="30" customHeight="1" thickBot="1" x14ac:dyDescent="0.3">
      <c r="A18" s="52" t="s">
        <v>35</v>
      </c>
      <c r="B18" s="53"/>
      <c r="C18" s="54"/>
      <c r="D18" s="55"/>
      <c r="E18" s="56">
        <f>IF(SUM(F16:F17)&gt;0,(SUMIF(F16:F17,"&gt;0",E16:E17)/2),0)</f>
        <v>0</v>
      </c>
      <c r="F18" s="57"/>
      <c r="G18" s="58"/>
      <c r="H18" s="59"/>
      <c r="I18" s="59"/>
      <c r="J18" s="60"/>
      <c r="K18" s="61"/>
      <c r="L18" s="56">
        <f>IF(SUM(M16:M17)&gt;0,(SUMIF(M16:M17,"&gt;0",L16:L17)/2),0)</f>
        <v>0</v>
      </c>
      <c r="M18" s="62"/>
      <c r="N18" s="33"/>
    </row>
    <row r="19" spans="1:15" s="34" customFormat="1" ht="24.95" customHeight="1" x14ac:dyDescent="0.25">
      <c r="A19" s="213" t="s">
        <v>36</v>
      </c>
      <c r="B19" s="21" t="s">
        <v>37</v>
      </c>
      <c r="C19" s="22">
        <f>[32]NUMERIK!K31</f>
        <v>232.58131914352617</v>
      </c>
      <c r="D19" s="73" t="s">
        <v>12</v>
      </c>
      <c r="E19" s="74">
        <f>C19/E$7*100%</f>
        <v>0.57712486139832797</v>
      </c>
      <c r="F19" s="25">
        <f t="shared" si="0"/>
        <v>3</v>
      </c>
      <c r="G19" s="36" t="str">
        <f>[32]Outcome!Q181</f>
        <v xml:space="preserve">, , , , , , , , , , , , , , , , , , , </v>
      </c>
      <c r="H19" s="27">
        <f>[32]Outcome!Q182</f>
        <v>0</v>
      </c>
      <c r="I19" s="38" t="s">
        <v>12</v>
      </c>
      <c r="J19" s="39">
        <f>IF(H19&gt;C19,0,C19-H19)</f>
        <v>232.58131914352617</v>
      </c>
      <c r="K19" s="75" t="s">
        <v>12</v>
      </c>
      <c r="L19" s="76">
        <f>J19/E$7*100%</f>
        <v>0.57712486139832797</v>
      </c>
      <c r="M19" s="42">
        <f t="shared" si="1"/>
        <v>3</v>
      </c>
      <c r="N19" s="33"/>
    </row>
    <row r="20" spans="1:15" s="34" customFormat="1" ht="24.95" customHeight="1" thickBot="1" x14ac:dyDescent="0.3">
      <c r="A20" s="213"/>
      <c r="B20" s="21" t="s">
        <v>38</v>
      </c>
      <c r="C20" s="22">
        <f>[32]NUMERIK!K33</f>
        <v>0</v>
      </c>
      <c r="D20" s="73" t="s">
        <v>12</v>
      </c>
      <c r="E20" s="74">
        <f>C20/E$7*100%</f>
        <v>0</v>
      </c>
      <c r="F20" s="25">
        <f t="shared" si="0"/>
        <v>0</v>
      </c>
      <c r="G20" s="45" t="str">
        <f>[32]Outcome!Q201</f>
        <v xml:space="preserve">, , , , , , , , , , , , , , , , , , , , , , , , , , , , , , , , , , , , , , , , , , , , </v>
      </c>
      <c r="H20" s="37">
        <f>[32]Outcome!Q202</f>
        <v>0</v>
      </c>
      <c r="I20" s="38" t="s">
        <v>12</v>
      </c>
      <c r="J20" s="39">
        <f>IF(H20&gt;C20,0,C20-H20)</f>
        <v>0</v>
      </c>
      <c r="K20" s="75" t="s">
        <v>12</v>
      </c>
      <c r="L20" s="76">
        <f>J20/E$7*100%</f>
        <v>0</v>
      </c>
      <c r="M20" s="42">
        <f t="shared" si="1"/>
        <v>0</v>
      </c>
      <c r="N20" s="33"/>
    </row>
    <row r="21" spans="1:15" s="77" customFormat="1" ht="30" customHeight="1" thickBot="1" x14ac:dyDescent="0.3">
      <c r="A21" s="52" t="s">
        <v>39</v>
      </c>
      <c r="B21" s="53"/>
      <c r="C21" s="54"/>
      <c r="D21" s="55"/>
      <c r="E21" s="56">
        <f>IF(SUM(F19:F20)&gt;0,(SUMIF(F19:F20,"&gt;0",E19:E20)/2),0)</f>
        <v>0.28856243069916399</v>
      </c>
      <c r="F21" s="57"/>
      <c r="G21" s="58"/>
      <c r="H21" s="59"/>
      <c r="I21" s="59"/>
      <c r="J21" s="60"/>
      <c r="K21" s="61"/>
      <c r="L21" s="56">
        <f>IF(SUM(M19:M20)&gt;0,(SUMIF(M19:M20,"&gt;0",L19:L20)/2),0)</f>
        <v>0.28856243069916399</v>
      </c>
      <c r="M21" s="62"/>
      <c r="N21" s="33"/>
      <c r="O21" s="34"/>
    </row>
    <row r="22" spans="1:15" s="34" customFormat="1" ht="20.100000000000001" customHeight="1" x14ac:dyDescent="0.25">
      <c r="A22" s="192" t="s">
        <v>40</v>
      </c>
      <c r="B22" s="78" t="s">
        <v>41</v>
      </c>
      <c r="C22" s="22">
        <f>[32]NUMERIK!K36</f>
        <v>0</v>
      </c>
      <c r="D22" s="73" t="s">
        <v>3</v>
      </c>
      <c r="E22" s="79">
        <f>C22/E$4*100%</f>
        <v>0</v>
      </c>
      <c r="F22" s="25">
        <f t="shared" si="0"/>
        <v>0</v>
      </c>
      <c r="G22" s="36" t="str">
        <f>[32]Outcome!Q246</f>
        <v xml:space="preserve">, , , , , , , , , , , , , , , , , , , </v>
      </c>
      <c r="H22" s="27">
        <f>[32]Outcome!M246</f>
        <v>0</v>
      </c>
      <c r="I22" s="38" t="s">
        <v>3</v>
      </c>
      <c r="J22" s="39">
        <f>IF(H22&gt;C22,0,C22-H22)</f>
        <v>0</v>
      </c>
      <c r="K22" s="40" t="s">
        <v>3</v>
      </c>
      <c r="L22" s="41">
        <f>J22/E$4*100%</f>
        <v>0</v>
      </c>
      <c r="M22" s="42">
        <f t="shared" si="1"/>
        <v>0</v>
      </c>
      <c r="N22" s="33"/>
    </row>
    <row r="23" spans="1:15" s="34" customFormat="1" ht="25.5" customHeight="1" x14ac:dyDescent="0.25">
      <c r="A23" s="192"/>
      <c r="B23" s="21" t="s">
        <v>42</v>
      </c>
      <c r="C23" s="22">
        <f>([32]NUMERIK!K38-[32]NUMERIK!K40)</f>
        <v>0</v>
      </c>
      <c r="D23" s="73" t="s">
        <v>33</v>
      </c>
      <c r="E23" s="79">
        <f>C23/[32]NUMERIK!K$38*100%</f>
        <v>0</v>
      </c>
      <c r="F23" s="25">
        <f t="shared" si="0"/>
        <v>0</v>
      </c>
      <c r="G23" s="36" t="str">
        <f>[32]Outcome!Q266</f>
        <v xml:space="preserve">, , , , , , , , , , , , , , , , , , , , , , , , , , , , , , , , , , , , , , , , , , , , </v>
      </c>
      <c r="H23" s="37">
        <f>[32]Outcome!M266</f>
        <v>0</v>
      </c>
      <c r="I23" s="38" t="s">
        <v>33</v>
      </c>
      <c r="J23" s="39">
        <f>IF(H23&gt;C23,0,C23-H23)</f>
        <v>0</v>
      </c>
      <c r="K23" s="40" t="s">
        <v>33</v>
      </c>
      <c r="L23" s="41">
        <f>J23/[32]NUMERIK!K$38*100%</f>
        <v>0</v>
      </c>
      <c r="M23" s="42">
        <f t="shared" si="1"/>
        <v>0</v>
      </c>
      <c r="N23" s="33"/>
    </row>
    <row r="24" spans="1:15" s="34" customFormat="1" ht="20.100000000000001" customHeight="1" x14ac:dyDescent="0.25">
      <c r="A24" s="192"/>
      <c r="B24" s="21" t="s">
        <v>43</v>
      </c>
      <c r="C24" s="22">
        <f>[32]NUMERIK!K42</f>
        <v>0</v>
      </c>
      <c r="D24" s="73" t="s">
        <v>33</v>
      </c>
      <c r="E24" s="79">
        <f>C24/[32]NUMERIK!K$38*100%</f>
        <v>0</v>
      </c>
      <c r="F24" s="25">
        <f t="shared" si="0"/>
        <v>0</v>
      </c>
      <c r="G24" s="36" t="str">
        <f>[32]Outcome!Q311</f>
        <v xml:space="preserve">, , , , , , , , , , , , , , , , , , , </v>
      </c>
      <c r="H24" s="37">
        <f>[32]Outcome!M311</f>
        <v>0</v>
      </c>
      <c r="I24" s="38" t="s">
        <v>33</v>
      </c>
      <c r="J24" s="39">
        <f>IF(H24&gt;C24,0,C24-H24)</f>
        <v>0</v>
      </c>
      <c r="K24" s="40" t="s">
        <v>33</v>
      </c>
      <c r="L24" s="41">
        <f>J24/[32]NUMERIK!K$38*100%</f>
        <v>0</v>
      </c>
      <c r="M24" s="42">
        <f t="shared" si="1"/>
        <v>0</v>
      </c>
      <c r="N24" s="33"/>
    </row>
    <row r="25" spans="1:15" s="34" customFormat="1" ht="20.100000000000001" customHeight="1" x14ac:dyDescent="0.25">
      <c r="A25" s="192"/>
      <c r="B25" s="21" t="s">
        <v>44</v>
      </c>
      <c r="C25" s="22">
        <f>[32]NUMERIK!K45</f>
        <v>2100</v>
      </c>
      <c r="D25" s="73" t="s">
        <v>33</v>
      </c>
      <c r="E25" s="79">
        <f>C25/[32]NUMERIK!K$38*100%</f>
        <v>0.82352941176470584</v>
      </c>
      <c r="F25" s="25">
        <f t="shared" si="0"/>
        <v>5</v>
      </c>
      <c r="G25" s="36" t="str">
        <f>[32]Outcome!Q331</f>
        <v xml:space="preserve">Perbaikan Drainase RT012-RW004, , , , , , , , , , , , , , , , , , , </v>
      </c>
      <c r="H25" s="37">
        <f>[32]Outcome!M331</f>
        <v>125</v>
      </c>
      <c r="I25" s="38" t="s">
        <v>33</v>
      </c>
      <c r="J25" s="39">
        <f>IF(H25&gt;C25,0,C25-H25)</f>
        <v>1975</v>
      </c>
      <c r="K25" s="40" t="s">
        <v>33</v>
      </c>
      <c r="L25" s="41">
        <f>J25/[32]NUMERIK!K$38*100%</f>
        <v>0.77450980392156865</v>
      </c>
      <c r="M25" s="42">
        <f t="shared" si="1"/>
        <v>5</v>
      </c>
      <c r="N25" s="33"/>
    </row>
    <row r="26" spans="1:15" s="34" customFormat="1" ht="20.100000000000001" customHeight="1" thickBot="1" x14ac:dyDescent="0.3">
      <c r="A26" s="192"/>
      <c r="B26" s="78" t="s">
        <v>45</v>
      </c>
      <c r="C26" s="22">
        <f>[32]NUMERIK!K48</f>
        <v>0</v>
      </c>
      <c r="D26" s="73" t="s">
        <v>33</v>
      </c>
      <c r="E26" s="79">
        <f>C26/[32]NUMERIK!K$38*100%</f>
        <v>0</v>
      </c>
      <c r="F26" s="25">
        <f t="shared" si="0"/>
        <v>0</v>
      </c>
      <c r="G26" s="36" t="str">
        <f>[32]Outcome!Q351</f>
        <v xml:space="preserve">, , , , , , , , , , , , , , , , , , , , , , , , , , , , , , , , , , , , , , , , , , , , </v>
      </c>
      <c r="H26" s="37">
        <f>[32]Outcome!M351</f>
        <v>0</v>
      </c>
      <c r="I26" s="38" t="s">
        <v>33</v>
      </c>
      <c r="J26" s="39">
        <f>IF(H26&gt;C26,0,C26-H26)</f>
        <v>0</v>
      </c>
      <c r="K26" s="40" t="s">
        <v>33</v>
      </c>
      <c r="L26" s="41">
        <f>J26/[32]NUMERIK!K$38*100%</f>
        <v>0</v>
      </c>
      <c r="M26" s="42">
        <f t="shared" si="1"/>
        <v>0</v>
      </c>
      <c r="N26" s="33"/>
    </row>
    <row r="27" spans="1:15" s="88" customFormat="1" ht="30" customHeight="1" thickBot="1" x14ac:dyDescent="0.3">
      <c r="A27" s="80" t="s">
        <v>46</v>
      </c>
      <c r="B27" s="81"/>
      <c r="C27" s="55"/>
      <c r="D27" s="55"/>
      <c r="E27" s="82">
        <f>IF(SUM(F22:F26)&gt;0,(SUMIF(F22:F26,"&gt;0",E22:E26)/5),0)</f>
        <v>0.16470588235294117</v>
      </c>
      <c r="F27" s="83"/>
      <c r="G27" s="58"/>
      <c r="H27" s="59"/>
      <c r="I27" s="59"/>
      <c r="J27" s="84"/>
      <c r="K27" s="85"/>
      <c r="L27" s="82">
        <f>IF(SUM(M22:M26)&gt;0,(SUMIF(M22:M26,"&gt;0",L22:L26)/5),0)</f>
        <v>0.15490196078431373</v>
      </c>
      <c r="M27" s="86"/>
      <c r="N27" s="87"/>
    </row>
    <row r="28" spans="1:15" s="34" customFormat="1" ht="27.75" customHeight="1" x14ac:dyDescent="0.25">
      <c r="A28" s="213" t="s">
        <v>47</v>
      </c>
      <c r="B28" s="21" t="s">
        <v>48</v>
      </c>
      <c r="C28" s="22">
        <f>[32]NUMERIK!K51</f>
        <v>2.4781704781704761</v>
      </c>
      <c r="D28" s="73" t="s">
        <v>12</v>
      </c>
      <c r="E28" s="89">
        <f>C28/E$7*100%</f>
        <v>6.1493063974453503E-3</v>
      </c>
      <c r="F28" s="25">
        <f t="shared" si="0"/>
        <v>0</v>
      </c>
      <c r="G28" s="36" t="str">
        <f>[32]Outcome!Q396</f>
        <v xml:space="preserve">, , , , , , , , , , , , , , , , , , , , , , , , , , , , , , , , , , , , , , , , , , , , </v>
      </c>
      <c r="H28" s="37">
        <f>[32]Outcome!Q397</f>
        <v>0</v>
      </c>
      <c r="I28" s="38" t="s">
        <v>12</v>
      </c>
      <c r="J28" s="39">
        <f>IF(H28&gt;C28,0,C28-H28)</f>
        <v>2.4781704781704761</v>
      </c>
      <c r="K28" s="40" t="s">
        <v>12</v>
      </c>
      <c r="L28" s="41">
        <f>J28/E$7*100%</f>
        <v>6.1493063974453503E-3</v>
      </c>
      <c r="M28" s="42">
        <f t="shared" si="1"/>
        <v>0</v>
      </c>
      <c r="N28" s="33"/>
    </row>
    <row r="29" spans="1:15" s="34" customFormat="1" ht="30" customHeight="1" thickBot="1" x14ac:dyDescent="0.3">
      <c r="A29" s="213"/>
      <c r="B29" s="21" t="s">
        <v>49</v>
      </c>
      <c r="C29" s="22">
        <f>[32]NUMERIK!K53</f>
        <v>2.4781704781704761</v>
      </c>
      <c r="D29" s="73" t="s">
        <v>12</v>
      </c>
      <c r="E29" s="89">
        <f>C29/E$7*100%</f>
        <v>6.1493063974453503E-3</v>
      </c>
      <c r="F29" s="25">
        <f t="shared" si="0"/>
        <v>0</v>
      </c>
      <c r="G29" s="45" t="str">
        <f>[32]Outcome!Q441</f>
        <v xml:space="preserve">, , , , , , , , , , , , , , , , , , , , , , , , , , , , , , , , , , , , , , , , , , , , , , , , , , , , , , </v>
      </c>
      <c r="H29" s="37">
        <f>[32]Outcome!Q442</f>
        <v>0</v>
      </c>
      <c r="I29" s="38" t="s">
        <v>12</v>
      </c>
      <c r="J29" s="39">
        <f>IF(H29&gt;C29,0,C29-H29)</f>
        <v>2.4781704781704761</v>
      </c>
      <c r="K29" s="40" t="s">
        <v>12</v>
      </c>
      <c r="L29" s="41">
        <f>J29/E$7*100%</f>
        <v>6.1493063974453503E-3</v>
      </c>
      <c r="M29" s="42">
        <f t="shared" si="1"/>
        <v>0</v>
      </c>
      <c r="N29" s="33"/>
    </row>
    <row r="30" spans="1:15" s="88" customFormat="1" ht="30" customHeight="1" thickBot="1" x14ac:dyDescent="0.3">
      <c r="A30" s="90" t="s">
        <v>50</v>
      </c>
      <c r="B30" s="81"/>
      <c r="C30" s="55"/>
      <c r="D30" s="55"/>
      <c r="E30" s="82">
        <f>IF(SUM(F28:F29)&gt;0,(SUMIF(F28:F29,"&gt;0",E28:E29)/2),0)</f>
        <v>0</v>
      </c>
      <c r="F30" s="83"/>
      <c r="G30" s="91"/>
      <c r="H30" s="92"/>
      <c r="I30" s="92"/>
      <c r="J30" s="84"/>
      <c r="K30" s="85"/>
      <c r="L30" s="82">
        <f>IF(SUM(M28:M29)&gt;0,(SUMIF(M28:M29,"&gt;0",L28:L29)/2),0)</f>
        <v>0</v>
      </c>
      <c r="M30" s="86"/>
      <c r="N30" s="87"/>
    </row>
    <row r="31" spans="1:15" s="34" customFormat="1" ht="31.5" customHeight="1" x14ac:dyDescent="0.25">
      <c r="A31" s="192" t="s">
        <v>51</v>
      </c>
      <c r="B31" s="21" t="s">
        <v>52</v>
      </c>
      <c r="C31" s="93">
        <f>[32]NUMERIK!K56</f>
        <v>45</v>
      </c>
      <c r="D31" s="94" t="s">
        <v>12</v>
      </c>
      <c r="E31" s="89">
        <f>C31/E$7*100%</f>
        <v>0.11166253101736973</v>
      </c>
      <c r="F31" s="25">
        <f t="shared" si="0"/>
        <v>0</v>
      </c>
      <c r="G31" s="36" t="str">
        <f>[32]Outcome!Q496</f>
        <v xml:space="preserve">, , , , , , , , , , , , , , , , , , , , , , , , , , , , , , , , , , , , , , , , , , , , </v>
      </c>
      <c r="H31" s="37">
        <f>[32]Outcome!Q497</f>
        <v>0</v>
      </c>
      <c r="I31" s="38" t="s">
        <v>12</v>
      </c>
      <c r="J31" s="39">
        <f>IF(H31&gt;C31,0,C31-H31)</f>
        <v>45</v>
      </c>
      <c r="K31" s="40" t="s">
        <v>12</v>
      </c>
      <c r="L31" s="41">
        <f>J31/E$7*100%</f>
        <v>0.11166253101736973</v>
      </c>
      <c r="M31" s="42">
        <f t="shared" si="1"/>
        <v>0</v>
      </c>
      <c r="N31" s="33"/>
    </row>
    <row r="32" spans="1:15" s="34" customFormat="1" ht="32.25" customHeight="1" x14ac:dyDescent="0.25">
      <c r="A32" s="192"/>
      <c r="B32" s="21" t="s">
        <v>53</v>
      </c>
      <c r="C32" s="93">
        <f>[32]NUMERIK!K59</f>
        <v>0</v>
      </c>
      <c r="D32" s="94" t="s">
        <v>12</v>
      </c>
      <c r="E32" s="89">
        <f>C32/E$7*100%</f>
        <v>0</v>
      </c>
      <c r="F32" s="25">
        <f t="shared" si="0"/>
        <v>0</v>
      </c>
      <c r="G32" s="36" t="str">
        <f>[32]Outcome!Q541</f>
        <v xml:space="preserve">, , , , , , , , , , , , , , , , , , , , , , , , , , , , , , , , , , , , , , , , , , , , </v>
      </c>
      <c r="H32" s="37">
        <f>[32]Outcome!Q542</f>
        <v>0</v>
      </c>
      <c r="I32" s="38" t="s">
        <v>12</v>
      </c>
      <c r="J32" s="39">
        <f>IF(H32&gt;C32,0,C32-H32)</f>
        <v>0</v>
      </c>
      <c r="K32" s="40" t="s">
        <v>12</v>
      </c>
      <c r="L32" s="41">
        <f>J32/E$7*100%</f>
        <v>0</v>
      </c>
      <c r="M32" s="42">
        <f t="shared" si="1"/>
        <v>0</v>
      </c>
      <c r="N32" s="33"/>
    </row>
    <row r="33" spans="1:14" s="34" customFormat="1" ht="30.75" customHeight="1" thickBot="1" x14ac:dyDescent="0.3">
      <c r="A33" s="192"/>
      <c r="B33" s="21" t="s">
        <v>54</v>
      </c>
      <c r="C33" s="93">
        <f>[32]NUMERIK!K61</f>
        <v>45</v>
      </c>
      <c r="D33" s="94" t="s">
        <v>12</v>
      </c>
      <c r="E33" s="89">
        <f>C33/E$7*100%</f>
        <v>0.11166253101736973</v>
      </c>
      <c r="F33" s="25">
        <f t="shared" si="0"/>
        <v>0</v>
      </c>
      <c r="G33" s="36" t="str">
        <f>[32]Outcome!Q586</f>
        <v xml:space="preserve">, , , , , , , , , , , , , , , , , , , , , , , , , , , , , , , , , , , , , , , , , , , , </v>
      </c>
      <c r="H33" s="37">
        <f>[32]Outcome!Q587</f>
        <v>0</v>
      </c>
      <c r="I33" s="38" t="s">
        <v>12</v>
      </c>
      <c r="J33" s="39">
        <f>IF(H33&gt;C33,0,C33-H33)</f>
        <v>45</v>
      </c>
      <c r="K33" s="40" t="s">
        <v>12</v>
      </c>
      <c r="L33" s="41">
        <f>J33/E$7*100%</f>
        <v>0.11166253101736973</v>
      </c>
      <c r="M33" s="42">
        <f t="shared" si="1"/>
        <v>0</v>
      </c>
      <c r="N33" s="33"/>
    </row>
    <row r="34" spans="1:14" s="88" customFormat="1" ht="30" customHeight="1" thickBot="1" x14ac:dyDescent="0.3">
      <c r="A34" s="80" t="s">
        <v>55</v>
      </c>
      <c r="B34" s="81"/>
      <c r="C34" s="55"/>
      <c r="D34" s="55"/>
      <c r="E34" s="82">
        <f>IF(SUM(F31:F33)&gt;0,(SUMIF(F31:F33,"&gt;0",E31:E33)/3),0)</f>
        <v>0</v>
      </c>
      <c r="F34" s="83"/>
      <c r="G34" s="91"/>
      <c r="H34" s="92"/>
      <c r="I34" s="92"/>
      <c r="J34" s="84"/>
      <c r="K34" s="85"/>
      <c r="L34" s="82">
        <f>IF(SUM(M31:M33)&gt;0,(SUMIF(M31:M33,"&gt;0",L31:L33)/3),0)</f>
        <v>0</v>
      </c>
      <c r="M34" s="86"/>
      <c r="N34" s="87"/>
    </row>
    <row r="35" spans="1:14" s="34" customFormat="1" ht="24.95" customHeight="1" x14ac:dyDescent="0.25">
      <c r="A35" s="213" t="s">
        <v>56</v>
      </c>
      <c r="B35" s="95" t="s">
        <v>57</v>
      </c>
      <c r="C35" s="93">
        <f>[32]NUMERIK!K64</f>
        <v>0</v>
      </c>
      <c r="D35" s="94" t="s">
        <v>8</v>
      </c>
      <c r="E35" s="79">
        <f>C35/E$5*100%</f>
        <v>0</v>
      </c>
      <c r="F35" s="25">
        <f t="shared" si="0"/>
        <v>0</v>
      </c>
      <c r="G35" s="36" t="str">
        <f>[32]Outcome!Q631</f>
        <v xml:space="preserve">, , , , , , , , , , , , , , , , , , , </v>
      </c>
      <c r="H35" s="27">
        <f>[32]Outcome!Q632</f>
        <v>0</v>
      </c>
      <c r="I35" s="38" t="s">
        <v>8</v>
      </c>
      <c r="J35" s="39">
        <f>IF(H35&gt;C35,0,C35-H35)</f>
        <v>0</v>
      </c>
      <c r="K35" s="40" t="s">
        <v>8</v>
      </c>
      <c r="L35" s="41">
        <f>J35/E$5*100%</f>
        <v>0</v>
      </c>
      <c r="M35" s="42">
        <f t="shared" si="1"/>
        <v>0</v>
      </c>
      <c r="N35" s="33"/>
    </row>
    <row r="36" spans="1:14" s="34" customFormat="1" ht="24.95" customHeight="1" thickBot="1" x14ac:dyDescent="0.3">
      <c r="A36" s="213"/>
      <c r="B36" s="95" t="s">
        <v>58</v>
      </c>
      <c r="C36" s="96">
        <f>[32]NUMERIK!K66</f>
        <v>0</v>
      </c>
      <c r="D36" s="94" t="s">
        <v>8</v>
      </c>
      <c r="E36" s="79">
        <f>C36/E$5*100%</f>
        <v>0</v>
      </c>
      <c r="F36" s="25">
        <f t="shared" si="0"/>
        <v>0</v>
      </c>
      <c r="G36" s="36" t="str">
        <f>[32]Outcome!Q651</f>
        <v xml:space="preserve">, , , , , , , , , , , , , , , , , , , </v>
      </c>
      <c r="H36" s="37">
        <f>[32]Outcome!Q652</f>
        <v>0</v>
      </c>
      <c r="I36" s="97" t="s">
        <v>8</v>
      </c>
      <c r="J36" s="98">
        <f>IF(H36&gt;C36,0,C36-H36)</f>
        <v>0</v>
      </c>
      <c r="K36" s="99" t="s">
        <v>8</v>
      </c>
      <c r="L36" s="100">
        <f>J36/E$5*100%</f>
        <v>0</v>
      </c>
      <c r="M36" s="51">
        <f t="shared" si="1"/>
        <v>0</v>
      </c>
      <c r="N36" s="33"/>
    </row>
    <row r="37" spans="1:14" s="77" customFormat="1" ht="30" customHeight="1" thickBot="1" x14ac:dyDescent="0.3">
      <c r="A37" s="80" t="s">
        <v>59</v>
      </c>
      <c r="B37" s="101"/>
      <c r="C37" s="102"/>
      <c r="D37" s="102"/>
      <c r="E37" s="82">
        <f>IF(SUM(F35:F36)&gt;0,(SUMIF(F35:F36,"&gt;0",E35:E36)/2),0)</f>
        <v>0</v>
      </c>
      <c r="F37" s="103"/>
      <c r="G37" s="104"/>
      <c r="H37" s="105"/>
      <c r="I37" s="105"/>
      <c r="J37" s="106"/>
      <c r="K37" s="107"/>
      <c r="L37" s="82">
        <f>IF(SUM(M35:M36)&gt;0,(SUMIF(M35:M36,"&gt;0",L35:L36)/2),0)</f>
        <v>0</v>
      </c>
      <c r="M37" s="108"/>
      <c r="N37" s="109"/>
    </row>
    <row r="38" spans="1:14" ht="15" customHeight="1" x14ac:dyDescent="0.25">
      <c r="A38" s="110"/>
      <c r="B38" s="111" t="s">
        <v>60</v>
      </c>
      <c r="D38" s="218" t="s">
        <v>61</v>
      </c>
      <c r="E38" s="219"/>
      <c r="F38" s="222">
        <f>SUM(F12:F36)</f>
        <v>8</v>
      </c>
      <c r="G38" s="112"/>
      <c r="H38" s="112"/>
      <c r="I38" s="112"/>
      <c r="J38" s="112"/>
      <c r="K38" s="238" t="s">
        <v>61</v>
      </c>
      <c r="L38" s="239"/>
      <c r="M38" s="224">
        <f>SUM(M12:M36)</f>
        <v>8</v>
      </c>
    </row>
    <row r="39" spans="1:14" ht="15" customHeight="1" x14ac:dyDescent="0.25">
      <c r="A39" s="110"/>
      <c r="B39" s="113" t="s">
        <v>62</v>
      </c>
      <c r="D39" s="220"/>
      <c r="E39" s="221"/>
      <c r="F39" s="223"/>
      <c r="G39" s="114"/>
      <c r="H39" s="114"/>
      <c r="I39" s="114"/>
      <c r="J39" s="114"/>
      <c r="K39" s="240"/>
      <c r="L39" s="241"/>
      <c r="M39" s="225"/>
    </row>
    <row r="40" spans="1:14" ht="15" customHeight="1" x14ac:dyDescent="0.25">
      <c r="A40" s="110"/>
      <c r="B40" s="115" t="s">
        <v>63</v>
      </c>
      <c r="D40" s="226" t="s">
        <v>64</v>
      </c>
      <c r="E40" s="227"/>
      <c r="F40" s="230" t="str">
        <f>IF(F38="N/A","TIDAK KUMUH",IF(F38&gt;=71,"KUMUH BERAT",IF(AND(F38&lt;=70,F38&gt;=45),"KUMUH SEDANG",IF(AND(F38&lt;=44,F38&gt;=19),"KUMUH RINGAN","TIDAK KUMUH"))))</f>
        <v>TIDAK KUMUH</v>
      </c>
      <c r="G40" s="116"/>
      <c r="H40" s="116"/>
      <c r="I40" s="116"/>
      <c r="J40" s="116"/>
      <c r="K40" s="232" t="s">
        <v>64</v>
      </c>
      <c r="L40" s="233"/>
      <c r="M40" s="236" t="str">
        <f>IF(M38="N/A","TIDAK KUMUH",IF(M38&gt;=71,"KUMUH BERAT",IF(AND(M38&lt;=70,M38&gt;=45),"KUMUH SEDANG",IF(AND(M38&lt;=44,M38&gt;=19),"KUMUH RINGAN","TIDAK KUMUH"))))</f>
        <v>TIDAK KUMUH</v>
      </c>
    </row>
    <row r="41" spans="1:14" ht="15" customHeight="1" thickBot="1" x14ac:dyDescent="0.3">
      <c r="A41" s="110"/>
      <c r="B41" s="117" t="s">
        <v>65</v>
      </c>
      <c r="D41" s="228"/>
      <c r="E41" s="229"/>
      <c r="F41" s="231" t="str">
        <f>IF(E41&gt;71,"KB",IF(E41&gt;=47,"KS","KR"))</f>
        <v>KR</v>
      </c>
      <c r="G41" s="116"/>
      <c r="H41" s="116"/>
      <c r="I41" s="116"/>
      <c r="J41" s="116"/>
      <c r="K41" s="234"/>
      <c r="L41" s="235"/>
      <c r="M41" s="237" t="str">
        <f>IF(L41&gt;71,"KB",IF(L41&gt;=47,"KS","KR"))</f>
        <v>KR</v>
      </c>
    </row>
    <row r="42" spans="1:14" ht="21" customHeight="1" x14ac:dyDescent="0.25">
      <c r="B42" s="118" t="s">
        <v>66</v>
      </c>
      <c r="C42" s="119"/>
      <c r="D42" s="120"/>
      <c r="E42" s="121" t="s">
        <v>67</v>
      </c>
      <c r="F42" s="122">
        <f>AVERAGE(E15,E18,E21,E27,E30,E34,E37)</f>
        <v>6.4752616150300729E-2</v>
      </c>
      <c r="J42" s="123"/>
      <c r="K42" s="124"/>
      <c r="L42" s="125" t="s">
        <v>67</v>
      </c>
      <c r="M42" s="126">
        <f>AVERAGE(L15,L18,L21,L27,L30,L34,L37)</f>
        <v>6.3352055926211098E-2</v>
      </c>
    </row>
    <row r="43" spans="1:14" ht="21" customHeight="1" x14ac:dyDescent="0.25">
      <c r="B43" s="127"/>
      <c r="C43" s="119"/>
      <c r="D43" s="120"/>
      <c r="E43" s="121" t="s">
        <v>68</v>
      </c>
      <c r="F43" s="122">
        <v>0</v>
      </c>
      <c r="J43" s="123"/>
      <c r="K43" s="124"/>
      <c r="L43" s="125" t="s">
        <v>68</v>
      </c>
      <c r="M43" s="126">
        <f>(F42-M42)/F42</f>
        <v>2.1629399819749619E-2</v>
      </c>
      <c r="N43"/>
    </row>
    <row r="44" spans="1:14" x14ac:dyDescent="0.25">
      <c r="M44" s="128"/>
    </row>
    <row r="55" spans="12:12" x14ac:dyDescent="0.25">
      <c r="L55" s="129"/>
    </row>
  </sheetData>
  <mergeCells count="23">
    <mergeCell ref="A22:A26"/>
    <mergeCell ref="A1:F1"/>
    <mergeCell ref="A2:B2"/>
    <mergeCell ref="A9:A11"/>
    <mergeCell ref="B9:B11"/>
    <mergeCell ref="C9:F10"/>
    <mergeCell ref="J9:M10"/>
    <mergeCell ref="G10:I10"/>
    <mergeCell ref="A12:A14"/>
    <mergeCell ref="A16:A17"/>
    <mergeCell ref="A19:A20"/>
    <mergeCell ref="G9:I9"/>
    <mergeCell ref="A28:A29"/>
    <mergeCell ref="A31:A33"/>
    <mergeCell ref="A35:A36"/>
    <mergeCell ref="D38:E39"/>
    <mergeCell ref="F38:F39"/>
    <mergeCell ref="M38:M39"/>
    <mergeCell ref="D40:E41"/>
    <mergeCell ref="F40:F41"/>
    <mergeCell ref="K40:L41"/>
    <mergeCell ref="M40:M41"/>
    <mergeCell ref="K38:L39"/>
  </mergeCells>
  <conditionalFormatting sqref="F40:J41">
    <cfRule type="expression" dxfId="44" priority="6">
      <formula>F40="KUMUH SEDANG"</formula>
    </cfRule>
    <cfRule type="expression" dxfId="43" priority="7">
      <formula>F40="TIDAK KUMUH"</formula>
    </cfRule>
    <cfRule type="expression" dxfId="42" priority="8">
      <formula>F40="KUMUH BERAT"</formula>
    </cfRule>
    <cfRule type="expression" dxfId="41" priority="9">
      <formula>F40="KUMUH RINGAN"</formula>
    </cfRule>
  </conditionalFormatting>
  <conditionalFormatting sqref="G12:G14 G16:G17 G19:G20 G22:G26 G28:G29 G31:G33 G35:G36">
    <cfRule type="cellIs" dxfId="40" priority="1" operator="equal">
      <formula>", , , , , , "</formula>
    </cfRule>
  </conditionalFormatting>
  <conditionalFormatting sqref="M40:M41">
    <cfRule type="expression" dxfId="39" priority="2">
      <formula>M40="KUMUH SEDANG"</formula>
    </cfRule>
    <cfRule type="expression" dxfId="38" priority="3">
      <formula>M40="TIDAK KUMUH"</formula>
    </cfRule>
    <cfRule type="expression" dxfId="37" priority="4">
      <formula>M40="KUMUH BERAT"</formula>
    </cfRule>
    <cfRule type="expression" dxfId="36" priority="5">
      <formula>M40="KUMUH RINGAN"</formula>
    </cfRule>
  </conditionalFormatting>
  <pageMargins left="0.7" right="0.2" top="0.75" bottom="0.75" header="0.3" footer="0.3"/>
  <pageSetup paperSize="9" scale="70" orientation="portrait" horizontalDpi="4294967293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BA03E-BCF4-42B4-9D2D-49B1AFD94006}">
  <sheetPr>
    <tabColor rgb="FF0070C0"/>
  </sheetPr>
  <dimension ref="A1:O55"/>
  <sheetViews>
    <sheetView showGridLines="0" zoomScale="80" zoomScaleNormal="80" zoomScaleSheetLayoutView="75" zoomScalePageLayoutView="90" workbookViewId="0">
      <selection activeCell="F12" sqref="F12:F37"/>
    </sheetView>
  </sheetViews>
  <sheetFormatPr defaultColWidth="8.85546875" defaultRowHeight="15" x14ac:dyDescent="0.25"/>
  <cols>
    <col min="1" max="1" width="24" customWidth="1"/>
    <col min="2" max="2" width="45.85546875" customWidth="1"/>
    <col min="3" max="3" width="12.42578125" customWidth="1"/>
    <col min="4" max="4" width="9.140625" customWidth="1"/>
    <col min="5" max="5" width="12.140625" customWidth="1"/>
    <col min="6" max="6" width="9.140625" customWidth="1"/>
    <col min="7" max="7" width="36.42578125" customWidth="1"/>
    <col min="8" max="9" width="9.140625" customWidth="1"/>
    <col min="10" max="10" width="10" bestFit="1" customWidth="1"/>
    <col min="11" max="12" width="9.140625" customWidth="1"/>
    <col min="13" max="13" width="11.28515625" customWidth="1"/>
    <col min="14" max="14" width="2.28515625" style="3" customWidth="1"/>
  </cols>
  <sheetData>
    <row r="1" spans="1:14" ht="18.75" customHeight="1" x14ac:dyDescent="0.3">
      <c r="A1" s="193" t="s">
        <v>0</v>
      </c>
      <c r="B1" s="193"/>
      <c r="C1" s="193"/>
      <c r="D1" s="193"/>
      <c r="E1" s="193"/>
      <c r="F1" s="193"/>
      <c r="G1" s="1"/>
      <c r="H1" s="1"/>
      <c r="I1" s="1"/>
      <c r="J1" s="1"/>
      <c r="K1" s="1"/>
      <c r="L1" s="1"/>
      <c r="M1" s="2"/>
    </row>
    <row r="2" spans="1:14" ht="3.75" customHeight="1" x14ac:dyDescent="0.25">
      <c r="A2" s="194"/>
      <c r="B2" s="194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4" ht="15.75" customHeight="1" x14ac:dyDescent="0.25">
      <c r="A3" s="6" t="s">
        <v>1</v>
      </c>
      <c r="B3" s="6" t="str">
        <f>": "&amp;[33]NUMERIK!E14</f>
        <v>: JAWA TIMUR</v>
      </c>
      <c r="C3" s="7" t="s">
        <v>2</v>
      </c>
      <c r="D3" s="8"/>
      <c r="E3" s="9">
        <f>[33]NUMERIK!K6</f>
        <v>6.66</v>
      </c>
      <c r="F3" t="s">
        <v>3</v>
      </c>
    </row>
    <row r="4" spans="1:14" ht="15.75" customHeight="1" x14ac:dyDescent="0.25">
      <c r="A4" s="6" t="s">
        <v>4</v>
      </c>
      <c r="B4" s="6" t="str">
        <f>": "&amp;[33]NUMERIK!E12</f>
        <v>: KOTA MADIUN</v>
      </c>
      <c r="C4" s="7" t="s">
        <v>5</v>
      </c>
      <c r="D4" s="8"/>
      <c r="E4" s="9">
        <f>[33]NUMERIK!K8</f>
        <v>6.66</v>
      </c>
      <c r="F4" t="s">
        <v>3</v>
      </c>
    </row>
    <row r="5" spans="1:14" ht="15.75" customHeight="1" x14ac:dyDescent="0.25">
      <c r="A5" s="10" t="s">
        <v>6</v>
      </c>
      <c r="B5" s="10" t="str">
        <f>": "&amp;[33]NUMERIK!E10</f>
        <v>: MANGUHARJO</v>
      </c>
      <c r="C5" s="7" t="s">
        <v>7</v>
      </c>
      <c r="D5" s="8"/>
      <c r="E5" s="11">
        <f>[33]NUMERIK!K10</f>
        <v>182</v>
      </c>
      <c r="F5" t="s">
        <v>8</v>
      </c>
    </row>
    <row r="6" spans="1:14" ht="15.75" customHeight="1" x14ac:dyDescent="0.25">
      <c r="A6" s="10" t="s">
        <v>9</v>
      </c>
      <c r="B6" s="10" t="str">
        <f>": "&amp;[33]NUMERIK!E6</f>
        <v>: NAMBANGAN LOR</v>
      </c>
      <c r="C6" s="7" t="s">
        <v>10</v>
      </c>
      <c r="D6" s="8"/>
      <c r="E6" s="12">
        <f>[33]NUMERIK!K12</f>
        <v>698</v>
      </c>
      <c r="F6" t="s">
        <v>11</v>
      </c>
    </row>
    <row r="7" spans="1:14" ht="15.75" customHeight="1" x14ac:dyDescent="0.25">
      <c r="A7" s="4"/>
      <c r="B7" s="13"/>
      <c r="C7" s="7" t="s">
        <v>7</v>
      </c>
      <c r="D7" s="5"/>
      <c r="E7" s="12">
        <f>[33]NUMERIK!K14</f>
        <v>249</v>
      </c>
      <c r="F7" t="s">
        <v>12</v>
      </c>
    </row>
    <row r="8" spans="1:14" ht="5.25" customHeight="1" thickBot="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4" ht="12" customHeight="1" x14ac:dyDescent="0.25">
      <c r="A9" s="195" t="s">
        <v>13</v>
      </c>
      <c r="B9" s="197" t="s">
        <v>14</v>
      </c>
      <c r="C9" s="199" t="s">
        <v>15</v>
      </c>
      <c r="D9" s="200"/>
      <c r="E9" s="200"/>
      <c r="F9" s="201"/>
      <c r="G9" s="216" t="s">
        <v>16</v>
      </c>
      <c r="H9" s="217"/>
      <c r="I9" s="217"/>
      <c r="J9" s="205" t="s">
        <v>17</v>
      </c>
      <c r="K9" s="206"/>
      <c r="L9" s="206"/>
      <c r="M9" s="207"/>
    </row>
    <row r="10" spans="1:14" ht="9.75" customHeight="1" x14ac:dyDescent="0.25">
      <c r="A10" s="196"/>
      <c r="B10" s="198"/>
      <c r="C10" s="202"/>
      <c r="D10" s="203"/>
      <c r="E10" s="203"/>
      <c r="F10" s="204"/>
      <c r="G10" s="211" t="s">
        <v>18</v>
      </c>
      <c r="H10" s="212"/>
      <c r="I10" s="212"/>
      <c r="J10" s="208"/>
      <c r="K10" s="209"/>
      <c r="L10" s="209"/>
      <c r="M10" s="210"/>
    </row>
    <row r="11" spans="1:14" ht="15.75" thickBot="1" x14ac:dyDescent="0.3">
      <c r="A11" s="196"/>
      <c r="B11" s="198"/>
      <c r="C11" s="14" t="s">
        <v>19</v>
      </c>
      <c r="D11" s="14" t="s">
        <v>20</v>
      </c>
      <c r="E11" s="14" t="s">
        <v>21</v>
      </c>
      <c r="F11" s="15" t="s">
        <v>22</v>
      </c>
      <c r="G11" s="16" t="s">
        <v>23</v>
      </c>
      <c r="H11" s="17" t="s">
        <v>24</v>
      </c>
      <c r="I11" s="17" t="s">
        <v>20</v>
      </c>
      <c r="J11" s="18" t="s">
        <v>19</v>
      </c>
      <c r="K11" s="19" t="s">
        <v>20</v>
      </c>
      <c r="L11" s="19" t="s">
        <v>25</v>
      </c>
      <c r="M11" s="20" t="s">
        <v>22</v>
      </c>
    </row>
    <row r="12" spans="1:14" s="34" customFormat="1" ht="24.95" customHeight="1" x14ac:dyDescent="0.25">
      <c r="A12" s="213" t="s">
        <v>26</v>
      </c>
      <c r="B12" s="21" t="s">
        <v>27</v>
      </c>
      <c r="C12" s="22">
        <f>[33]NUMERIK!K18</f>
        <v>40</v>
      </c>
      <c r="D12" s="23" t="s">
        <v>8</v>
      </c>
      <c r="E12" s="24">
        <f>C12/E5*100%</f>
        <v>0.21978021978021978</v>
      </c>
      <c r="F12" s="25">
        <f>IF(AND(E12&gt;=24.995%,E12&lt;50.995%),1,IF(AND(E12&gt;=50.995%,E12&lt;75.995%),3,IF(E12&gt;=75.995%,5,0)))</f>
        <v>0</v>
      </c>
      <c r="G12" s="26" t="str">
        <f>[33]Outcome!Q6</f>
        <v xml:space="preserve">, , , , , , , , , , , , , , , , , , , , , , , , , , , , , , , , , , , , , , , , , , , , </v>
      </c>
      <c r="H12" s="27">
        <f>[33]Outcome!M6</f>
        <v>0</v>
      </c>
      <c r="I12" s="28" t="s">
        <v>8</v>
      </c>
      <c r="J12" s="29">
        <f>IF(H12&gt;C12,0,C12-H12)</f>
        <v>40</v>
      </c>
      <c r="K12" s="30" t="s">
        <v>8</v>
      </c>
      <c r="L12" s="31">
        <f>J12/E$5*100%</f>
        <v>0.21978021978021978</v>
      </c>
      <c r="M12" s="32">
        <f>IF(AND(L12&gt;=24.995%,L12&lt;50.995%),1,IF(AND(L12&gt;=50.995%,L12&lt;75.995%),3,IF(L12&gt;=75.995%,5,0)))</f>
        <v>0</v>
      </c>
      <c r="N12" s="33"/>
    </row>
    <row r="13" spans="1:14" s="34" customFormat="1" ht="24.95" customHeight="1" x14ac:dyDescent="0.25">
      <c r="A13" s="213"/>
      <c r="B13" s="21" t="s">
        <v>28</v>
      </c>
      <c r="C13" s="35">
        <f>[33]NUMERIK!K20</f>
        <v>0</v>
      </c>
      <c r="D13" s="23" t="s">
        <v>3</v>
      </c>
      <c r="E13" s="24">
        <f>C13/E4*100%</f>
        <v>0</v>
      </c>
      <c r="F13" s="25">
        <f>IF(AND(E13&gt;=24.995%,E13&lt;50.995%),1,IF(AND(E13&gt;=50.995%,E13&lt;75.995%),3,IF(E13&gt;=75.995%,5,0)))</f>
        <v>0</v>
      </c>
      <c r="G13" s="36" t="str">
        <f>[33]Outcome!Q51</f>
        <v xml:space="preserve">, , , , , , , , , , , , , , , , , , , </v>
      </c>
      <c r="H13" s="37">
        <f>[33]Outcome!M51</f>
        <v>0</v>
      </c>
      <c r="I13" s="38" t="s">
        <v>3</v>
      </c>
      <c r="J13" s="39">
        <f>IF(H13&gt;C13,0,C13-H13)</f>
        <v>0</v>
      </c>
      <c r="K13" s="40" t="s">
        <v>3</v>
      </c>
      <c r="L13" s="41">
        <f>J13/E$4*100%</f>
        <v>0</v>
      </c>
      <c r="M13" s="42">
        <f>IF(AND(L13&gt;=24.995%,L13&lt;50.995%),1,IF(AND(L13&gt;=50.995%,L13&lt;75.995%),3,IF(L13&gt;=75.995%,5,0)))</f>
        <v>0</v>
      </c>
      <c r="N13" s="33"/>
    </row>
    <row r="14" spans="1:14" s="34" customFormat="1" ht="24.95" customHeight="1" thickBot="1" x14ac:dyDescent="0.3">
      <c r="A14" s="214"/>
      <c r="B14" s="43" t="s">
        <v>29</v>
      </c>
      <c r="C14" s="35">
        <f>[33]NUMERIK!K22</f>
        <v>31</v>
      </c>
      <c r="D14" s="23" t="s">
        <v>8</v>
      </c>
      <c r="E14" s="24">
        <f>C14/E5*100%</f>
        <v>0.17032967032967034</v>
      </c>
      <c r="F14" s="44">
        <f>IF(AND(E14&gt;=24.995%,E14&lt;50.995%),1,IF(AND(E14&gt;=50.995%,E14&lt;75.995%),3,IF(E14&gt;=75.995%,5,0)))</f>
        <v>0</v>
      </c>
      <c r="G14" s="45" t="str">
        <f>[33]Outcome!Q71</f>
        <v xml:space="preserve">RTLH RT066-RW015, , , , , , , , , , , , , , , , , , , , , , , , , , , , , , , , , , , , , , , , , , , , </v>
      </c>
      <c r="H14" s="46">
        <f>[33]Outcome!M71</f>
        <v>6</v>
      </c>
      <c r="I14" s="47" t="s">
        <v>8</v>
      </c>
      <c r="J14" s="48">
        <f>IF(H14&gt;C14,0,C14-H14)</f>
        <v>25</v>
      </c>
      <c r="K14" s="49" t="s">
        <v>8</v>
      </c>
      <c r="L14" s="50">
        <f>J14/E$5*100%</f>
        <v>0.13736263736263737</v>
      </c>
      <c r="M14" s="51">
        <f>IF(AND(L14&gt;=24.995%,L14&lt;50.995%),1,IF(AND(L14&gt;=50.995%,L14&lt;75.995%),3,IF(L14&gt;=75.995%,5,0)))</f>
        <v>0</v>
      </c>
      <c r="N14" s="33"/>
    </row>
    <row r="15" spans="1:14" s="34" customFormat="1" ht="30" customHeight="1" thickBot="1" x14ac:dyDescent="0.3">
      <c r="A15" s="52" t="s">
        <v>30</v>
      </c>
      <c r="B15" s="53"/>
      <c r="C15" s="54"/>
      <c r="D15" s="55"/>
      <c r="E15" s="56">
        <f>IF(SUM(F12:F14)&gt;0,(SUMIF(F12:F14,"&gt;0",E12:E14)/3),0)</f>
        <v>0</v>
      </c>
      <c r="F15" s="57"/>
      <c r="G15" s="58"/>
      <c r="H15" s="59"/>
      <c r="I15" s="59"/>
      <c r="J15" s="60"/>
      <c r="K15" s="61"/>
      <c r="L15" s="56">
        <f>IF(SUM(M12:M14)&gt;0,(SUMIF(M12:M14,"&gt;0",L12:L14)/3),0)</f>
        <v>0</v>
      </c>
      <c r="M15" s="62"/>
      <c r="N15" s="33"/>
    </row>
    <row r="16" spans="1:14" s="34" customFormat="1" ht="24.95" customHeight="1" x14ac:dyDescent="0.25">
      <c r="A16" s="215" t="s">
        <v>31</v>
      </c>
      <c r="B16" s="63" t="s">
        <v>32</v>
      </c>
      <c r="C16" s="64">
        <f>[33]NUMERIK!K25-[33]NUMERIK!K26</f>
        <v>100</v>
      </c>
      <c r="D16" s="65" t="s">
        <v>33</v>
      </c>
      <c r="E16" s="66">
        <f>C16/[33]NUMERIK!K$25*100%</f>
        <v>4.7505938242280284E-2</v>
      </c>
      <c r="F16" s="67">
        <f>IF(AND(E16&gt;=24.995%,E16&lt;50.995%),1,IF(AND(E16&gt;=50.995%,E16&lt;75.995%),3,IF(E16&gt;=75.995%,5,0)))</f>
        <v>0</v>
      </c>
      <c r="G16" s="36" t="str">
        <f>[33]Outcome!Q116</f>
        <v xml:space="preserve">, , , , , , , , , , , , , , , , , , , </v>
      </c>
      <c r="H16" s="27">
        <f>[33]Outcome!M116</f>
        <v>0</v>
      </c>
      <c r="I16" s="68" t="s">
        <v>33</v>
      </c>
      <c r="J16" s="69">
        <f>IF(H16&gt;C16,0,C16-H16)</f>
        <v>100</v>
      </c>
      <c r="K16" s="70" t="s">
        <v>33</v>
      </c>
      <c r="L16" s="71">
        <f>J16/[33]NUMERIK!K$25*100%</f>
        <v>4.7505938242280284E-2</v>
      </c>
      <c r="M16" s="72">
        <f>IF(AND(L16&gt;=24.995%,L16&lt;50.995%),1,IF(AND(L16&gt;=50.995%,L16&lt;75.995%),3,IF(L16&gt;=75.995%,5,0)))</f>
        <v>0</v>
      </c>
      <c r="N16" s="33"/>
    </row>
    <row r="17" spans="1:15" s="34" customFormat="1" ht="24.95" customHeight="1" thickBot="1" x14ac:dyDescent="0.3">
      <c r="A17" s="192"/>
      <c r="B17" s="21" t="s">
        <v>34</v>
      </c>
      <c r="C17" s="22">
        <f>[33]NUMERIK!K28</f>
        <v>190</v>
      </c>
      <c r="D17" s="73" t="s">
        <v>33</v>
      </c>
      <c r="E17" s="24">
        <f>C17/[33]NUMERIK!K$25*100%</f>
        <v>9.0261282660332537E-2</v>
      </c>
      <c r="F17" s="25">
        <f>IF(AND(E17&gt;=24.995%,E17&lt;50.995%),1,IF(AND(E17&gt;=50.995%,E17&lt;75.995%),3,IF(E17&gt;=75.995%,5,0)))</f>
        <v>0</v>
      </c>
      <c r="G17" s="45" t="str">
        <f>[33]Outcome!Q136</f>
        <v xml:space="preserve">JALAN PAVING BLOCK RT063-RW015, JALAN PAVING BLOCK RT064-RW015, JALAN PAVING BLOCK RT065-RW015, JALAN PAVING BLOCK RT066-RW015, JALAN PAVING BLOCK RT033-RW009, , , , , , , , , , , , , , , , , , , , , , , , , , , , , , , , , , , , , , , , </v>
      </c>
      <c r="H17" s="37">
        <f>[33]Outcome!M136</f>
        <v>1143.2</v>
      </c>
      <c r="I17" s="38" t="s">
        <v>33</v>
      </c>
      <c r="J17" s="39">
        <f>IF(H17&gt;C17,0,C17-H17)</f>
        <v>0</v>
      </c>
      <c r="K17" s="40" t="s">
        <v>33</v>
      </c>
      <c r="L17" s="41">
        <f>J17/[33]NUMERIK!K$25*100%</f>
        <v>0</v>
      </c>
      <c r="M17" s="42">
        <f>IF(AND(L17&gt;=24.995%,L17&lt;50.995%),1,IF(AND(L17&gt;=50.995%,L17&lt;75.995%),3,IF(L17&gt;=75.995%,5,0)))</f>
        <v>0</v>
      </c>
      <c r="N17" s="33"/>
    </row>
    <row r="18" spans="1:15" s="34" customFormat="1" ht="30" customHeight="1" thickBot="1" x14ac:dyDescent="0.3">
      <c r="A18" s="52" t="s">
        <v>35</v>
      </c>
      <c r="B18" s="53"/>
      <c r="C18" s="54"/>
      <c r="D18" s="55"/>
      <c r="E18" s="56">
        <f>IF(SUM(F16:F17)&gt;0,(SUMIF(F16:F17,"&gt;0",E16:E17)/2),0)</f>
        <v>0</v>
      </c>
      <c r="F18" s="57"/>
      <c r="G18" s="58"/>
      <c r="H18" s="59"/>
      <c r="I18" s="59"/>
      <c r="J18" s="60"/>
      <c r="K18" s="61"/>
      <c r="L18" s="56">
        <f>IF(SUM(M16:M17)&gt;0,(SUMIF(M16:M17,"&gt;0",L16:L17)/2),0)</f>
        <v>0</v>
      </c>
      <c r="M18" s="62"/>
      <c r="N18" s="33"/>
    </row>
    <row r="19" spans="1:15" s="34" customFormat="1" ht="24.95" customHeight="1" x14ac:dyDescent="0.25">
      <c r="A19" s="213" t="s">
        <v>36</v>
      </c>
      <c r="B19" s="21" t="s">
        <v>37</v>
      </c>
      <c r="C19" s="22">
        <f>[33]NUMERIK!K31</f>
        <v>10.222222222222221</v>
      </c>
      <c r="D19" s="73" t="s">
        <v>12</v>
      </c>
      <c r="E19" s="74">
        <f>C19/E$7*100%</f>
        <v>4.1053101294065149E-2</v>
      </c>
      <c r="F19" s="25">
        <f>IF(AND(E19&gt;=24.995%,E19&lt;50.995%),1,IF(AND(E19&gt;=50.995%,E19&lt;75.995%),3,IF(E19&gt;=75.995%,5,0)))</f>
        <v>0</v>
      </c>
      <c r="G19" s="36" t="str">
        <f>[33]Outcome!Q181</f>
        <v xml:space="preserve">, , , , , , , , , , , , , , , , , , , </v>
      </c>
      <c r="H19" s="27">
        <f>[33]Outcome!Q182</f>
        <v>0</v>
      </c>
      <c r="I19" s="38" t="s">
        <v>12</v>
      </c>
      <c r="J19" s="39">
        <f>IF(H19&gt;C19,0,C19-H19)</f>
        <v>10.222222222222221</v>
      </c>
      <c r="K19" s="75" t="s">
        <v>12</v>
      </c>
      <c r="L19" s="76">
        <f>J19/E$7*100%</f>
        <v>4.1053101294065149E-2</v>
      </c>
      <c r="M19" s="42">
        <f>IF(AND(L19&gt;=24.995%,L19&lt;50.995%),1,IF(AND(L19&gt;=50.995%,L19&lt;75.995%),3,IF(L19&gt;=75.995%,5,0)))</f>
        <v>0</v>
      </c>
      <c r="N19" s="33"/>
    </row>
    <row r="20" spans="1:15" s="34" customFormat="1" ht="24.95" customHeight="1" thickBot="1" x14ac:dyDescent="0.3">
      <c r="A20" s="213"/>
      <c r="B20" s="21" t="s">
        <v>38</v>
      </c>
      <c r="C20" s="22">
        <f>[33]NUMERIK!K33</f>
        <v>0</v>
      </c>
      <c r="D20" s="73" t="s">
        <v>12</v>
      </c>
      <c r="E20" s="74">
        <f>C20/E$7*100%</f>
        <v>0</v>
      </c>
      <c r="F20" s="25">
        <f>IF(AND(E20&gt;=24.995%,E20&lt;50.995%),1,IF(AND(E20&gt;=50.995%,E20&lt;75.995%),3,IF(E20&gt;=75.995%,5,0)))</f>
        <v>0</v>
      </c>
      <c r="G20" s="45" t="str">
        <f>[33]Outcome!Q201</f>
        <v xml:space="preserve">, , , , , , , , , , , , , , , , , , , , , , , , , , , , , , , , , , , , , , , , , , , , </v>
      </c>
      <c r="H20" s="37">
        <f>[33]Outcome!Q202</f>
        <v>0</v>
      </c>
      <c r="I20" s="38" t="s">
        <v>12</v>
      </c>
      <c r="J20" s="39">
        <f>IF(H20&gt;C20,0,C20-H20)</f>
        <v>0</v>
      </c>
      <c r="K20" s="75" t="s">
        <v>12</v>
      </c>
      <c r="L20" s="76">
        <f>J20/E$7*100%</f>
        <v>0</v>
      </c>
      <c r="M20" s="42">
        <f>IF(AND(L20&gt;=24.995%,L20&lt;50.995%),1,IF(AND(L20&gt;=50.995%,L20&lt;75.995%),3,IF(L20&gt;=75.995%,5,0)))</f>
        <v>0</v>
      </c>
      <c r="N20" s="33"/>
    </row>
    <row r="21" spans="1:15" s="77" customFormat="1" ht="30" customHeight="1" thickBot="1" x14ac:dyDescent="0.3">
      <c r="A21" s="52" t="s">
        <v>39</v>
      </c>
      <c r="B21" s="53"/>
      <c r="C21" s="54"/>
      <c r="D21" s="55"/>
      <c r="E21" s="56">
        <f>IF(SUM(F19:F20)&gt;0,(SUMIF(F19:F20,"&gt;0",E19:E20)/2),0)</f>
        <v>0</v>
      </c>
      <c r="F21" s="57"/>
      <c r="G21" s="58"/>
      <c r="H21" s="59"/>
      <c r="I21" s="59"/>
      <c r="J21" s="60"/>
      <c r="K21" s="61"/>
      <c r="L21" s="56">
        <f>IF(SUM(M19:M20)&gt;0,(SUMIF(M19:M20,"&gt;0",L19:L20)/2),0)</f>
        <v>0</v>
      </c>
      <c r="M21" s="62"/>
      <c r="N21" s="33"/>
      <c r="O21" s="34"/>
    </row>
    <row r="22" spans="1:15" s="34" customFormat="1" ht="20.100000000000001" customHeight="1" x14ac:dyDescent="0.25">
      <c r="A22" s="192" t="s">
        <v>40</v>
      </c>
      <c r="B22" s="78" t="s">
        <v>41</v>
      </c>
      <c r="C22" s="22">
        <f>[33]NUMERIK!K36</f>
        <v>0</v>
      </c>
      <c r="D22" s="73" t="s">
        <v>3</v>
      </c>
      <c r="E22" s="79">
        <f>C22/E$4*100%</f>
        <v>0</v>
      </c>
      <c r="F22" s="25">
        <f>IF(AND(E22&gt;=24.995%,E22&lt;50.995%),1,IF(AND(E22&gt;=50.995%,E22&lt;75.995%),3,IF(E22&gt;=75.995%,5,0)))</f>
        <v>0</v>
      </c>
      <c r="G22" s="36" t="str">
        <f>[33]Outcome!Q246</f>
        <v xml:space="preserve">PEMBANGUNAN/PERBAIKAN TANGGUL RT063-RW015, PEMBANGUNAN POMPA+RUMAH POMPA RT063-RW015, , , , , , , , , , , , , , , , , , </v>
      </c>
      <c r="H22" s="27">
        <f>[33]Outcome!M246</f>
        <v>182</v>
      </c>
      <c r="I22" s="38" t="s">
        <v>3</v>
      </c>
      <c r="J22" s="39">
        <f>IF(H22&gt;C22,0,C22-H22)</f>
        <v>0</v>
      </c>
      <c r="K22" s="40" t="s">
        <v>3</v>
      </c>
      <c r="L22" s="41">
        <f>J22/E$4*100%</f>
        <v>0</v>
      </c>
      <c r="M22" s="42">
        <f>IF(AND(L22&gt;=24.995%,L22&lt;50.995%),1,IF(AND(L22&gt;=50.995%,L22&lt;75.995%),3,IF(L22&gt;=75.995%,5,0)))</f>
        <v>0</v>
      </c>
      <c r="N22" s="33"/>
    </row>
    <row r="23" spans="1:15" s="34" customFormat="1" ht="25.5" customHeight="1" x14ac:dyDescent="0.25">
      <c r="A23" s="192"/>
      <c r="B23" s="21" t="s">
        <v>42</v>
      </c>
      <c r="C23" s="22">
        <f>([33]NUMERIK!K38-[33]NUMERIK!K40)</f>
        <v>135</v>
      </c>
      <c r="D23" s="73" t="s">
        <v>33</v>
      </c>
      <c r="E23" s="79">
        <f>C23/[33]NUMERIK!K$38*100%</f>
        <v>3.8081805359661498E-2</v>
      </c>
      <c r="F23" s="25">
        <f>IF(AND(E23&gt;=24.995%,E23&lt;50.995%),1,IF(AND(E23&gt;=50.995%,E23&lt;75.995%),3,IF(E23&gt;=75.995%,5,0)))</f>
        <v>0</v>
      </c>
      <c r="G23" s="36" t="str">
        <f>[33]Outcome!Q266</f>
        <v xml:space="preserve">, , , , , , , , , , , , , , , , , , , , , , , , , , , , , , , , , , , , , , , , , , , , </v>
      </c>
      <c r="H23" s="37">
        <f>[33]Outcome!M266</f>
        <v>0</v>
      </c>
      <c r="I23" s="38" t="s">
        <v>33</v>
      </c>
      <c r="J23" s="39">
        <f>IF(H23&gt;C23,0,C23-H23)</f>
        <v>135</v>
      </c>
      <c r="K23" s="40" t="s">
        <v>33</v>
      </c>
      <c r="L23" s="41">
        <f>J23/[33]NUMERIK!K$38*100%</f>
        <v>3.8081805359661498E-2</v>
      </c>
      <c r="M23" s="42">
        <f>IF(AND(L23&gt;=24.995%,L23&lt;50.995%),1,IF(AND(L23&gt;=50.995%,L23&lt;75.995%),3,IF(L23&gt;=75.995%,5,0)))</f>
        <v>0</v>
      </c>
      <c r="N23" s="33"/>
    </row>
    <row r="24" spans="1:15" s="34" customFormat="1" ht="20.100000000000001" customHeight="1" x14ac:dyDescent="0.25">
      <c r="A24" s="192"/>
      <c r="B24" s="21" t="s">
        <v>43</v>
      </c>
      <c r="C24" s="22">
        <f>[33]NUMERIK!K42</f>
        <v>35</v>
      </c>
      <c r="D24" s="73" t="s">
        <v>33</v>
      </c>
      <c r="E24" s="79">
        <f>C24/[33]NUMERIK!K$38*100%</f>
        <v>9.8730606488011286E-3</v>
      </c>
      <c r="F24" s="25">
        <f>IF(AND(E24&gt;=24.995%,E24&lt;50.995%),1,IF(AND(E24&gt;=50.995%,E24&lt;75.995%),3,IF(E24&gt;=75.995%,5,0)))</f>
        <v>0</v>
      </c>
      <c r="G24" s="36" t="str">
        <f>[33]Outcome!Q311</f>
        <v xml:space="preserve">, , , , , , , , , , , , , , , , , , , </v>
      </c>
      <c r="H24" s="37">
        <f>[33]Outcome!M311</f>
        <v>0</v>
      </c>
      <c r="I24" s="38" t="s">
        <v>33</v>
      </c>
      <c r="J24" s="39">
        <f>IF(H24&gt;C24,0,C24-H24)</f>
        <v>35</v>
      </c>
      <c r="K24" s="40" t="s">
        <v>33</v>
      </c>
      <c r="L24" s="41">
        <f>J24/[33]NUMERIK!K$38*100%</f>
        <v>9.8730606488011286E-3</v>
      </c>
      <c r="M24" s="42">
        <f>IF(AND(L24&gt;=24.995%,L24&lt;50.995%),1,IF(AND(L24&gt;=50.995%,L24&lt;75.995%),3,IF(L24&gt;=75.995%,5,0)))</f>
        <v>0</v>
      </c>
      <c r="N24" s="33"/>
    </row>
    <row r="25" spans="1:15" s="34" customFormat="1" ht="20.100000000000001" customHeight="1" x14ac:dyDescent="0.25">
      <c r="A25" s="192"/>
      <c r="B25" s="21" t="s">
        <v>44</v>
      </c>
      <c r="C25" s="22">
        <f>[33]NUMERIK!K45</f>
        <v>3140</v>
      </c>
      <c r="D25" s="73" t="s">
        <v>33</v>
      </c>
      <c r="E25" s="79">
        <f>C25/[33]NUMERIK!K$38*100%</f>
        <v>0.88575458392101547</v>
      </c>
      <c r="F25" s="25">
        <f>IF(AND(E25&gt;=24.995%,E25&lt;50.995%),1,IF(AND(E25&gt;=50.995%,E25&lt;75.995%),3,IF(E25&gt;=75.995%,5,0)))</f>
        <v>5</v>
      </c>
      <c r="G25" s="36" t="str">
        <f>[33]Outcome!Q331</f>
        <v xml:space="preserve">, , , , , , , , , , , , , , , , , , , </v>
      </c>
      <c r="H25" s="37">
        <f>[33]Outcome!M331</f>
        <v>0</v>
      </c>
      <c r="I25" s="38" t="s">
        <v>33</v>
      </c>
      <c r="J25" s="39">
        <f>IF(H25&gt;C25,0,C25-H25)</f>
        <v>3140</v>
      </c>
      <c r="K25" s="40" t="s">
        <v>33</v>
      </c>
      <c r="L25" s="41">
        <f>J25/[33]NUMERIK!K$38*100%</f>
        <v>0.88575458392101547</v>
      </c>
      <c r="M25" s="42">
        <f>IF(AND(L25&gt;=24.995%,L25&lt;50.995%),1,IF(AND(L25&gt;=50.995%,L25&lt;75.995%),3,IF(L25&gt;=75.995%,5,0)))</f>
        <v>5</v>
      </c>
      <c r="N25" s="33"/>
    </row>
    <row r="26" spans="1:15" s="34" customFormat="1" ht="20.100000000000001" customHeight="1" thickBot="1" x14ac:dyDescent="0.3">
      <c r="A26" s="192"/>
      <c r="B26" s="78" t="s">
        <v>45</v>
      </c>
      <c r="C26" s="22">
        <f>[33]NUMERIK!K48</f>
        <v>210</v>
      </c>
      <c r="D26" s="73" t="s">
        <v>33</v>
      </c>
      <c r="E26" s="79">
        <f>C26/[33]NUMERIK!K$38*100%</f>
        <v>5.9238363892806768E-2</v>
      </c>
      <c r="F26" s="25">
        <f>IF(AND(E26&gt;=24.995%,E26&lt;50.995%),1,IF(AND(E26&gt;=50.995%,E26&lt;75.995%),3,IF(E26&gt;=75.995%,5,0)))</f>
        <v>0</v>
      </c>
      <c r="G26" s="36" t="str">
        <f>[33]Outcome!Q351</f>
        <v xml:space="preserve">PERBAIKAN DRAINASE RT063-RW015, PERBAIKAN DRAINASE RT064-RW015, PERBAIKAN DRAINASE RT065-RW015, PERBAIKAN DRAINASE RT066-RW015, , , , , , , , , , , , , , , , , , , , , , , , , , , , , , , , , , , , , , , , , </v>
      </c>
      <c r="H26" s="37">
        <f>[33]Outcome!M351</f>
        <v>413.5</v>
      </c>
      <c r="I26" s="38" t="s">
        <v>33</v>
      </c>
      <c r="J26" s="39">
        <f>IF(H26&gt;C26,0,C26-H26)</f>
        <v>0</v>
      </c>
      <c r="K26" s="40" t="s">
        <v>33</v>
      </c>
      <c r="L26" s="41">
        <f>J26/[33]NUMERIK!K$38*100%</f>
        <v>0</v>
      </c>
      <c r="M26" s="42">
        <f>IF(AND(L26&gt;=24.995%,L26&lt;50.995%),1,IF(AND(L26&gt;=50.995%,L26&lt;75.995%),3,IF(L26&gt;=75.995%,5,0)))</f>
        <v>0</v>
      </c>
      <c r="N26" s="33"/>
    </row>
    <row r="27" spans="1:15" s="88" customFormat="1" ht="30" customHeight="1" thickBot="1" x14ac:dyDescent="0.3">
      <c r="A27" s="80" t="s">
        <v>46</v>
      </c>
      <c r="B27" s="81"/>
      <c r="C27" s="55"/>
      <c r="D27" s="55"/>
      <c r="E27" s="82">
        <f>IF(SUM(F22:F26)&gt;0,(SUMIF(F22:F26,"&gt;0",E22:E26)/5),0)</f>
        <v>0.17715091678420308</v>
      </c>
      <c r="F27" s="83"/>
      <c r="G27" s="58"/>
      <c r="H27" s="59"/>
      <c r="I27" s="59"/>
      <c r="J27" s="84"/>
      <c r="K27" s="85"/>
      <c r="L27" s="82">
        <f>IF(SUM(M22:M26)&gt;0,(SUMIF(M22:M26,"&gt;0",L22:L26)/5),0)</f>
        <v>0.17715091678420308</v>
      </c>
      <c r="M27" s="86"/>
      <c r="N27" s="87"/>
    </row>
    <row r="28" spans="1:15" s="34" customFormat="1" ht="27.75" customHeight="1" x14ac:dyDescent="0.25">
      <c r="A28" s="213" t="s">
        <v>47</v>
      </c>
      <c r="B28" s="21" t="s">
        <v>48</v>
      </c>
      <c r="C28" s="22">
        <f>[33]NUMERIK!K51</f>
        <v>55.616666666666667</v>
      </c>
      <c r="D28" s="73" t="s">
        <v>12</v>
      </c>
      <c r="E28" s="89">
        <f>C28/E$7*100%</f>
        <v>0.22336010709504686</v>
      </c>
      <c r="F28" s="25">
        <f>IF(AND(E28&gt;=24.995%,E28&lt;50.995%),1,IF(AND(E28&gt;=50.995%,E28&lt;75.995%),3,IF(E28&gt;=75.995%,5,0)))</f>
        <v>0</v>
      </c>
      <c r="G28" s="36" t="str">
        <f>[33]Outcome!Q396</f>
        <v xml:space="preserve">, , , , , , , , , , , , , , , , , , , , , , , , , , , , , , , , , , , , , , , , , , , , </v>
      </c>
      <c r="H28" s="37">
        <f>[33]Outcome!Q397</f>
        <v>0</v>
      </c>
      <c r="I28" s="38" t="s">
        <v>12</v>
      </c>
      <c r="J28" s="39">
        <f>IF(H28&gt;C28,0,C28-H28)</f>
        <v>55.616666666666667</v>
      </c>
      <c r="K28" s="40" t="s">
        <v>12</v>
      </c>
      <c r="L28" s="41">
        <f>J28/E$7*100%</f>
        <v>0.22336010709504686</v>
      </c>
      <c r="M28" s="42">
        <f>IF(AND(L28&gt;=24.995%,L28&lt;50.995%),1,IF(AND(L28&gt;=50.995%,L28&lt;75.995%),3,IF(L28&gt;=75.995%,5,0)))</f>
        <v>0</v>
      </c>
      <c r="N28" s="33"/>
    </row>
    <row r="29" spans="1:15" s="34" customFormat="1" ht="30" customHeight="1" thickBot="1" x14ac:dyDescent="0.3">
      <c r="A29" s="213"/>
      <c r="B29" s="21" t="s">
        <v>49</v>
      </c>
      <c r="C29" s="22">
        <f>[33]NUMERIK!K53</f>
        <v>0</v>
      </c>
      <c r="D29" s="73" t="s">
        <v>12</v>
      </c>
      <c r="E29" s="89">
        <f>C29/E$7*100%</f>
        <v>0</v>
      </c>
      <c r="F29" s="25">
        <f>IF(AND(E29&gt;=24.995%,E29&lt;50.995%),1,IF(AND(E29&gt;=50.995%,E29&lt;75.995%),3,IF(E29&gt;=75.995%,5,0)))</f>
        <v>0</v>
      </c>
      <c r="G29" s="45" t="str">
        <f>[33]Outcome!Q441</f>
        <v xml:space="preserve">SEPTICTANK KOMUNAL RT063-RW015, , , , , , , , , , , , , , , , , , , , , , , , , , , , , , , , , , , , , , , , , , , , , , , , , , , , , , </v>
      </c>
      <c r="H29" s="37">
        <f>[33]Outcome!Q442</f>
        <v>10</v>
      </c>
      <c r="I29" s="38" t="s">
        <v>12</v>
      </c>
      <c r="J29" s="39">
        <f>IF(H29&gt;C29,0,C29-H29)</f>
        <v>0</v>
      </c>
      <c r="K29" s="40" t="s">
        <v>12</v>
      </c>
      <c r="L29" s="41">
        <f>J29/E$7*100%</f>
        <v>0</v>
      </c>
      <c r="M29" s="42">
        <f>IF(AND(L29&gt;=24.995%,L29&lt;50.995%),1,IF(AND(L29&gt;=50.995%,L29&lt;75.995%),3,IF(L29&gt;=75.995%,5,0)))</f>
        <v>0</v>
      </c>
      <c r="N29" s="33"/>
    </row>
    <row r="30" spans="1:15" s="88" customFormat="1" ht="30" customHeight="1" thickBot="1" x14ac:dyDescent="0.3">
      <c r="A30" s="90" t="s">
        <v>50</v>
      </c>
      <c r="B30" s="81"/>
      <c r="C30" s="55"/>
      <c r="D30" s="55"/>
      <c r="E30" s="82">
        <f>IF(SUM(F28:F29)&gt;0,(SUMIF(F28:F29,"&gt;0",E28:E29)/2),0)</f>
        <v>0</v>
      </c>
      <c r="F30" s="83"/>
      <c r="G30" s="91"/>
      <c r="H30" s="92"/>
      <c r="I30" s="92"/>
      <c r="J30" s="84"/>
      <c r="K30" s="85"/>
      <c r="L30" s="82">
        <f>IF(SUM(M28:M29)&gt;0,(SUMIF(M28:M29,"&gt;0",L28:L29)/2),0)</f>
        <v>0</v>
      </c>
      <c r="M30" s="86"/>
      <c r="N30" s="87"/>
    </row>
    <row r="31" spans="1:15" s="34" customFormat="1" ht="31.5" customHeight="1" x14ac:dyDescent="0.25">
      <c r="A31" s="192" t="s">
        <v>51</v>
      </c>
      <c r="B31" s="21" t="s">
        <v>52</v>
      </c>
      <c r="C31" s="93">
        <f>[33]NUMERIK!K56</f>
        <v>173</v>
      </c>
      <c r="D31" s="94" t="s">
        <v>12</v>
      </c>
      <c r="E31" s="89">
        <f>C31/E$7*100%</f>
        <v>0.69477911646586343</v>
      </c>
      <c r="F31" s="25">
        <f>IF(AND(E31&gt;=24.995%,E31&lt;50.995%),1,IF(AND(E31&gt;=50.995%,E31&lt;75.995%),3,IF(E31&gt;=75.995%,5,0)))</f>
        <v>3</v>
      </c>
      <c r="G31" s="36" t="str">
        <f>[33]Outcome!Q496</f>
        <v xml:space="preserve">Penyediaan TPS-3R+Gerobak RT063-RW015, Penyediaan TPS-3R+Gerobak RT064-RW015, Penyediaan TPS-3R+Gerobak RT065-RW015, Penyediaan TPS-3R+Gerobak RT066-RW015, Penyediaan TPS-3R+Gerobak RT033-RW009, , , , , , , , , , , , , , , , , , , , , , , , , , , , , , , , , , , , , , , , </v>
      </c>
      <c r="H31" s="37">
        <f>[33]Outcome!Q497</f>
        <v>249</v>
      </c>
      <c r="I31" s="38" t="s">
        <v>12</v>
      </c>
      <c r="J31" s="39">
        <f>IF(H31&gt;C31,0,C31-H31)</f>
        <v>0</v>
      </c>
      <c r="K31" s="40" t="s">
        <v>12</v>
      </c>
      <c r="L31" s="41">
        <f>J31/E$7*100%</f>
        <v>0</v>
      </c>
      <c r="M31" s="42">
        <f>IF(AND(L31&gt;=24.995%,L31&lt;50.995%),1,IF(AND(L31&gt;=50.995%,L31&lt;75.995%),3,IF(L31&gt;=75.995%,5,0)))</f>
        <v>0</v>
      </c>
      <c r="N31" s="33"/>
    </row>
    <row r="32" spans="1:15" s="34" customFormat="1" ht="32.25" customHeight="1" x14ac:dyDescent="0.25">
      <c r="A32" s="192"/>
      <c r="B32" s="21" t="s">
        <v>53</v>
      </c>
      <c r="C32" s="93">
        <f>[33]NUMERIK!K59</f>
        <v>48</v>
      </c>
      <c r="D32" s="94" t="s">
        <v>12</v>
      </c>
      <c r="E32" s="89">
        <f>C32/E$7*100%</f>
        <v>0.19277108433734941</v>
      </c>
      <c r="F32" s="25">
        <f>IF(AND(E32&gt;=24.995%,E32&lt;50.995%),1,IF(AND(E32&gt;=50.995%,E32&lt;75.995%),3,IF(E32&gt;=75.995%,5,0)))</f>
        <v>0</v>
      </c>
      <c r="G32" s="36" t="str">
        <f>[33]Outcome!Q541</f>
        <v xml:space="preserve">, , , , , , , , , , , , , , , , , , , , , , , , , , , , , , , , , , , , , , , , , , , , </v>
      </c>
      <c r="H32" s="37">
        <f>[33]Outcome!Q542</f>
        <v>0</v>
      </c>
      <c r="I32" s="38" t="s">
        <v>12</v>
      </c>
      <c r="J32" s="39">
        <f>IF(H32&gt;C32,0,C32-H32)</f>
        <v>48</v>
      </c>
      <c r="K32" s="40" t="s">
        <v>12</v>
      </c>
      <c r="L32" s="41">
        <f>J32/E$7*100%</f>
        <v>0.19277108433734941</v>
      </c>
      <c r="M32" s="42">
        <f>IF(AND(L32&gt;=24.995%,L32&lt;50.995%),1,IF(AND(L32&gt;=50.995%,L32&lt;75.995%),3,IF(L32&gt;=75.995%,5,0)))</f>
        <v>0</v>
      </c>
      <c r="N32" s="33"/>
    </row>
    <row r="33" spans="1:14" s="34" customFormat="1" ht="30.75" customHeight="1" thickBot="1" x14ac:dyDescent="0.3">
      <c r="A33" s="192"/>
      <c r="B33" s="21" t="s">
        <v>54</v>
      </c>
      <c r="C33" s="93">
        <f>[33]NUMERIK!K61</f>
        <v>97</v>
      </c>
      <c r="D33" s="94" t="s">
        <v>12</v>
      </c>
      <c r="E33" s="89">
        <f>C33/E$7*100%</f>
        <v>0.38955823293172692</v>
      </c>
      <c r="F33" s="25">
        <f>IF(AND(E33&gt;=24.995%,E33&lt;50.995%),1,IF(AND(E33&gt;=50.995%,E33&lt;75.995%),3,IF(E33&gt;=75.995%,5,0)))</f>
        <v>1</v>
      </c>
      <c r="G33" s="36" t="str">
        <f>[33]Outcome!Q586</f>
        <v xml:space="preserve">, , , , , , , , , , , , , , , , , , , , , , , , , , , , , , , , , , , , , , , , , , , , </v>
      </c>
      <c r="H33" s="37">
        <f>[33]Outcome!Q587</f>
        <v>0</v>
      </c>
      <c r="I33" s="38" t="s">
        <v>12</v>
      </c>
      <c r="J33" s="39">
        <f>IF(H33&gt;C33,0,C33-H33)</f>
        <v>97</v>
      </c>
      <c r="K33" s="40" t="s">
        <v>12</v>
      </c>
      <c r="L33" s="41">
        <f>J33/E$7*100%</f>
        <v>0.38955823293172692</v>
      </c>
      <c r="M33" s="42">
        <f>IF(AND(L33&gt;=24.995%,L33&lt;50.995%),1,IF(AND(L33&gt;=50.995%,L33&lt;75.995%),3,IF(L33&gt;=75.995%,5,0)))</f>
        <v>1</v>
      </c>
      <c r="N33" s="33"/>
    </row>
    <row r="34" spans="1:14" s="88" customFormat="1" ht="30" customHeight="1" thickBot="1" x14ac:dyDescent="0.3">
      <c r="A34" s="80" t="s">
        <v>55</v>
      </c>
      <c r="B34" s="81"/>
      <c r="C34" s="55"/>
      <c r="D34" s="55"/>
      <c r="E34" s="82">
        <f>IF(SUM(F31:F33)&gt;0,(SUMIF(F31:F33,"&gt;0",E31:E33)/3),0)</f>
        <v>0.36144578313253012</v>
      </c>
      <c r="F34" s="83"/>
      <c r="G34" s="91"/>
      <c r="H34" s="92"/>
      <c r="I34" s="92"/>
      <c r="J34" s="84"/>
      <c r="K34" s="85"/>
      <c r="L34" s="82">
        <f>IF(SUM(M31:M33)&gt;0,(SUMIF(M31:M33,"&gt;0",L31:L33)/3),0)</f>
        <v>0.12985274431057564</v>
      </c>
      <c r="M34" s="86"/>
      <c r="N34" s="87"/>
    </row>
    <row r="35" spans="1:14" s="34" customFormat="1" ht="24.95" customHeight="1" x14ac:dyDescent="0.25">
      <c r="A35" s="213" t="s">
        <v>56</v>
      </c>
      <c r="B35" s="95" t="s">
        <v>57</v>
      </c>
      <c r="C35" s="93">
        <f>[33]NUMERIK!K64</f>
        <v>40</v>
      </c>
      <c r="D35" s="94" t="s">
        <v>8</v>
      </c>
      <c r="E35" s="79">
        <f>C35/E$5*100%</f>
        <v>0.21978021978021978</v>
      </c>
      <c r="F35" s="25">
        <f>IF(AND(E35&gt;=24.995%,E35&lt;50.995%),1,IF(AND(E35&gt;=50.995%,E35&lt;75.995%),3,IF(E35&gt;=75.995%,5,0)))</f>
        <v>0</v>
      </c>
      <c r="G35" s="36" t="str">
        <f>[33]Outcome!Q631</f>
        <v xml:space="preserve">, , , , , , , , , , , , , , , , , , , </v>
      </c>
      <c r="H35" s="27">
        <f>[33]Outcome!Q632</f>
        <v>0</v>
      </c>
      <c r="I35" s="38" t="s">
        <v>8</v>
      </c>
      <c r="J35" s="39">
        <f>IF(H35&gt;C35,0,C35-H35)</f>
        <v>40</v>
      </c>
      <c r="K35" s="40" t="s">
        <v>8</v>
      </c>
      <c r="L35" s="41">
        <f>J35/E$5*100%</f>
        <v>0.21978021978021978</v>
      </c>
      <c r="M35" s="42">
        <f>IF(AND(L35&gt;=24.995%,L35&lt;50.995%),1,IF(AND(L35&gt;=50.995%,L35&lt;75.995%),3,IF(L35&gt;=75.995%,5,0)))</f>
        <v>0</v>
      </c>
      <c r="N35" s="33"/>
    </row>
    <row r="36" spans="1:14" s="34" customFormat="1" ht="24.95" customHeight="1" thickBot="1" x14ac:dyDescent="0.3">
      <c r="A36" s="213"/>
      <c r="B36" s="95" t="s">
        <v>58</v>
      </c>
      <c r="C36" s="96">
        <f>[33]NUMERIK!K66</f>
        <v>142</v>
      </c>
      <c r="D36" s="94" t="s">
        <v>8</v>
      </c>
      <c r="E36" s="79">
        <f>C36/E$5*100%</f>
        <v>0.78021978021978022</v>
      </c>
      <c r="F36" s="25">
        <f>IF(AND(E36&gt;=24.995%,E36&lt;50.995%),1,IF(AND(E36&gt;=50.995%,E36&lt;75.995%),3,IF(E36&gt;=75.995%,5,0)))</f>
        <v>5</v>
      </c>
      <c r="G36" s="36" t="str">
        <f>[33]Outcome!Q651</f>
        <v xml:space="preserve">Cakupan Pelayanan Damkar RT033-RW009, Cakupan Pelayanan Damkar RT063-RW015, Cakupan Pelayanan Damkar RT064-RW015, Cakupan Pelayanan Damkar RT065-RW015, Cakupan Pelayanan Damkar RT066-RW015, , , , , , , , , , , , , , , </v>
      </c>
      <c r="H36" s="37">
        <f>[33]Outcome!Q652</f>
        <v>249</v>
      </c>
      <c r="I36" s="97" t="s">
        <v>8</v>
      </c>
      <c r="J36" s="98">
        <f>IF(H36&gt;C36,0,C36-H36)</f>
        <v>0</v>
      </c>
      <c r="K36" s="99" t="s">
        <v>8</v>
      </c>
      <c r="L36" s="100">
        <f>J36/E$5*100%</f>
        <v>0</v>
      </c>
      <c r="M36" s="51">
        <f>IF(AND(L36&gt;=24.995%,L36&lt;50.995%),1,IF(AND(L36&gt;=50.995%,L36&lt;75.995%),3,IF(L36&gt;=75.995%,5,0)))</f>
        <v>0</v>
      </c>
      <c r="N36" s="33"/>
    </row>
    <row r="37" spans="1:14" s="77" customFormat="1" ht="30" customHeight="1" thickBot="1" x14ac:dyDescent="0.3">
      <c r="A37" s="80" t="s">
        <v>59</v>
      </c>
      <c r="B37" s="101"/>
      <c r="C37" s="102"/>
      <c r="D37" s="102"/>
      <c r="E37" s="82">
        <f>IF(SUM(F35:F36)&gt;0,(SUMIF(F35:F36,"&gt;0",E35:E36)/2),0)</f>
        <v>0.39010989010989011</v>
      </c>
      <c r="F37" s="103"/>
      <c r="G37" s="104"/>
      <c r="H37" s="105"/>
      <c r="I37" s="105"/>
      <c r="J37" s="106"/>
      <c r="K37" s="107"/>
      <c r="L37" s="82">
        <f>IF(SUM(M35:M36)&gt;0,(SUMIF(M35:M36,"&gt;0",L35:L36)/2),0)</f>
        <v>0</v>
      </c>
      <c r="M37" s="108"/>
      <c r="N37" s="109"/>
    </row>
    <row r="38" spans="1:14" ht="15" customHeight="1" x14ac:dyDescent="0.25">
      <c r="A38" s="110"/>
      <c r="B38" s="111" t="s">
        <v>60</v>
      </c>
      <c r="D38" s="218" t="s">
        <v>61</v>
      </c>
      <c r="E38" s="219"/>
      <c r="F38" s="222">
        <f>SUM(F12:F36)</f>
        <v>14</v>
      </c>
      <c r="G38" s="112"/>
      <c r="H38" s="112"/>
      <c r="I38" s="112"/>
      <c r="J38" s="112"/>
      <c r="K38" s="238" t="s">
        <v>61</v>
      </c>
      <c r="L38" s="239"/>
      <c r="M38" s="224">
        <f>SUM(M12:M36)</f>
        <v>6</v>
      </c>
    </row>
    <row r="39" spans="1:14" ht="15" customHeight="1" x14ac:dyDescent="0.25">
      <c r="A39" s="110"/>
      <c r="B39" s="113" t="s">
        <v>62</v>
      </c>
      <c r="D39" s="220"/>
      <c r="E39" s="221"/>
      <c r="F39" s="223"/>
      <c r="G39" s="114"/>
      <c r="H39" s="114"/>
      <c r="I39" s="114"/>
      <c r="J39" s="114"/>
      <c r="K39" s="240"/>
      <c r="L39" s="241"/>
      <c r="M39" s="225"/>
    </row>
    <row r="40" spans="1:14" ht="15" customHeight="1" x14ac:dyDescent="0.25">
      <c r="A40" s="110"/>
      <c r="B40" s="115" t="s">
        <v>63</v>
      </c>
      <c r="D40" s="226" t="s">
        <v>64</v>
      </c>
      <c r="E40" s="227"/>
      <c r="F40" s="230" t="str">
        <f>IF(F38="N/A","TIDAK KUMUH",IF(F38&gt;=71,"KUMUH BERAT",IF(AND(F38&lt;=70,F38&gt;=45),"KUMUH SEDANG",IF(AND(F38&lt;=44,F38&gt;=19),"KUMUH RINGAN","TIDAK KUMUH"))))</f>
        <v>TIDAK KUMUH</v>
      </c>
      <c r="G40" s="116"/>
      <c r="H40" s="116"/>
      <c r="I40" s="116"/>
      <c r="J40" s="116"/>
      <c r="K40" s="232" t="s">
        <v>64</v>
      </c>
      <c r="L40" s="233"/>
      <c r="M40" s="236" t="str">
        <f>IF(M38="N/A","TIDAK KUMUH",IF(M38&gt;=71,"KUMUH BERAT",IF(AND(M38&lt;=70,M38&gt;=45),"KUMUH SEDANG",IF(AND(M38&lt;=44,M38&gt;=19),"KUMUH RINGAN","TIDAK KUMUH"))))</f>
        <v>TIDAK KUMUH</v>
      </c>
    </row>
    <row r="41" spans="1:14" ht="15" customHeight="1" thickBot="1" x14ac:dyDescent="0.3">
      <c r="A41" s="110"/>
      <c r="B41" s="117" t="s">
        <v>65</v>
      </c>
      <c r="D41" s="228"/>
      <c r="E41" s="229"/>
      <c r="F41" s="231" t="str">
        <f>IF(E41&gt;71,"KB",IF(E41&gt;=47,"KS","KR"))</f>
        <v>KR</v>
      </c>
      <c r="G41" s="116"/>
      <c r="H41" s="116"/>
      <c r="I41" s="116"/>
      <c r="J41" s="116"/>
      <c r="K41" s="234"/>
      <c r="L41" s="235"/>
      <c r="M41" s="237" t="str">
        <f>IF(L41&gt;71,"KB",IF(L41&gt;=47,"KS","KR"))</f>
        <v>KR</v>
      </c>
    </row>
    <row r="42" spans="1:14" ht="21" customHeight="1" x14ac:dyDescent="0.25">
      <c r="B42" s="118" t="s">
        <v>66</v>
      </c>
      <c r="C42" s="119"/>
      <c r="D42" s="120"/>
      <c r="E42" s="121" t="s">
        <v>67</v>
      </c>
      <c r="F42" s="122">
        <f>AVERAGE(E15,E18,E21,E27,E30,E34,E37)</f>
        <v>0.13267237000380333</v>
      </c>
      <c r="J42" s="123"/>
      <c r="K42" s="124"/>
      <c r="L42" s="125" t="s">
        <v>67</v>
      </c>
      <c r="M42" s="126">
        <f>AVERAGE(L15,L18,L21,L27,L30,L34,L37)</f>
        <v>4.3857665870682676E-2</v>
      </c>
    </row>
    <row r="43" spans="1:14" ht="21" customHeight="1" x14ac:dyDescent="0.25">
      <c r="B43" s="127"/>
      <c r="C43" s="119"/>
      <c r="D43" s="120"/>
      <c r="E43" s="121" t="s">
        <v>68</v>
      </c>
      <c r="F43" s="122">
        <v>0</v>
      </c>
      <c r="J43" s="123"/>
      <c r="K43" s="124"/>
      <c r="L43" s="125" t="s">
        <v>68</v>
      </c>
      <c r="M43" s="126">
        <f>(F42-M42)/F42</f>
        <v>0.66942879011337919</v>
      </c>
      <c r="N43"/>
    </row>
    <row r="44" spans="1:14" x14ac:dyDescent="0.25">
      <c r="M44" s="128"/>
    </row>
    <row r="55" spans="12:12" x14ac:dyDescent="0.25">
      <c r="L55" s="129"/>
    </row>
  </sheetData>
  <mergeCells count="23">
    <mergeCell ref="J9:M10"/>
    <mergeCell ref="A1:F1"/>
    <mergeCell ref="A31:A33"/>
    <mergeCell ref="G10:I10"/>
    <mergeCell ref="A2:B2"/>
    <mergeCell ref="A9:A11"/>
    <mergeCell ref="B9:B11"/>
    <mergeCell ref="C9:F10"/>
    <mergeCell ref="G9:I9"/>
    <mergeCell ref="A12:A14"/>
    <mergeCell ref="A16:A17"/>
    <mergeCell ref="A19:A20"/>
    <mergeCell ref="A22:A26"/>
    <mergeCell ref="A28:A29"/>
    <mergeCell ref="D40:E41"/>
    <mergeCell ref="K40:L41"/>
    <mergeCell ref="M40:M41"/>
    <mergeCell ref="A35:A36"/>
    <mergeCell ref="D38:E39"/>
    <mergeCell ref="F38:F39"/>
    <mergeCell ref="K38:L39"/>
    <mergeCell ref="M38:M39"/>
    <mergeCell ref="F40:F41"/>
  </mergeCells>
  <conditionalFormatting sqref="F40:J41">
    <cfRule type="expression" dxfId="35" priority="6">
      <formula>F40="KUMUH SEDANG"</formula>
    </cfRule>
    <cfRule type="expression" dxfId="34" priority="7">
      <formula>F40="TIDAK KUMUH"</formula>
    </cfRule>
    <cfRule type="expression" dxfId="33" priority="8">
      <formula>F40="KUMUH BERAT"</formula>
    </cfRule>
    <cfRule type="expression" dxfId="32" priority="9">
      <formula>F40="KUMUH RINGAN"</formula>
    </cfRule>
  </conditionalFormatting>
  <conditionalFormatting sqref="G12:G14 G16:G17 G19:G20 G22:G26 G28:G29 G31:G33 G35:G36">
    <cfRule type="cellIs" dxfId="31" priority="1" operator="equal">
      <formula>", , , , , , "</formula>
    </cfRule>
  </conditionalFormatting>
  <conditionalFormatting sqref="M40:M41">
    <cfRule type="expression" dxfId="30" priority="2">
      <formula>M40="KUMUH SEDANG"</formula>
    </cfRule>
    <cfRule type="expression" dxfId="29" priority="3">
      <formula>M40="TIDAK KUMUH"</formula>
    </cfRule>
    <cfRule type="expression" dxfId="28" priority="4">
      <formula>M40="KUMUH BERAT"</formula>
    </cfRule>
    <cfRule type="expression" dxfId="27" priority="5">
      <formula>M40="KUMUH RINGAN"</formula>
    </cfRule>
  </conditionalFormatting>
  <pageMargins left="0.7" right="0.2" top="0.75" bottom="0.75" header="0.3" footer="0.3"/>
  <pageSetup paperSize="9" scale="70" orientation="portrait" horizontalDpi="4294967293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2006D-1C00-4451-AD01-C8C18EEB52A5}">
  <sheetPr>
    <tabColor rgb="FF0070C0"/>
  </sheetPr>
  <dimension ref="A1:O55"/>
  <sheetViews>
    <sheetView showGridLines="0" zoomScale="80" zoomScaleNormal="80" zoomScaleSheetLayoutView="75" zoomScalePageLayoutView="90" workbookViewId="0">
      <selection activeCell="F12" sqref="F12:F37"/>
    </sheetView>
  </sheetViews>
  <sheetFormatPr defaultColWidth="8.85546875" defaultRowHeight="15" x14ac:dyDescent="0.25"/>
  <cols>
    <col min="1" max="1" width="24" customWidth="1"/>
    <col min="2" max="2" width="45.85546875" customWidth="1"/>
    <col min="3" max="3" width="12.42578125" customWidth="1"/>
    <col min="4" max="4" width="9.140625" customWidth="1"/>
    <col min="5" max="5" width="12.140625" customWidth="1"/>
    <col min="6" max="6" width="9.140625" customWidth="1"/>
    <col min="7" max="7" width="36.42578125" customWidth="1"/>
    <col min="8" max="9" width="9.140625" customWidth="1"/>
    <col min="10" max="10" width="10" bestFit="1" customWidth="1"/>
    <col min="11" max="12" width="9.140625" customWidth="1"/>
    <col min="13" max="13" width="11.28515625" customWidth="1"/>
    <col min="14" max="14" width="2.28515625" style="3" customWidth="1"/>
  </cols>
  <sheetData>
    <row r="1" spans="1:14" ht="18.75" customHeight="1" x14ac:dyDescent="0.3">
      <c r="A1" s="193" t="s">
        <v>0</v>
      </c>
      <c r="B1" s="193"/>
      <c r="C1" s="193"/>
      <c r="D1" s="193"/>
      <c r="E1" s="193"/>
      <c r="F1" s="193"/>
      <c r="G1" s="1"/>
      <c r="H1" s="1"/>
      <c r="I1" s="1"/>
      <c r="J1" s="1"/>
      <c r="K1" s="1"/>
      <c r="L1" s="1"/>
      <c r="M1" s="2"/>
    </row>
    <row r="2" spans="1:14" ht="3.75" customHeight="1" x14ac:dyDescent="0.25">
      <c r="A2" s="194"/>
      <c r="B2" s="194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4" ht="15.75" customHeight="1" x14ac:dyDescent="0.25">
      <c r="A3" s="6" t="s">
        <v>1</v>
      </c>
      <c r="B3" s="6" t="str">
        <f>": "&amp;[34]NUMERIK!E14</f>
        <v>: JAWA TIMUR</v>
      </c>
      <c r="C3" s="7" t="s">
        <v>2</v>
      </c>
      <c r="D3" s="8"/>
      <c r="E3" s="9">
        <f>[34]NUMERIK!K6</f>
        <v>6.7140199999999997</v>
      </c>
      <c r="F3" t="s">
        <v>3</v>
      </c>
    </row>
    <row r="4" spans="1:14" ht="15.75" customHeight="1" x14ac:dyDescent="0.25">
      <c r="A4" s="6" t="s">
        <v>4</v>
      </c>
      <c r="B4" s="6" t="str">
        <f>": "&amp;[34]NUMERIK!E12</f>
        <v>: KOTA MADIUN</v>
      </c>
      <c r="C4" s="7" t="s">
        <v>5</v>
      </c>
      <c r="D4" s="8"/>
      <c r="E4" s="9">
        <f>[34]NUMERIK!K8</f>
        <v>6.7140199999999997</v>
      </c>
      <c r="F4" t="s">
        <v>3</v>
      </c>
    </row>
    <row r="5" spans="1:14" ht="15.75" customHeight="1" x14ac:dyDescent="0.25">
      <c r="A5" s="10" t="s">
        <v>6</v>
      </c>
      <c r="B5" s="10" t="str">
        <f>": "&amp;[34]NUMERIK!E10</f>
        <v>: MANGUHARJO</v>
      </c>
      <c r="C5" s="7" t="s">
        <v>7</v>
      </c>
      <c r="D5" s="8"/>
      <c r="E5" s="11">
        <f>[34]NUMERIK!K10</f>
        <v>216</v>
      </c>
      <c r="F5" t="s">
        <v>8</v>
      </c>
    </row>
    <row r="6" spans="1:14" ht="15.75" customHeight="1" x14ac:dyDescent="0.25">
      <c r="A6" s="10" t="s">
        <v>9</v>
      </c>
      <c r="B6" s="10" t="str">
        <f>": "&amp;[34]NUMERIK!E6</f>
        <v>: NAMBANGAN KIDUL</v>
      </c>
      <c r="C6" s="7" t="s">
        <v>10</v>
      </c>
      <c r="D6" s="8"/>
      <c r="E6" s="12">
        <f>[34]NUMERIK!K12</f>
        <v>845</v>
      </c>
      <c r="F6" t="s">
        <v>11</v>
      </c>
    </row>
    <row r="7" spans="1:14" ht="15.75" customHeight="1" x14ac:dyDescent="0.25">
      <c r="A7" s="4"/>
      <c r="B7" s="13"/>
      <c r="C7" s="7" t="s">
        <v>7</v>
      </c>
      <c r="D7" s="5"/>
      <c r="E7" s="12">
        <f>[34]NUMERIK!K14</f>
        <v>251</v>
      </c>
      <c r="F7" t="s">
        <v>12</v>
      </c>
    </row>
    <row r="8" spans="1:14" ht="5.25" customHeight="1" thickBot="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4" ht="12" customHeight="1" x14ac:dyDescent="0.25">
      <c r="A9" s="195" t="s">
        <v>13</v>
      </c>
      <c r="B9" s="197" t="s">
        <v>14</v>
      </c>
      <c r="C9" s="199" t="s">
        <v>15</v>
      </c>
      <c r="D9" s="200"/>
      <c r="E9" s="200"/>
      <c r="F9" s="201"/>
      <c r="G9" s="216" t="s">
        <v>16</v>
      </c>
      <c r="H9" s="217"/>
      <c r="I9" s="217"/>
      <c r="J9" s="205" t="s">
        <v>17</v>
      </c>
      <c r="K9" s="206"/>
      <c r="L9" s="206"/>
      <c r="M9" s="207"/>
    </row>
    <row r="10" spans="1:14" ht="9.75" customHeight="1" x14ac:dyDescent="0.25">
      <c r="A10" s="196"/>
      <c r="B10" s="198"/>
      <c r="C10" s="202"/>
      <c r="D10" s="203"/>
      <c r="E10" s="203"/>
      <c r="F10" s="204"/>
      <c r="G10" s="211" t="s">
        <v>18</v>
      </c>
      <c r="H10" s="212"/>
      <c r="I10" s="212"/>
      <c r="J10" s="208"/>
      <c r="K10" s="209"/>
      <c r="L10" s="209"/>
      <c r="M10" s="210"/>
    </row>
    <row r="11" spans="1:14" ht="15.75" thickBot="1" x14ac:dyDescent="0.3">
      <c r="A11" s="196"/>
      <c r="B11" s="198"/>
      <c r="C11" s="14" t="s">
        <v>19</v>
      </c>
      <c r="D11" s="14" t="s">
        <v>20</v>
      </c>
      <c r="E11" s="14" t="s">
        <v>21</v>
      </c>
      <c r="F11" s="15" t="s">
        <v>22</v>
      </c>
      <c r="G11" s="16" t="s">
        <v>23</v>
      </c>
      <c r="H11" s="17" t="s">
        <v>24</v>
      </c>
      <c r="I11" s="17" t="s">
        <v>20</v>
      </c>
      <c r="J11" s="18" t="s">
        <v>19</v>
      </c>
      <c r="K11" s="19" t="s">
        <v>20</v>
      </c>
      <c r="L11" s="19" t="s">
        <v>25</v>
      </c>
      <c r="M11" s="20" t="s">
        <v>22</v>
      </c>
    </row>
    <row r="12" spans="1:14" s="34" customFormat="1" ht="24.95" customHeight="1" x14ac:dyDescent="0.25">
      <c r="A12" s="213" t="s">
        <v>26</v>
      </c>
      <c r="B12" s="21" t="s">
        <v>27</v>
      </c>
      <c r="C12" s="22">
        <f>[34]NUMERIK!K18</f>
        <v>62</v>
      </c>
      <c r="D12" s="23" t="s">
        <v>8</v>
      </c>
      <c r="E12" s="24">
        <f>C12/E5*100%</f>
        <v>0.28703703703703703</v>
      </c>
      <c r="F12" s="25">
        <f t="shared" ref="F12:F36" si="0">IF(AND(E12&gt;=24.995%,E12&lt;50.995%),1,IF(AND(E12&gt;=50.995%,E12&lt;75.995%),3,IF(E12&gt;=75.995%,5,0)))</f>
        <v>1</v>
      </c>
      <c r="G12" s="26" t="str">
        <f>[34]Outcome!Q6</f>
        <v xml:space="preserve">, , , , , , , , , , , , , , , , , , , , , , , , , , , , , , , , , , , , , , , , , , , , </v>
      </c>
      <c r="H12" s="27">
        <f>[34]Outcome!M6</f>
        <v>0</v>
      </c>
      <c r="I12" s="28" t="s">
        <v>8</v>
      </c>
      <c r="J12" s="29">
        <f>IF(H12&gt;C12,0,C12-H12)</f>
        <v>62</v>
      </c>
      <c r="K12" s="30" t="s">
        <v>8</v>
      </c>
      <c r="L12" s="31">
        <f>J12/E$5*100%</f>
        <v>0.28703703703703703</v>
      </c>
      <c r="M12" s="32">
        <f t="shared" ref="M12:M36" si="1">IF(AND(L12&gt;=24.995%,L12&lt;50.995%),1,IF(AND(L12&gt;=50.995%,L12&lt;75.995%),3,IF(L12&gt;=75.995%,5,0)))</f>
        <v>1</v>
      </c>
      <c r="N12" s="33"/>
    </row>
    <row r="13" spans="1:14" s="34" customFormat="1" ht="24.95" customHeight="1" x14ac:dyDescent="0.25">
      <c r="A13" s="213"/>
      <c r="B13" s="21" t="s">
        <v>28</v>
      </c>
      <c r="C13" s="35">
        <f>[34]NUMERIK!K20</f>
        <v>0</v>
      </c>
      <c r="D13" s="23" t="s">
        <v>3</v>
      </c>
      <c r="E13" s="24">
        <f>C13/E4*100%</f>
        <v>0</v>
      </c>
      <c r="F13" s="25">
        <f t="shared" si="0"/>
        <v>0</v>
      </c>
      <c r="G13" s="36" t="str">
        <f>[34]Outcome!Q51</f>
        <v xml:space="preserve">, , , , , , , , , , , , , , , , , , , </v>
      </c>
      <c r="H13" s="37">
        <f>[34]Outcome!M51</f>
        <v>0</v>
      </c>
      <c r="I13" s="38" t="s">
        <v>3</v>
      </c>
      <c r="J13" s="39">
        <f>IF(H13&gt;C13,0,C13-H13)</f>
        <v>0</v>
      </c>
      <c r="K13" s="40" t="s">
        <v>3</v>
      </c>
      <c r="L13" s="41">
        <f>J13/E$4*100%</f>
        <v>0</v>
      </c>
      <c r="M13" s="42">
        <f t="shared" si="1"/>
        <v>0</v>
      </c>
      <c r="N13" s="33"/>
    </row>
    <row r="14" spans="1:14" s="34" customFormat="1" ht="24.95" customHeight="1" thickBot="1" x14ac:dyDescent="0.3">
      <c r="A14" s="214"/>
      <c r="B14" s="43" t="s">
        <v>29</v>
      </c>
      <c r="C14" s="35">
        <f>[34]NUMERIK!K22</f>
        <v>14</v>
      </c>
      <c r="D14" s="23" t="s">
        <v>8</v>
      </c>
      <c r="E14" s="24">
        <f>C14/E5*100%</f>
        <v>6.4814814814814811E-2</v>
      </c>
      <c r="F14" s="44">
        <f t="shared" si="0"/>
        <v>0</v>
      </c>
      <c r="G14" s="45" t="str">
        <f>[34]Outcome!Q71</f>
        <v xml:space="preserve">RTLH RT014-RW005, , , , , , , , , , , , , , , , , , , , , , , , , , , , , , , , , , , , , , , , , , , , </v>
      </c>
      <c r="H14" s="46">
        <f>[34]Outcome!M71</f>
        <v>1</v>
      </c>
      <c r="I14" s="47" t="s">
        <v>8</v>
      </c>
      <c r="J14" s="48">
        <f>IF(H14&gt;C14,0,C14-H14)</f>
        <v>13</v>
      </c>
      <c r="K14" s="49" t="s">
        <v>8</v>
      </c>
      <c r="L14" s="50">
        <f>J14/E$5*100%</f>
        <v>6.0185185185185182E-2</v>
      </c>
      <c r="M14" s="51">
        <f t="shared" si="1"/>
        <v>0</v>
      </c>
      <c r="N14" s="33"/>
    </row>
    <row r="15" spans="1:14" s="34" customFormat="1" ht="30" customHeight="1" thickBot="1" x14ac:dyDescent="0.3">
      <c r="A15" s="52" t="s">
        <v>30</v>
      </c>
      <c r="B15" s="53"/>
      <c r="C15" s="54"/>
      <c r="D15" s="55"/>
      <c r="E15" s="56">
        <f>IF(SUM(F12:F14)&gt;0,(SUMIF(F12:F14,"&gt;0",E12:E14)/3),0)</f>
        <v>9.5679012345679007E-2</v>
      </c>
      <c r="F15" s="57"/>
      <c r="G15" s="58"/>
      <c r="H15" s="59"/>
      <c r="I15" s="59"/>
      <c r="J15" s="60"/>
      <c r="K15" s="61"/>
      <c r="L15" s="56">
        <f>IF(SUM(M12:M14)&gt;0,(SUMIF(M12:M14,"&gt;0",L12:L14)/3),0)</f>
        <v>9.5679012345679007E-2</v>
      </c>
      <c r="M15" s="62"/>
      <c r="N15" s="33"/>
    </row>
    <row r="16" spans="1:14" s="34" customFormat="1" ht="24.95" customHeight="1" x14ac:dyDescent="0.25">
      <c r="A16" s="215" t="s">
        <v>31</v>
      </c>
      <c r="B16" s="63" t="s">
        <v>32</v>
      </c>
      <c r="C16" s="64">
        <f>[34]NUMERIK!K25-[34]NUMERIK!K26</f>
        <v>0</v>
      </c>
      <c r="D16" s="65" t="s">
        <v>33</v>
      </c>
      <c r="E16" s="66">
        <f>C16/[34]NUMERIK!K$25*100%</f>
        <v>0</v>
      </c>
      <c r="F16" s="67">
        <f t="shared" si="0"/>
        <v>0</v>
      </c>
      <c r="G16" s="36" t="str">
        <f>[34]Outcome!Q116</f>
        <v xml:space="preserve">, , , , , , , , , , , , , , , , , , , </v>
      </c>
      <c r="H16" s="27">
        <f>[34]Outcome!M116</f>
        <v>0</v>
      </c>
      <c r="I16" s="68" t="s">
        <v>33</v>
      </c>
      <c r="J16" s="69">
        <f>IF(H16&gt;C16,0,C16-H16)</f>
        <v>0</v>
      </c>
      <c r="K16" s="70" t="s">
        <v>33</v>
      </c>
      <c r="L16" s="71">
        <f>J16/[34]NUMERIK!K$25*100%</f>
        <v>0</v>
      </c>
      <c r="M16" s="72">
        <f t="shared" si="1"/>
        <v>0</v>
      </c>
      <c r="N16" s="33"/>
    </row>
    <row r="17" spans="1:15" s="34" customFormat="1" ht="24.95" customHeight="1" thickBot="1" x14ac:dyDescent="0.3">
      <c r="A17" s="192"/>
      <c r="B17" s="21" t="s">
        <v>34</v>
      </c>
      <c r="C17" s="22">
        <f>[34]NUMERIK!K28</f>
        <v>275</v>
      </c>
      <c r="D17" s="73" t="s">
        <v>33</v>
      </c>
      <c r="E17" s="24">
        <f>C17/[34]NUMERIK!K$25*100%</f>
        <v>0.11293634496919917</v>
      </c>
      <c r="F17" s="25">
        <f t="shared" si="0"/>
        <v>0</v>
      </c>
      <c r="G17" s="45" t="str">
        <f>[34]Outcome!Q136</f>
        <v xml:space="preserve">Jalan Paving Block RT040-RW013, Jalan Paving Block RT040-RW013, , , , , , , , , , , , , , , , , , , , , , , , , , , , , , , , , , , , , , , , , , , </v>
      </c>
      <c r="H17" s="37">
        <f>[34]Outcome!M136</f>
        <v>249</v>
      </c>
      <c r="I17" s="38" t="s">
        <v>33</v>
      </c>
      <c r="J17" s="39">
        <f>IF(H17&gt;C17,0,C17-H17)</f>
        <v>26</v>
      </c>
      <c r="K17" s="40" t="s">
        <v>33</v>
      </c>
      <c r="L17" s="41">
        <f>J17/[34]NUMERIK!K$25*100%</f>
        <v>1.0677618069815195E-2</v>
      </c>
      <c r="M17" s="42">
        <f t="shared" si="1"/>
        <v>0</v>
      </c>
      <c r="N17" s="33"/>
    </row>
    <row r="18" spans="1:15" s="34" customFormat="1" ht="30" customHeight="1" thickBot="1" x14ac:dyDescent="0.3">
      <c r="A18" s="52" t="s">
        <v>35</v>
      </c>
      <c r="B18" s="53"/>
      <c r="C18" s="54"/>
      <c r="D18" s="55"/>
      <c r="E18" s="56">
        <f>IF(SUM(F16:F17)&gt;0,(SUMIF(F16:F17,"&gt;0",E16:E17)/2),0)</f>
        <v>0</v>
      </c>
      <c r="F18" s="57"/>
      <c r="G18" s="58"/>
      <c r="H18" s="59"/>
      <c r="I18" s="59"/>
      <c r="J18" s="60"/>
      <c r="K18" s="61"/>
      <c r="L18" s="56">
        <f>IF(SUM(M16:M17)&gt;0,(SUMIF(M16:M17,"&gt;0",L16:L17)/2),0)</f>
        <v>0</v>
      </c>
      <c r="M18" s="62"/>
      <c r="N18" s="33"/>
    </row>
    <row r="19" spans="1:15" s="34" customFormat="1" ht="24.95" customHeight="1" x14ac:dyDescent="0.25">
      <c r="A19" s="213" t="s">
        <v>36</v>
      </c>
      <c r="B19" s="21" t="s">
        <v>37</v>
      </c>
      <c r="C19" s="22">
        <f>[34]NUMERIK!K31</f>
        <v>35</v>
      </c>
      <c r="D19" s="73" t="s">
        <v>12</v>
      </c>
      <c r="E19" s="74">
        <f>C19/E$7*100%</f>
        <v>0.1394422310756972</v>
      </c>
      <c r="F19" s="25">
        <f t="shared" si="0"/>
        <v>0</v>
      </c>
      <c r="G19" s="36" t="str">
        <f>[34]Outcome!Q181</f>
        <v xml:space="preserve">, , , , , , , , , , , , , , , , , , , </v>
      </c>
      <c r="H19" s="27">
        <f>[34]Outcome!Q182</f>
        <v>0</v>
      </c>
      <c r="I19" s="38" t="s">
        <v>12</v>
      </c>
      <c r="J19" s="39">
        <f>IF(H19&gt;C19,0,C19-H19)</f>
        <v>35</v>
      </c>
      <c r="K19" s="75" t="s">
        <v>12</v>
      </c>
      <c r="L19" s="76">
        <f>J19/E$7*100%</f>
        <v>0.1394422310756972</v>
      </c>
      <c r="M19" s="42">
        <f t="shared" si="1"/>
        <v>0</v>
      </c>
      <c r="N19" s="33"/>
    </row>
    <row r="20" spans="1:15" s="34" customFormat="1" ht="24.95" customHeight="1" thickBot="1" x14ac:dyDescent="0.3">
      <c r="A20" s="213"/>
      <c r="B20" s="21" t="s">
        <v>38</v>
      </c>
      <c r="C20" s="22">
        <f>[34]NUMERIK!K33</f>
        <v>4.6216216216216184</v>
      </c>
      <c r="D20" s="73" t="s">
        <v>12</v>
      </c>
      <c r="E20" s="74">
        <f>C20/E$7*100%</f>
        <v>1.8412835145902862E-2</v>
      </c>
      <c r="F20" s="25">
        <f t="shared" si="0"/>
        <v>0</v>
      </c>
      <c r="G20" s="45" t="str">
        <f>[34]Outcome!Q201</f>
        <v xml:space="preserve">, , , , , , , , , , , , , , , , , , , , , , , , , , , , , , , , , , , , , , , , , , , , </v>
      </c>
      <c r="H20" s="37">
        <f>[34]Outcome!Q202</f>
        <v>0</v>
      </c>
      <c r="I20" s="38" t="s">
        <v>12</v>
      </c>
      <c r="J20" s="39">
        <f>IF(H20&gt;C20,0,C20-H20)</f>
        <v>4.6216216216216184</v>
      </c>
      <c r="K20" s="75" t="s">
        <v>12</v>
      </c>
      <c r="L20" s="76">
        <f>J20/E$7*100%</f>
        <v>1.8412835145902862E-2</v>
      </c>
      <c r="M20" s="42">
        <f t="shared" si="1"/>
        <v>0</v>
      </c>
      <c r="N20" s="33"/>
    </row>
    <row r="21" spans="1:15" s="77" customFormat="1" ht="30" customHeight="1" thickBot="1" x14ac:dyDescent="0.3">
      <c r="A21" s="52" t="s">
        <v>39</v>
      </c>
      <c r="B21" s="53"/>
      <c r="C21" s="54"/>
      <c r="D21" s="55"/>
      <c r="E21" s="56">
        <f>IF(SUM(F19:F20)&gt;0,(SUMIF(F19:F20,"&gt;0",E19:E20)/2),0)</f>
        <v>0</v>
      </c>
      <c r="F21" s="57"/>
      <c r="G21" s="58"/>
      <c r="H21" s="59"/>
      <c r="I21" s="59"/>
      <c r="J21" s="60"/>
      <c r="K21" s="61"/>
      <c r="L21" s="56">
        <f>IF(SUM(M19:M20)&gt;0,(SUMIF(M19:M20,"&gt;0",L19:L20)/2),0)</f>
        <v>0</v>
      </c>
      <c r="M21" s="62"/>
      <c r="N21" s="33"/>
      <c r="O21" s="34"/>
    </row>
    <row r="22" spans="1:15" s="34" customFormat="1" ht="20.100000000000001" customHeight="1" x14ac:dyDescent="0.25">
      <c r="A22" s="192" t="s">
        <v>40</v>
      </c>
      <c r="B22" s="78" t="s">
        <v>41</v>
      </c>
      <c r="C22" s="22">
        <f>[34]NUMERIK!K36</f>
        <v>0.5</v>
      </c>
      <c r="D22" s="73" t="s">
        <v>3</v>
      </c>
      <c r="E22" s="79">
        <f>C22/E$4*100%</f>
        <v>7.4471032257872341E-2</v>
      </c>
      <c r="F22" s="25">
        <f t="shared" si="0"/>
        <v>0</v>
      </c>
      <c r="G22" s="36" t="str">
        <f>[34]Outcome!Q246</f>
        <v xml:space="preserve">, , , , , , , , , , , , , , , , , , , </v>
      </c>
      <c r="H22" s="27">
        <f>[34]Outcome!M246</f>
        <v>0</v>
      </c>
      <c r="I22" s="38" t="s">
        <v>3</v>
      </c>
      <c r="J22" s="39">
        <f>IF(H22&gt;C22,0,C22-H22)</f>
        <v>0.5</v>
      </c>
      <c r="K22" s="40" t="s">
        <v>3</v>
      </c>
      <c r="L22" s="41">
        <f>J22/E$4*100%</f>
        <v>7.4471032257872341E-2</v>
      </c>
      <c r="M22" s="42">
        <f t="shared" si="1"/>
        <v>0</v>
      </c>
      <c r="N22" s="33"/>
    </row>
    <row r="23" spans="1:15" s="34" customFormat="1" ht="25.5" customHeight="1" x14ac:dyDescent="0.25">
      <c r="A23" s="192"/>
      <c r="B23" s="21" t="s">
        <v>42</v>
      </c>
      <c r="C23" s="22">
        <f>([34]NUMERIK!K38-[34]NUMERIK!K40)</f>
        <v>590</v>
      </c>
      <c r="D23" s="73" t="s">
        <v>33</v>
      </c>
      <c r="E23" s="79">
        <f>C23/[34]NUMERIK!K$38*100%</f>
        <v>0.12317327766179541</v>
      </c>
      <c r="F23" s="25">
        <f t="shared" si="0"/>
        <v>0</v>
      </c>
      <c r="G23" s="36" t="str">
        <f>[34]Outcome!Q266</f>
        <v xml:space="preserve">Drainase Lingkungan RT014-RW005, Penutup Saluran/Parit (Plat beton,dll) RT014-RW005, Drainase Lingkungan RT015-RW005, Drainase Lingkungan RT040-RW013, Drainase Lingkungan RT040-RW013, , , , , , , , , , , , , , , , , , , , , , , , , , , , , , , , , , , , , , , , </v>
      </c>
      <c r="H23" s="37">
        <f>[34]Outcome!M266</f>
        <v>316</v>
      </c>
      <c r="I23" s="38" t="s">
        <v>33</v>
      </c>
      <c r="J23" s="39">
        <f>IF(H23&gt;C23,0,C23-H23)</f>
        <v>274</v>
      </c>
      <c r="K23" s="40" t="s">
        <v>33</v>
      </c>
      <c r="L23" s="41">
        <f>J23/[34]NUMERIK!K$38*100%</f>
        <v>5.7202505219206681E-2</v>
      </c>
      <c r="M23" s="42">
        <f t="shared" si="1"/>
        <v>0</v>
      </c>
      <c r="N23" s="33"/>
    </row>
    <row r="24" spans="1:15" s="34" customFormat="1" ht="20.100000000000001" customHeight="1" x14ac:dyDescent="0.25">
      <c r="A24" s="192"/>
      <c r="B24" s="21" t="s">
        <v>43</v>
      </c>
      <c r="C24" s="22">
        <f>[34]NUMERIK!K42</f>
        <v>280</v>
      </c>
      <c r="D24" s="73" t="s">
        <v>33</v>
      </c>
      <c r="E24" s="79">
        <f>C24/[34]NUMERIK!K$38*100%</f>
        <v>5.845511482254697E-2</v>
      </c>
      <c r="F24" s="25">
        <f t="shared" si="0"/>
        <v>0</v>
      </c>
      <c r="G24" s="36" t="str">
        <f>[34]Outcome!Q311</f>
        <v xml:space="preserve">, , , , , , , , , , , , , , , , , , , </v>
      </c>
      <c r="H24" s="37">
        <f>[34]Outcome!M311</f>
        <v>0</v>
      </c>
      <c r="I24" s="38" t="s">
        <v>33</v>
      </c>
      <c r="J24" s="39">
        <f>IF(H24&gt;C24,0,C24-H24)</f>
        <v>280</v>
      </c>
      <c r="K24" s="40" t="s">
        <v>33</v>
      </c>
      <c r="L24" s="41">
        <f>J24/[34]NUMERIK!K$38*100%</f>
        <v>5.845511482254697E-2</v>
      </c>
      <c r="M24" s="42">
        <f t="shared" si="1"/>
        <v>0</v>
      </c>
      <c r="N24" s="33"/>
    </row>
    <row r="25" spans="1:15" s="34" customFormat="1" ht="20.100000000000001" customHeight="1" x14ac:dyDescent="0.25">
      <c r="A25" s="192"/>
      <c r="B25" s="21" t="s">
        <v>44</v>
      </c>
      <c r="C25" s="22">
        <f>[34]NUMERIK!K45</f>
        <v>3410</v>
      </c>
      <c r="D25" s="73" t="s">
        <v>33</v>
      </c>
      <c r="E25" s="79">
        <f>C25/[34]NUMERIK!K$38*100%</f>
        <v>0.71189979123173275</v>
      </c>
      <c r="F25" s="25">
        <f t="shared" si="0"/>
        <v>3</v>
      </c>
      <c r="G25" s="36" t="str">
        <f>[34]Outcome!Q331</f>
        <v xml:space="preserve">, , , , , , , , , , , , , , , , , , , </v>
      </c>
      <c r="H25" s="37">
        <f>[34]Outcome!M331</f>
        <v>0</v>
      </c>
      <c r="I25" s="38" t="s">
        <v>33</v>
      </c>
      <c r="J25" s="39">
        <f>IF(H25&gt;C25,0,C25-H25)</f>
        <v>3410</v>
      </c>
      <c r="K25" s="40" t="s">
        <v>33</v>
      </c>
      <c r="L25" s="41">
        <f>J25/[34]NUMERIK!K$38*100%</f>
        <v>0.71189979123173275</v>
      </c>
      <c r="M25" s="42">
        <f t="shared" si="1"/>
        <v>3</v>
      </c>
      <c r="N25" s="33"/>
    </row>
    <row r="26" spans="1:15" s="34" customFormat="1" ht="20.100000000000001" customHeight="1" thickBot="1" x14ac:dyDescent="0.3">
      <c r="A26" s="192"/>
      <c r="B26" s="78" t="s">
        <v>45</v>
      </c>
      <c r="C26" s="22">
        <f>[34]NUMERIK!K48</f>
        <v>1250</v>
      </c>
      <c r="D26" s="73" t="s">
        <v>33</v>
      </c>
      <c r="E26" s="79">
        <f>C26/[34]NUMERIK!K$38*100%</f>
        <v>0.26096033402922758</v>
      </c>
      <c r="F26" s="25">
        <f t="shared" si="0"/>
        <v>1</v>
      </c>
      <c r="G26" s="36" t="str">
        <f>[34]Outcome!Q351</f>
        <v xml:space="preserve">Drainase Lingkungan RT044-RW014, Drainase Lingkungan RT044-RW014, , , , , , , , , , , , , , , , , , , , , , , , , , , , , , , , , , , , , , , , , , , </v>
      </c>
      <c r="H26" s="37">
        <f>[34]Outcome!M351</f>
        <v>85</v>
      </c>
      <c r="I26" s="38" t="s">
        <v>33</v>
      </c>
      <c r="J26" s="39">
        <f>IF(H26&gt;C26,0,C26-H26)</f>
        <v>1165</v>
      </c>
      <c r="K26" s="40" t="s">
        <v>33</v>
      </c>
      <c r="L26" s="41">
        <f>J26/[34]NUMERIK!K$38*100%</f>
        <v>0.24321503131524008</v>
      </c>
      <c r="M26" s="42">
        <f t="shared" si="1"/>
        <v>0</v>
      </c>
      <c r="N26" s="33"/>
    </row>
    <row r="27" spans="1:15" s="88" customFormat="1" ht="30" customHeight="1" thickBot="1" x14ac:dyDescent="0.3">
      <c r="A27" s="80" t="s">
        <v>46</v>
      </c>
      <c r="B27" s="81"/>
      <c r="C27" s="55"/>
      <c r="D27" s="55"/>
      <c r="E27" s="82">
        <f>IF(SUM(F22:F26)&gt;0,(SUMIF(F22:F26,"&gt;0",E22:E26)/5),0)</f>
        <v>0.19457202505219207</v>
      </c>
      <c r="F27" s="83"/>
      <c r="G27" s="58"/>
      <c r="H27" s="59"/>
      <c r="I27" s="59"/>
      <c r="J27" s="84"/>
      <c r="K27" s="85"/>
      <c r="L27" s="82">
        <f>IF(SUM(M22:M26)&gt;0,(SUMIF(M22:M26,"&gt;0",L22:L26)/5),0)</f>
        <v>0.14237995824634656</v>
      </c>
      <c r="M27" s="86"/>
      <c r="N27" s="87"/>
    </row>
    <row r="28" spans="1:15" s="34" customFormat="1" ht="27.75" customHeight="1" x14ac:dyDescent="0.25">
      <c r="A28" s="213" t="s">
        <v>47</v>
      </c>
      <c r="B28" s="21" t="s">
        <v>48</v>
      </c>
      <c r="C28" s="22">
        <f>[34]NUMERIK!K51</f>
        <v>0</v>
      </c>
      <c r="D28" s="73" t="s">
        <v>12</v>
      </c>
      <c r="E28" s="89">
        <f>C28/E$7*100%</f>
        <v>0</v>
      </c>
      <c r="F28" s="25">
        <f t="shared" si="0"/>
        <v>0</v>
      </c>
      <c r="G28" s="36" t="str">
        <f>[34]Outcome!Q396</f>
        <v xml:space="preserve">, , , , , , , , , , , , , , , , , , , , , , , , , , , , , , , , , , , , , , , , , , , , </v>
      </c>
      <c r="H28" s="37">
        <f>[34]Outcome!Q397</f>
        <v>0</v>
      </c>
      <c r="I28" s="38" t="s">
        <v>12</v>
      </c>
      <c r="J28" s="39">
        <f>IF(H28&gt;C28,0,C28-H28)</f>
        <v>0</v>
      </c>
      <c r="K28" s="40" t="s">
        <v>12</v>
      </c>
      <c r="L28" s="41">
        <f>J28/E$7*100%</f>
        <v>0</v>
      </c>
      <c r="M28" s="42">
        <f t="shared" si="1"/>
        <v>0</v>
      </c>
      <c r="N28" s="33"/>
    </row>
    <row r="29" spans="1:15" s="34" customFormat="1" ht="30" customHeight="1" thickBot="1" x14ac:dyDescent="0.3">
      <c r="A29" s="213"/>
      <c r="B29" s="21" t="s">
        <v>49</v>
      </c>
      <c r="C29" s="22">
        <f>[34]NUMERIK!K53</f>
        <v>0</v>
      </c>
      <c r="D29" s="73" t="s">
        <v>12</v>
      </c>
      <c r="E29" s="89">
        <f>C29/E$7*100%</f>
        <v>0</v>
      </c>
      <c r="F29" s="25">
        <f t="shared" si="0"/>
        <v>0</v>
      </c>
      <c r="G29" s="45" t="str">
        <f>[34]Outcome!Q441</f>
        <v xml:space="preserve">, , , , , , , , , , , , , , , , , , , , , , , , , , , , , , , , , , , , , , , , , , , , , , , , , , , , , , </v>
      </c>
      <c r="H29" s="37">
        <f>[34]Outcome!Q442</f>
        <v>0</v>
      </c>
      <c r="I29" s="38" t="s">
        <v>12</v>
      </c>
      <c r="J29" s="39">
        <f>IF(H29&gt;C29,0,C29-H29)</f>
        <v>0</v>
      </c>
      <c r="K29" s="40" t="s">
        <v>12</v>
      </c>
      <c r="L29" s="41">
        <f>J29/E$7*100%</f>
        <v>0</v>
      </c>
      <c r="M29" s="42">
        <f t="shared" si="1"/>
        <v>0</v>
      </c>
      <c r="N29" s="33"/>
    </row>
    <row r="30" spans="1:15" s="88" customFormat="1" ht="30" customHeight="1" thickBot="1" x14ac:dyDescent="0.3">
      <c r="A30" s="90" t="s">
        <v>50</v>
      </c>
      <c r="B30" s="81"/>
      <c r="C30" s="55"/>
      <c r="D30" s="55"/>
      <c r="E30" s="82">
        <f>IF(SUM(F28:F29)&gt;0,(SUMIF(F28:F29,"&gt;0",E28:E29)/2),0)</f>
        <v>0</v>
      </c>
      <c r="F30" s="83"/>
      <c r="G30" s="91"/>
      <c r="H30" s="92"/>
      <c r="I30" s="92"/>
      <c r="J30" s="84"/>
      <c r="K30" s="85"/>
      <c r="L30" s="82">
        <f>IF(SUM(M28:M29)&gt;0,(SUMIF(M28:M29,"&gt;0",L28:L29)/2),0)</f>
        <v>0</v>
      </c>
      <c r="M30" s="86"/>
      <c r="N30" s="87"/>
    </row>
    <row r="31" spans="1:15" s="34" customFormat="1" ht="31.5" customHeight="1" x14ac:dyDescent="0.25">
      <c r="A31" s="192" t="s">
        <v>51</v>
      </c>
      <c r="B31" s="21" t="s">
        <v>52</v>
      </c>
      <c r="C31" s="93">
        <f>[34]NUMERIK!K56</f>
        <v>119</v>
      </c>
      <c r="D31" s="94" t="s">
        <v>12</v>
      </c>
      <c r="E31" s="89">
        <f>C31/E$7*100%</f>
        <v>0.47410358565737054</v>
      </c>
      <c r="F31" s="25">
        <f t="shared" si="0"/>
        <v>1</v>
      </c>
      <c r="G31" s="36" t="str">
        <f>[34]Outcome!Q496</f>
        <v xml:space="preserve">Cakupan Pelayanan Persampahan RT014-RW005, Cakupan Pelayanan Persampahan RT015-RW005, Cakupan Pelayanan Persampahan RT040-RW013, Cakupan Pelayanan Persampahan RT044-RW014, , , , , , , , , , , , , , , , , , , , , , , , , , , , , , , , , , , , , , , , , </v>
      </c>
      <c r="H31" s="37">
        <f>[34]Outcome!Q497</f>
        <v>251</v>
      </c>
      <c r="I31" s="38" t="s">
        <v>12</v>
      </c>
      <c r="J31" s="39">
        <f>IF(H31&gt;C31,0,C31-H31)</f>
        <v>0</v>
      </c>
      <c r="K31" s="40" t="s">
        <v>12</v>
      </c>
      <c r="L31" s="41">
        <f>J31/E$7*100%</f>
        <v>0</v>
      </c>
      <c r="M31" s="42">
        <f t="shared" si="1"/>
        <v>0</v>
      </c>
      <c r="N31" s="33"/>
    </row>
    <row r="32" spans="1:15" s="34" customFormat="1" ht="32.25" customHeight="1" x14ac:dyDescent="0.25">
      <c r="A32" s="192"/>
      <c r="B32" s="21" t="s">
        <v>53</v>
      </c>
      <c r="C32" s="93">
        <f>[34]NUMERIK!K59</f>
        <v>132</v>
      </c>
      <c r="D32" s="94" t="s">
        <v>12</v>
      </c>
      <c r="E32" s="89">
        <f>C32/E$7*100%</f>
        <v>0.52589641434262946</v>
      </c>
      <c r="F32" s="25">
        <f t="shared" si="0"/>
        <v>3</v>
      </c>
      <c r="G32" s="36" t="str">
        <f>[34]Outcome!Q541</f>
        <v xml:space="preserve">, , , , , , , , , , , , , , , , , , , , , , , , , , , , , , , , , , , , , , , , , , , , </v>
      </c>
      <c r="H32" s="37">
        <f>[34]Outcome!Q542</f>
        <v>0</v>
      </c>
      <c r="I32" s="38" t="s">
        <v>12</v>
      </c>
      <c r="J32" s="39">
        <f>IF(H32&gt;C32,0,C32-H32)</f>
        <v>132</v>
      </c>
      <c r="K32" s="40" t="s">
        <v>12</v>
      </c>
      <c r="L32" s="41">
        <f>J32/E$7*100%</f>
        <v>0.52589641434262946</v>
      </c>
      <c r="M32" s="42">
        <f t="shared" si="1"/>
        <v>3</v>
      </c>
      <c r="N32" s="33"/>
    </row>
    <row r="33" spans="1:14" s="34" customFormat="1" ht="30.75" customHeight="1" thickBot="1" x14ac:dyDescent="0.3">
      <c r="A33" s="192"/>
      <c r="B33" s="21" t="s">
        <v>54</v>
      </c>
      <c r="C33" s="93">
        <f>[34]NUMERIK!K61</f>
        <v>119</v>
      </c>
      <c r="D33" s="94" t="s">
        <v>12</v>
      </c>
      <c r="E33" s="89">
        <f>C33/E$7*100%</f>
        <v>0.47410358565737054</v>
      </c>
      <c r="F33" s="25">
        <f t="shared" si="0"/>
        <v>1</v>
      </c>
      <c r="G33" s="36" t="str">
        <f>[34]Outcome!Q586</f>
        <v xml:space="preserve">, , , , , , , , , , , , , , , , , , , , , , , , , , , , , , , , , , , , , , , , , , , , </v>
      </c>
      <c r="H33" s="37">
        <f>[34]Outcome!Q587</f>
        <v>0</v>
      </c>
      <c r="I33" s="38" t="s">
        <v>12</v>
      </c>
      <c r="J33" s="39">
        <f>IF(H33&gt;C33,0,C33-H33)</f>
        <v>119</v>
      </c>
      <c r="K33" s="40" t="s">
        <v>12</v>
      </c>
      <c r="L33" s="41">
        <f>J33/E$7*100%</f>
        <v>0.47410358565737054</v>
      </c>
      <c r="M33" s="42">
        <f t="shared" si="1"/>
        <v>1</v>
      </c>
      <c r="N33" s="33"/>
    </row>
    <row r="34" spans="1:14" s="88" customFormat="1" ht="30" customHeight="1" thickBot="1" x14ac:dyDescent="0.3">
      <c r="A34" s="80" t="s">
        <v>55</v>
      </c>
      <c r="B34" s="81"/>
      <c r="C34" s="55"/>
      <c r="D34" s="55"/>
      <c r="E34" s="82">
        <f>IF(SUM(F31:F33)&gt;0,(SUMIF(F31:F33,"&gt;0",E31:E33)/3),0)</f>
        <v>0.49136786188579018</v>
      </c>
      <c r="F34" s="83"/>
      <c r="G34" s="91"/>
      <c r="H34" s="92"/>
      <c r="I34" s="92"/>
      <c r="J34" s="84"/>
      <c r="K34" s="85"/>
      <c r="L34" s="82">
        <f>IF(SUM(M31:M33)&gt;0,(SUMIF(M31:M33,"&gt;0",L31:L33)/3),0)</f>
        <v>0.33333333333333331</v>
      </c>
      <c r="M34" s="86"/>
      <c r="N34" s="87"/>
    </row>
    <row r="35" spans="1:14" s="34" customFormat="1" ht="24.95" customHeight="1" x14ac:dyDescent="0.25">
      <c r="A35" s="213" t="s">
        <v>56</v>
      </c>
      <c r="B35" s="95" t="s">
        <v>57</v>
      </c>
      <c r="C35" s="93">
        <f>[34]NUMERIK!K64</f>
        <v>46</v>
      </c>
      <c r="D35" s="94" t="s">
        <v>8</v>
      </c>
      <c r="E35" s="79">
        <f>C35/E$5*100%</f>
        <v>0.21296296296296297</v>
      </c>
      <c r="F35" s="25">
        <f t="shared" si="0"/>
        <v>0</v>
      </c>
      <c r="G35" s="36" t="str">
        <f>[34]Outcome!Q631</f>
        <v xml:space="preserve">Cakupan Pelayanan Kebakaran RT014-RW005, , , , , , , , , , , , , , , , , , , </v>
      </c>
      <c r="H35" s="27">
        <f>[34]Outcome!Q632</f>
        <v>61</v>
      </c>
      <c r="I35" s="38" t="s">
        <v>8</v>
      </c>
      <c r="J35" s="39">
        <f>IF(H35&gt;C35,0,C35-H35)</f>
        <v>0</v>
      </c>
      <c r="K35" s="40" t="s">
        <v>8</v>
      </c>
      <c r="L35" s="41">
        <f>J35/E$5*100%</f>
        <v>0</v>
      </c>
      <c r="M35" s="42">
        <f t="shared" si="1"/>
        <v>0</v>
      </c>
      <c r="N35" s="33"/>
    </row>
    <row r="36" spans="1:14" s="34" customFormat="1" ht="24.95" customHeight="1" thickBot="1" x14ac:dyDescent="0.3">
      <c r="A36" s="213"/>
      <c r="B36" s="95" t="s">
        <v>58</v>
      </c>
      <c r="C36" s="96">
        <f>[34]NUMERIK!K66</f>
        <v>46</v>
      </c>
      <c r="D36" s="94" t="s">
        <v>8</v>
      </c>
      <c r="E36" s="79">
        <f>C36/E$5*100%</f>
        <v>0.21296296296296297</v>
      </c>
      <c r="F36" s="25">
        <f t="shared" si="0"/>
        <v>0</v>
      </c>
      <c r="G36" s="36" t="str">
        <f>[34]Outcome!Q651</f>
        <v xml:space="preserve">Cakupan Pelayanan Kebakaran RT014-RW005, , , , , , , , , , , , , , , , , , , </v>
      </c>
      <c r="H36" s="37">
        <f>[34]Outcome!Q652</f>
        <v>61</v>
      </c>
      <c r="I36" s="97" t="s">
        <v>8</v>
      </c>
      <c r="J36" s="98">
        <f>IF(H36&gt;C36,0,C36-H36)</f>
        <v>0</v>
      </c>
      <c r="K36" s="99" t="s">
        <v>8</v>
      </c>
      <c r="L36" s="100">
        <f>J36/E$5*100%</f>
        <v>0</v>
      </c>
      <c r="M36" s="51">
        <f t="shared" si="1"/>
        <v>0</v>
      </c>
      <c r="N36" s="33"/>
    </row>
    <row r="37" spans="1:14" s="77" customFormat="1" ht="30" customHeight="1" thickBot="1" x14ac:dyDescent="0.3">
      <c r="A37" s="80" t="s">
        <v>59</v>
      </c>
      <c r="B37" s="101"/>
      <c r="C37" s="102"/>
      <c r="D37" s="102"/>
      <c r="E37" s="82">
        <f>IF(SUM(F35:F36)&gt;0,(SUMIF(F35:F36,"&gt;0",E35:E36)/2),0)</f>
        <v>0</v>
      </c>
      <c r="F37" s="103"/>
      <c r="G37" s="104"/>
      <c r="H37" s="105"/>
      <c r="I37" s="105"/>
      <c r="J37" s="106"/>
      <c r="K37" s="107"/>
      <c r="L37" s="82">
        <f>IF(SUM(M35:M36)&gt;0,(SUMIF(M35:M36,"&gt;0",L35:L36)/2),0)</f>
        <v>0</v>
      </c>
      <c r="M37" s="108"/>
      <c r="N37" s="109"/>
    </row>
    <row r="38" spans="1:14" ht="15" customHeight="1" x14ac:dyDescent="0.25">
      <c r="A38" s="110"/>
      <c r="B38" s="111" t="s">
        <v>60</v>
      </c>
      <c r="D38" s="218" t="s">
        <v>61</v>
      </c>
      <c r="E38" s="219"/>
      <c r="F38" s="222">
        <f>SUM(F12:F36)</f>
        <v>10</v>
      </c>
      <c r="G38" s="112"/>
      <c r="H38" s="112"/>
      <c r="I38" s="112"/>
      <c r="J38" s="112"/>
      <c r="K38" s="238" t="s">
        <v>61</v>
      </c>
      <c r="L38" s="239"/>
      <c r="M38" s="224">
        <f>SUM(M12:M36)</f>
        <v>8</v>
      </c>
    </row>
    <row r="39" spans="1:14" ht="15" customHeight="1" x14ac:dyDescent="0.25">
      <c r="A39" s="110"/>
      <c r="B39" s="113" t="s">
        <v>62</v>
      </c>
      <c r="D39" s="220"/>
      <c r="E39" s="221"/>
      <c r="F39" s="223"/>
      <c r="G39" s="114"/>
      <c r="H39" s="114"/>
      <c r="I39" s="114"/>
      <c r="J39" s="114"/>
      <c r="K39" s="240"/>
      <c r="L39" s="241"/>
      <c r="M39" s="225"/>
    </row>
    <row r="40" spans="1:14" ht="15" customHeight="1" x14ac:dyDescent="0.25">
      <c r="A40" s="110"/>
      <c r="B40" s="115" t="s">
        <v>63</v>
      </c>
      <c r="D40" s="226" t="s">
        <v>64</v>
      </c>
      <c r="E40" s="227"/>
      <c r="F40" s="230" t="str">
        <f>IF(F38="N/A","TIDAK KUMUH",IF(F38&gt;=71,"KUMUH BERAT",IF(AND(F38&lt;=70,F38&gt;=45),"KUMUH SEDANG",IF(AND(F38&lt;=44,F38&gt;=19),"KUMUH RINGAN","TIDAK KUMUH"))))</f>
        <v>TIDAK KUMUH</v>
      </c>
      <c r="G40" s="116"/>
      <c r="H40" s="116"/>
      <c r="I40" s="116"/>
      <c r="J40" s="116"/>
      <c r="K40" s="232" t="s">
        <v>64</v>
      </c>
      <c r="L40" s="233"/>
      <c r="M40" s="236" t="str">
        <f>IF(M38="N/A","TIDAK KUMUH",IF(M38&gt;=71,"KUMUH BERAT",IF(AND(M38&lt;=70,M38&gt;=45),"KUMUH SEDANG",IF(AND(M38&lt;=44,M38&gt;=19),"KUMUH RINGAN","TIDAK KUMUH"))))</f>
        <v>TIDAK KUMUH</v>
      </c>
    </row>
    <row r="41" spans="1:14" ht="15" customHeight="1" thickBot="1" x14ac:dyDescent="0.3">
      <c r="A41" s="110"/>
      <c r="B41" s="117" t="s">
        <v>65</v>
      </c>
      <c r="D41" s="228"/>
      <c r="E41" s="229"/>
      <c r="F41" s="231" t="str">
        <f>IF(E41&gt;71,"KB",IF(E41&gt;=47,"KS","KR"))</f>
        <v>KR</v>
      </c>
      <c r="G41" s="116"/>
      <c r="H41" s="116"/>
      <c r="I41" s="116"/>
      <c r="J41" s="116"/>
      <c r="K41" s="234"/>
      <c r="L41" s="235"/>
      <c r="M41" s="237" t="str">
        <f>IF(L41&gt;71,"KB",IF(L41&gt;=47,"KS","KR"))</f>
        <v>KR</v>
      </c>
    </row>
    <row r="42" spans="1:14" ht="21" customHeight="1" x14ac:dyDescent="0.25">
      <c r="B42" s="118" t="s">
        <v>66</v>
      </c>
      <c r="C42" s="119"/>
      <c r="D42" s="120"/>
      <c r="E42" s="121" t="s">
        <v>67</v>
      </c>
      <c r="F42" s="122">
        <f>AVERAGE(E15,E18,E21,E27,E30,E34,E37)</f>
        <v>0.11165984275480875</v>
      </c>
      <c r="J42" s="123"/>
      <c r="K42" s="124"/>
      <c r="L42" s="125" t="s">
        <v>67</v>
      </c>
      <c r="M42" s="126">
        <f>AVERAGE(L15,L18,L21,L27,L30,L34,L37)</f>
        <v>8.162747198933698E-2</v>
      </c>
    </row>
    <row r="43" spans="1:14" ht="21" customHeight="1" x14ac:dyDescent="0.25">
      <c r="B43" s="127"/>
      <c r="C43" s="119"/>
      <c r="D43" s="120"/>
      <c r="E43" s="121" t="s">
        <v>68</v>
      </c>
      <c r="F43" s="122">
        <v>0</v>
      </c>
      <c r="J43" s="123"/>
      <c r="K43" s="124"/>
      <c r="L43" s="125" t="s">
        <v>68</v>
      </c>
      <c r="M43" s="126">
        <f>(F42-M42)/F42</f>
        <v>0.26896304010940758</v>
      </c>
      <c r="N43"/>
    </row>
    <row r="44" spans="1:14" x14ac:dyDescent="0.25">
      <c r="M44" s="128"/>
    </row>
    <row r="55" spans="12:12" x14ac:dyDescent="0.25">
      <c r="L55" s="129"/>
    </row>
  </sheetData>
  <mergeCells count="23">
    <mergeCell ref="A22:A26"/>
    <mergeCell ref="A1:F1"/>
    <mergeCell ref="A2:B2"/>
    <mergeCell ref="A9:A11"/>
    <mergeCell ref="B9:B11"/>
    <mergeCell ref="C9:F10"/>
    <mergeCell ref="J9:M10"/>
    <mergeCell ref="G10:I10"/>
    <mergeCell ref="A12:A14"/>
    <mergeCell ref="A16:A17"/>
    <mergeCell ref="A19:A20"/>
    <mergeCell ref="G9:I9"/>
    <mergeCell ref="A28:A29"/>
    <mergeCell ref="A31:A33"/>
    <mergeCell ref="A35:A36"/>
    <mergeCell ref="D38:E39"/>
    <mergeCell ref="F38:F39"/>
    <mergeCell ref="M38:M39"/>
    <mergeCell ref="D40:E41"/>
    <mergeCell ref="F40:F41"/>
    <mergeCell ref="K40:L41"/>
    <mergeCell ref="M40:M41"/>
    <mergeCell ref="K38:L39"/>
  </mergeCells>
  <conditionalFormatting sqref="F40:J41">
    <cfRule type="expression" dxfId="26" priority="6">
      <formula>F40="KUMUH SEDANG"</formula>
    </cfRule>
    <cfRule type="expression" dxfId="25" priority="7">
      <formula>F40="TIDAK KUMUH"</formula>
    </cfRule>
    <cfRule type="expression" dxfId="24" priority="8">
      <formula>F40="KUMUH BERAT"</formula>
    </cfRule>
    <cfRule type="expression" dxfId="23" priority="9">
      <formula>F40="KUMUH RINGAN"</formula>
    </cfRule>
  </conditionalFormatting>
  <conditionalFormatting sqref="G12:G14 G16:G17 G19:G20 G22:G26 G28:G29 G31:G33 G35:G36">
    <cfRule type="cellIs" dxfId="22" priority="1" operator="equal">
      <formula>", , , , , , "</formula>
    </cfRule>
  </conditionalFormatting>
  <conditionalFormatting sqref="M40:M41">
    <cfRule type="expression" dxfId="21" priority="2">
      <formula>M40="KUMUH SEDANG"</formula>
    </cfRule>
    <cfRule type="expression" dxfId="20" priority="3">
      <formula>M40="TIDAK KUMUH"</formula>
    </cfRule>
    <cfRule type="expression" dxfId="19" priority="4">
      <formula>M40="KUMUH BERAT"</formula>
    </cfRule>
    <cfRule type="expression" dxfId="18" priority="5">
      <formula>M40="KUMUH RINGAN"</formula>
    </cfRule>
  </conditionalFormatting>
  <pageMargins left="0.7" right="0.2" top="0.75" bottom="0.75" header="0.3" footer="0.3"/>
  <pageSetup paperSize="9" scale="70" orientation="portrait" horizontalDpi="4294967293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648FF-5063-4E48-A945-4A056A0EBEFC}">
  <sheetPr>
    <tabColor rgb="FF0070C0"/>
  </sheetPr>
  <dimension ref="A1:O55"/>
  <sheetViews>
    <sheetView showGridLines="0" zoomScale="80" zoomScaleNormal="80" zoomScaleSheetLayoutView="75" zoomScalePageLayoutView="90" workbookViewId="0">
      <selection activeCell="F12" sqref="F12:F36"/>
    </sheetView>
  </sheetViews>
  <sheetFormatPr defaultColWidth="8.85546875" defaultRowHeight="15" x14ac:dyDescent="0.25"/>
  <cols>
    <col min="1" max="1" width="24" customWidth="1"/>
    <col min="2" max="2" width="45.85546875" customWidth="1"/>
    <col min="3" max="3" width="12.42578125" customWidth="1"/>
    <col min="4" max="4" width="9.140625" customWidth="1"/>
    <col min="5" max="5" width="12.140625" customWidth="1"/>
    <col min="6" max="6" width="9.140625" customWidth="1"/>
    <col min="7" max="7" width="36.42578125" customWidth="1"/>
    <col min="8" max="9" width="9.140625" customWidth="1"/>
    <col min="10" max="10" width="10" bestFit="1" customWidth="1"/>
    <col min="11" max="12" width="9.140625" customWidth="1"/>
    <col min="13" max="13" width="11.28515625" customWidth="1"/>
    <col min="14" max="14" width="2.28515625" style="3" customWidth="1"/>
  </cols>
  <sheetData>
    <row r="1" spans="1:14" ht="18.75" customHeight="1" x14ac:dyDescent="0.3">
      <c r="A1" s="193" t="s">
        <v>0</v>
      </c>
      <c r="B1" s="193"/>
      <c r="C1" s="193"/>
      <c r="D1" s="193"/>
      <c r="E1" s="193"/>
      <c r="F1" s="193"/>
      <c r="G1" s="1"/>
      <c r="H1" s="1"/>
      <c r="I1" s="1"/>
      <c r="J1" s="1"/>
      <c r="K1" s="1"/>
      <c r="L1" s="1"/>
      <c r="M1" s="2"/>
    </row>
    <row r="2" spans="1:14" ht="3.75" customHeight="1" x14ac:dyDescent="0.25">
      <c r="A2" s="194"/>
      <c r="B2" s="194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4" ht="15.75" customHeight="1" x14ac:dyDescent="0.25">
      <c r="A3" s="6" t="s">
        <v>1</v>
      </c>
      <c r="B3" s="6" t="str">
        <f>": "&amp;[35]NUMERIK!E14</f>
        <v>: JAWA TIMUR</v>
      </c>
      <c r="C3" s="7" t="s">
        <v>2</v>
      </c>
      <c r="D3" s="8"/>
      <c r="E3" s="9">
        <f>[35]NUMERIK!K6</f>
        <v>3.26</v>
      </c>
      <c r="F3" t="s">
        <v>3</v>
      </c>
    </row>
    <row r="4" spans="1:14" ht="15.75" customHeight="1" x14ac:dyDescent="0.25">
      <c r="A4" s="6" t="s">
        <v>4</v>
      </c>
      <c r="B4" s="6" t="str">
        <f>": "&amp;[35]NUMERIK!E12</f>
        <v>: KOTA MADIUN</v>
      </c>
      <c r="C4" s="7" t="s">
        <v>5</v>
      </c>
      <c r="D4" s="8"/>
      <c r="E4" s="9">
        <f>[35]NUMERIK!K8</f>
        <v>3.26</v>
      </c>
      <c r="F4" t="s">
        <v>3</v>
      </c>
    </row>
    <row r="5" spans="1:14" ht="15.75" customHeight="1" x14ac:dyDescent="0.25">
      <c r="A5" s="10" t="s">
        <v>6</v>
      </c>
      <c r="B5" s="10" t="str">
        <f>": "&amp;[35]NUMERIK!E10</f>
        <v>: KARTOHARJO</v>
      </c>
      <c r="C5" s="7" t="s">
        <v>7</v>
      </c>
      <c r="D5" s="8"/>
      <c r="E5" s="11">
        <f>[35]NUMERIK!K10</f>
        <v>110</v>
      </c>
      <c r="F5" t="s">
        <v>8</v>
      </c>
    </row>
    <row r="6" spans="1:14" ht="15.75" customHeight="1" x14ac:dyDescent="0.25">
      <c r="A6" s="10" t="s">
        <v>9</v>
      </c>
      <c r="B6" s="10" t="str">
        <f>": "&amp;[35]NUMERIK!E6</f>
        <v>: KELUN</v>
      </c>
      <c r="C6" s="7" t="s">
        <v>10</v>
      </c>
      <c r="D6" s="8"/>
      <c r="E6" s="12">
        <f>[35]NUMERIK!K12</f>
        <v>403</v>
      </c>
      <c r="F6" t="s">
        <v>11</v>
      </c>
    </row>
    <row r="7" spans="1:14" ht="15.75" customHeight="1" x14ac:dyDescent="0.25">
      <c r="A7" s="4"/>
      <c r="B7" s="13"/>
      <c r="C7" s="7" t="s">
        <v>7</v>
      </c>
      <c r="D7" s="5"/>
      <c r="E7" s="12">
        <f>[35]NUMERIK!K14</f>
        <v>137</v>
      </c>
      <c r="F7" t="s">
        <v>12</v>
      </c>
    </row>
    <row r="8" spans="1:14" ht="5.25" customHeight="1" thickBot="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4" ht="12" customHeight="1" x14ac:dyDescent="0.25">
      <c r="A9" s="195" t="s">
        <v>13</v>
      </c>
      <c r="B9" s="197" t="s">
        <v>14</v>
      </c>
      <c r="C9" s="199" t="s">
        <v>15</v>
      </c>
      <c r="D9" s="200"/>
      <c r="E9" s="200"/>
      <c r="F9" s="201"/>
      <c r="G9" s="216" t="s">
        <v>16</v>
      </c>
      <c r="H9" s="217"/>
      <c r="I9" s="217"/>
      <c r="J9" s="205" t="s">
        <v>17</v>
      </c>
      <c r="K9" s="206"/>
      <c r="L9" s="206"/>
      <c r="M9" s="207"/>
    </row>
    <row r="10" spans="1:14" ht="9.75" customHeight="1" x14ac:dyDescent="0.25">
      <c r="A10" s="196"/>
      <c r="B10" s="198"/>
      <c r="C10" s="202"/>
      <c r="D10" s="203"/>
      <c r="E10" s="203"/>
      <c r="F10" s="204"/>
      <c r="G10" s="211" t="s">
        <v>18</v>
      </c>
      <c r="H10" s="212"/>
      <c r="I10" s="212"/>
      <c r="J10" s="208"/>
      <c r="K10" s="209"/>
      <c r="L10" s="209"/>
      <c r="M10" s="210"/>
    </row>
    <row r="11" spans="1:14" ht="15.75" thickBot="1" x14ac:dyDescent="0.3">
      <c r="A11" s="196"/>
      <c r="B11" s="198"/>
      <c r="C11" s="14" t="s">
        <v>19</v>
      </c>
      <c r="D11" s="14" t="s">
        <v>20</v>
      </c>
      <c r="E11" s="14" t="s">
        <v>21</v>
      </c>
      <c r="F11" s="15" t="s">
        <v>22</v>
      </c>
      <c r="G11" s="16" t="s">
        <v>23</v>
      </c>
      <c r="H11" s="17" t="s">
        <v>24</v>
      </c>
      <c r="I11" s="17" t="s">
        <v>20</v>
      </c>
      <c r="J11" s="18" t="s">
        <v>19</v>
      </c>
      <c r="K11" s="19" t="s">
        <v>20</v>
      </c>
      <c r="L11" s="19" t="s">
        <v>25</v>
      </c>
      <c r="M11" s="20" t="s">
        <v>22</v>
      </c>
    </row>
    <row r="12" spans="1:14" s="34" customFormat="1" ht="24.95" customHeight="1" x14ac:dyDescent="0.25">
      <c r="A12" s="213" t="s">
        <v>26</v>
      </c>
      <c r="B12" s="21" t="s">
        <v>27</v>
      </c>
      <c r="C12" s="22">
        <f>[35]NUMERIK!K18</f>
        <v>33</v>
      </c>
      <c r="D12" s="23" t="s">
        <v>8</v>
      </c>
      <c r="E12" s="24">
        <f>C12/E5*100%</f>
        <v>0.3</v>
      </c>
      <c r="F12" s="25">
        <f t="shared" ref="F12:F36" si="0">IF(AND(E12&gt;=24.995%,E12&lt;50.995%),1,IF(AND(E12&gt;=50.995%,E12&lt;75.995%),3,IF(E12&gt;=75.995%,5,0)))</f>
        <v>1</v>
      </c>
      <c r="G12" s="26" t="str">
        <f>[35]Outcome!Q6</f>
        <v xml:space="preserve">, , , , , , , , , , , , , , , , , , , , , , , , , , , , , , , , , , , , , , , , , , , , </v>
      </c>
      <c r="H12" s="27">
        <f>[35]Outcome!M6</f>
        <v>0</v>
      </c>
      <c r="I12" s="28" t="s">
        <v>8</v>
      </c>
      <c r="J12" s="29">
        <f>IF(H12&gt;C12,0,C12-H12)</f>
        <v>33</v>
      </c>
      <c r="K12" s="30" t="s">
        <v>8</v>
      </c>
      <c r="L12" s="31">
        <f>J12/E$5*100%</f>
        <v>0.3</v>
      </c>
      <c r="M12" s="32">
        <f t="shared" ref="M12:M36" si="1">IF(AND(L12&gt;=24.995%,L12&lt;50.995%),1,IF(AND(L12&gt;=50.995%,L12&lt;75.995%),3,IF(L12&gt;=75.995%,5,0)))</f>
        <v>1</v>
      </c>
      <c r="N12" s="33"/>
    </row>
    <row r="13" spans="1:14" s="34" customFormat="1" ht="24.95" customHeight="1" x14ac:dyDescent="0.25">
      <c r="A13" s="213"/>
      <c r="B13" s="21" t="s">
        <v>28</v>
      </c>
      <c r="C13" s="35">
        <f>[35]NUMERIK!K20</f>
        <v>0</v>
      </c>
      <c r="D13" s="23" t="s">
        <v>3</v>
      </c>
      <c r="E13" s="24">
        <f>C13/E4*100%</f>
        <v>0</v>
      </c>
      <c r="F13" s="25">
        <f t="shared" si="0"/>
        <v>0</v>
      </c>
      <c r="G13" s="36" t="str">
        <f>[35]Outcome!Q51</f>
        <v xml:space="preserve">, , , , , , , , , , , , , , , , , , , </v>
      </c>
      <c r="H13" s="37">
        <f>[35]Outcome!M51</f>
        <v>0</v>
      </c>
      <c r="I13" s="38" t="s">
        <v>3</v>
      </c>
      <c r="J13" s="39">
        <f>IF(H13&gt;C13,0,C13-H13)</f>
        <v>0</v>
      </c>
      <c r="K13" s="40" t="s">
        <v>3</v>
      </c>
      <c r="L13" s="41">
        <f>J13/E$4*100%</f>
        <v>0</v>
      </c>
      <c r="M13" s="42">
        <f t="shared" si="1"/>
        <v>0</v>
      </c>
      <c r="N13" s="33"/>
    </row>
    <row r="14" spans="1:14" s="34" customFormat="1" ht="24.95" customHeight="1" thickBot="1" x14ac:dyDescent="0.3">
      <c r="A14" s="214"/>
      <c r="B14" s="43" t="s">
        <v>29</v>
      </c>
      <c r="C14" s="35">
        <f>[35]NUMERIK!K22</f>
        <v>17</v>
      </c>
      <c r="D14" s="23" t="s">
        <v>8</v>
      </c>
      <c r="E14" s="24">
        <f>C14/E5*100%</f>
        <v>0.15454545454545454</v>
      </c>
      <c r="F14" s="44">
        <f t="shared" si="0"/>
        <v>0</v>
      </c>
      <c r="G14" s="45" t="str">
        <f>[35]Outcome!Q71</f>
        <v xml:space="preserve">, , , , , , , , , , , , , , , , , , , , , , , , , , , , , , , , , , , , , , , , , , , , </v>
      </c>
      <c r="H14" s="46">
        <f>[35]Outcome!M71</f>
        <v>0</v>
      </c>
      <c r="I14" s="47" t="s">
        <v>8</v>
      </c>
      <c r="J14" s="48">
        <f>IF(H14&gt;C14,0,C14-H14)</f>
        <v>17</v>
      </c>
      <c r="K14" s="49" t="s">
        <v>8</v>
      </c>
      <c r="L14" s="50">
        <f>J14/E$5*100%</f>
        <v>0.15454545454545454</v>
      </c>
      <c r="M14" s="51">
        <f t="shared" si="1"/>
        <v>0</v>
      </c>
      <c r="N14" s="33"/>
    </row>
    <row r="15" spans="1:14" s="34" customFormat="1" ht="30" customHeight="1" thickBot="1" x14ac:dyDescent="0.3">
      <c r="A15" s="52" t="s">
        <v>30</v>
      </c>
      <c r="B15" s="53"/>
      <c r="C15" s="54"/>
      <c r="D15" s="55"/>
      <c r="E15" s="56">
        <f>IF(SUM(F12:F14)&gt;0,(SUMIF(F12:F14,"&gt;0",E12:E14)/3),0)</f>
        <v>9.9999999999999992E-2</v>
      </c>
      <c r="F15" s="57"/>
      <c r="G15" s="58"/>
      <c r="H15" s="59"/>
      <c r="I15" s="59"/>
      <c r="J15" s="60"/>
      <c r="K15" s="61"/>
      <c r="L15" s="56">
        <f>IF(SUM(M12:M14)&gt;0,(SUMIF(M12:M14,"&gt;0",L12:L14)/3),0)</f>
        <v>9.9999999999999992E-2</v>
      </c>
      <c r="M15" s="62"/>
      <c r="N15" s="33"/>
    </row>
    <row r="16" spans="1:14" s="34" customFormat="1" ht="24.95" customHeight="1" x14ac:dyDescent="0.25">
      <c r="A16" s="215" t="s">
        <v>31</v>
      </c>
      <c r="B16" s="63" t="s">
        <v>32</v>
      </c>
      <c r="C16" s="64">
        <f>[35]NUMERIK!K25-[35]NUMERIK!K26</f>
        <v>0</v>
      </c>
      <c r="D16" s="65" t="s">
        <v>33</v>
      </c>
      <c r="E16" s="66">
        <f>C16/[35]NUMERIK!K$25*100%</f>
        <v>0</v>
      </c>
      <c r="F16" s="67">
        <f t="shared" si="0"/>
        <v>0</v>
      </c>
      <c r="G16" s="36" t="str">
        <f>[35]Outcome!Q116</f>
        <v xml:space="preserve">, , , , , , , , , , , , , , , , , , , </v>
      </c>
      <c r="H16" s="27">
        <f>[35]Outcome!M116</f>
        <v>0</v>
      </c>
      <c r="I16" s="68" t="s">
        <v>33</v>
      </c>
      <c r="J16" s="69">
        <f>IF(H16&gt;C16,0,C16-H16)</f>
        <v>0</v>
      </c>
      <c r="K16" s="70" t="s">
        <v>33</v>
      </c>
      <c r="L16" s="71">
        <f>J16/[35]NUMERIK!K$25*100%</f>
        <v>0</v>
      </c>
      <c r="M16" s="72">
        <f t="shared" si="1"/>
        <v>0</v>
      </c>
      <c r="N16" s="33"/>
    </row>
    <row r="17" spans="1:15" s="34" customFormat="1" ht="24.95" customHeight="1" thickBot="1" x14ac:dyDescent="0.3">
      <c r="A17" s="192"/>
      <c r="B17" s="21" t="s">
        <v>34</v>
      </c>
      <c r="C17" s="22">
        <f>[35]NUMERIK!K28</f>
        <v>75</v>
      </c>
      <c r="D17" s="73" t="s">
        <v>33</v>
      </c>
      <c r="E17" s="24">
        <f>C17/[35]NUMERIK!K$25*100%</f>
        <v>6.4935064935064929E-2</v>
      </c>
      <c r="F17" s="25">
        <f t="shared" si="0"/>
        <v>0</v>
      </c>
      <c r="G17" s="45" t="str">
        <f>[35]Outcome!Q136</f>
        <v xml:space="preserve">Jalan Aspal RT025-RW006, Jalan Paving Block RT002-RW001, , , , , , , , , , , , , , , , , , , , , , , , , , , , , , , , , , , , , , , , , , , </v>
      </c>
      <c r="H17" s="37">
        <f>[35]Outcome!M136</f>
        <v>198</v>
      </c>
      <c r="I17" s="38" t="s">
        <v>33</v>
      </c>
      <c r="J17" s="39">
        <f>IF(H17&gt;C17,0,C17-H17)</f>
        <v>0</v>
      </c>
      <c r="K17" s="40" t="s">
        <v>33</v>
      </c>
      <c r="L17" s="41">
        <f>J17/[35]NUMERIK!K$25*100%</f>
        <v>0</v>
      </c>
      <c r="M17" s="42">
        <f t="shared" si="1"/>
        <v>0</v>
      </c>
      <c r="N17" s="33"/>
    </row>
    <row r="18" spans="1:15" s="34" customFormat="1" ht="30" customHeight="1" thickBot="1" x14ac:dyDescent="0.3">
      <c r="A18" s="52" t="s">
        <v>35</v>
      </c>
      <c r="B18" s="53"/>
      <c r="C18" s="54"/>
      <c r="D18" s="55"/>
      <c r="E18" s="56">
        <f>IF(SUM(F16:F17)&gt;0,(SUMIF(F16:F17,"&gt;0",E16:E17)/2),0)</f>
        <v>0</v>
      </c>
      <c r="F18" s="57"/>
      <c r="G18" s="58"/>
      <c r="H18" s="59"/>
      <c r="I18" s="59"/>
      <c r="J18" s="60"/>
      <c r="K18" s="61"/>
      <c r="L18" s="56">
        <f>IF(SUM(M16:M17)&gt;0,(SUMIF(M16:M17,"&gt;0",L16:L17)/2),0)</f>
        <v>0</v>
      </c>
      <c r="M18" s="62"/>
      <c r="N18" s="33"/>
    </row>
    <row r="19" spans="1:15" s="34" customFormat="1" ht="24.95" customHeight="1" x14ac:dyDescent="0.25">
      <c r="A19" s="213" t="s">
        <v>36</v>
      </c>
      <c r="B19" s="21" t="s">
        <v>37</v>
      </c>
      <c r="C19" s="22">
        <f>[35]NUMERIK!K31</f>
        <v>20</v>
      </c>
      <c r="D19" s="73" t="s">
        <v>12</v>
      </c>
      <c r="E19" s="74">
        <f>C19/E$7*100%</f>
        <v>0.145985401459854</v>
      </c>
      <c r="F19" s="25">
        <f t="shared" si="0"/>
        <v>0</v>
      </c>
      <c r="G19" s="36" t="str">
        <f>[35]Outcome!Q181</f>
        <v xml:space="preserve">, , , , , , , , , , , , , , , , , , , </v>
      </c>
      <c r="H19" s="27">
        <f>[35]Outcome!Q182</f>
        <v>0</v>
      </c>
      <c r="I19" s="38" t="s">
        <v>12</v>
      </c>
      <c r="J19" s="39">
        <f>IF(H19&gt;C19,0,C19-H19)</f>
        <v>20</v>
      </c>
      <c r="K19" s="75" t="s">
        <v>12</v>
      </c>
      <c r="L19" s="76">
        <f>J19/E$7*100%</f>
        <v>0.145985401459854</v>
      </c>
      <c r="M19" s="42">
        <f t="shared" si="1"/>
        <v>0</v>
      </c>
      <c r="N19" s="33"/>
    </row>
    <row r="20" spans="1:15" s="34" customFormat="1" ht="24.95" customHeight="1" thickBot="1" x14ac:dyDescent="0.3">
      <c r="A20" s="213"/>
      <c r="B20" s="21" t="s">
        <v>38</v>
      </c>
      <c r="C20" s="22">
        <f>[35]NUMERIK!K33</f>
        <v>0</v>
      </c>
      <c r="D20" s="73" t="s">
        <v>12</v>
      </c>
      <c r="E20" s="74">
        <f>C20/E$7*100%</f>
        <v>0</v>
      </c>
      <c r="F20" s="25">
        <f t="shared" si="0"/>
        <v>0</v>
      </c>
      <c r="G20" s="45" t="str">
        <f>[35]Outcome!Q201</f>
        <v xml:space="preserve">, , , , , , , , , , , , , , , , , , , , , , , , , , , , , , , , , , , , , , , , , , , , </v>
      </c>
      <c r="H20" s="37">
        <f>[35]Outcome!Q202</f>
        <v>0</v>
      </c>
      <c r="I20" s="38" t="s">
        <v>12</v>
      </c>
      <c r="J20" s="39">
        <f>IF(H20&gt;C20,0,C20-H20)</f>
        <v>0</v>
      </c>
      <c r="K20" s="75" t="s">
        <v>12</v>
      </c>
      <c r="L20" s="76">
        <f>J20/E$7*100%</f>
        <v>0</v>
      </c>
      <c r="M20" s="42">
        <f t="shared" si="1"/>
        <v>0</v>
      </c>
      <c r="N20" s="33"/>
    </row>
    <row r="21" spans="1:15" s="77" customFormat="1" ht="30" customHeight="1" thickBot="1" x14ac:dyDescent="0.3">
      <c r="A21" s="52" t="s">
        <v>39</v>
      </c>
      <c r="B21" s="53"/>
      <c r="C21" s="54"/>
      <c r="D21" s="55"/>
      <c r="E21" s="56">
        <f>IF(SUM(F19:F20)&gt;0,(SUMIF(F19:F20,"&gt;0",E19:E20)/2),0)</f>
        <v>0</v>
      </c>
      <c r="F21" s="57"/>
      <c r="G21" s="58"/>
      <c r="H21" s="59"/>
      <c r="I21" s="59"/>
      <c r="J21" s="60"/>
      <c r="K21" s="61"/>
      <c r="L21" s="56">
        <f>IF(SUM(M19:M20)&gt;0,(SUMIF(M19:M20,"&gt;0",L19:L20)/2),0)</f>
        <v>0</v>
      </c>
      <c r="M21" s="62"/>
      <c r="N21" s="33"/>
      <c r="O21" s="34"/>
    </row>
    <row r="22" spans="1:15" s="34" customFormat="1" ht="20.100000000000001" customHeight="1" x14ac:dyDescent="0.25">
      <c r="A22" s="192" t="s">
        <v>40</v>
      </c>
      <c r="B22" s="78" t="s">
        <v>41</v>
      </c>
      <c r="C22" s="22">
        <f>[35]NUMERIK!K36</f>
        <v>0</v>
      </c>
      <c r="D22" s="73" t="s">
        <v>3</v>
      </c>
      <c r="E22" s="79">
        <f>C22/E$4*100%</f>
        <v>0</v>
      </c>
      <c r="F22" s="25">
        <f t="shared" si="0"/>
        <v>0</v>
      </c>
      <c r="G22" s="36" t="str">
        <f>[35]Outcome!Q246</f>
        <v xml:space="preserve">, , , , , , , , , , , , , , , , , , , </v>
      </c>
      <c r="H22" s="27">
        <f>[35]Outcome!M246</f>
        <v>0</v>
      </c>
      <c r="I22" s="38" t="s">
        <v>3</v>
      </c>
      <c r="J22" s="39">
        <f>IF(H22&gt;C22,0,C22-H22)</f>
        <v>0</v>
      </c>
      <c r="K22" s="40" t="s">
        <v>3</v>
      </c>
      <c r="L22" s="41">
        <f>J22/E$4*100%</f>
        <v>0</v>
      </c>
      <c r="M22" s="42">
        <f t="shared" si="1"/>
        <v>0</v>
      </c>
      <c r="N22" s="33"/>
    </row>
    <row r="23" spans="1:15" s="34" customFormat="1" ht="25.5" customHeight="1" x14ac:dyDescent="0.25">
      <c r="A23" s="192"/>
      <c r="B23" s="21" t="s">
        <v>42</v>
      </c>
      <c r="C23" s="22">
        <f>([35]NUMERIK!K38-[35]NUMERIK!K40)</f>
        <v>75</v>
      </c>
      <c r="D23" s="73" t="s">
        <v>33</v>
      </c>
      <c r="E23" s="79">
        <f>C23/[35]NUMERIK!K$38*100%</f>
        <v>7.3170731707317069E-2</v>
      </c>
      <c r="F23" s="25">
        <f t="shared" si="0"/>
        <v>0</v>
      </c>
      <c r="G23" s="36" t="str">
        <f>[35]Outcome!Q266</f>
        <v xml:space="preserve">Drainase Lingkungan RT002-RW001, Drainase Lingkungan RT002-RW001, Drainase Lingkungan RT002-RW001, Drainase Lingkungan RT022-RW005, , , , , , , , , , , , , , , , , , , , , , , , , , , , , , , , , , , , , , , , , </v>
      </c>
      <c r="H23" s="37">
        <f>[35]Outcome!M266</f>
        <v>390</v>
      </c>
      <c r="I23" s="38" t="s">
        <v>33</v>
      </c>
      <c r="J23" s="39">
        <f>IF(H23&gt;C23,0,C23-H23)</f>
        <v>0</v>
      </c>
      <c r="K23" s="40" t="s">
        <v>33</v>
      </c>
      <c r="L23" s="41">
        <f>J23/[35]NUMERIK!K$38*100%</f>
        <v>0</v>
      </c>
      <c r="M23" s="42">
        <f t="shared" si="1"/>
        <v>0</v>
      </c>
      <c r="N23" s="33"/>
    </row>
    <row r="24" spans="1:15" s="34" customFormat="1" ht="20.100000000000001" customHeight="1" x14ac:dyDescent="0.25">
      <c r="A24" s="192"/>
      <c r="B24" s="21" t="s">
        <v>43</v>
      </c>
      <c r="C24" s="22">
        <f>[35]NUMERIK!K42</f>
        <v>0</v>
      </c>
      <c r="D24" s="73" t="s">
        <v>33</v>
      </c>
      <c r="E24" s="79">
        <f>C24/[35]NUMERIK!K$38*100%</f>
        <v>0</v>
      </c>
      <c r="F24" s="25">
        <f t="shared" si="0"/>
        <v>0</v>
      </c>
      <c r="G24" s="36" t="str">
        <f>[35]Outcome!Q311</f>
        <v xml:space="preserve">, , , , , , , , , , , , , , , , , , , </v>
      </c>
      <c r="H24" s="37">
        <f>[35]Outcome!M311</f>
        <v>0</v>
      </c>
      <c r="I24" s="38" t="s">
        <v>33</v>
      </c>
      <c r="J24" s="39">
        <f>IF(H24&gt;C24,0,C24-H24)</f>
        <v>0</v>
      </c>
      <c r="K24" s="40" t="s">
        <v>33</v>
      </c>
      <c r="L24" s="41">
        <f>J24/[35]NUMERIK!K$38*100%</f>
        <v>0</v>
      </c>
      <c r="M24" s="42">
        <f t="shared" si="1"/>
        <v>0</v>
      </c>
      <c r="N24" s="33"/>
    </row>
    <row r="25" spans="1:15" s="34" customFormat="1" ht="20.100000000000001" customHeight="1" x14ac:dyDescent="0.25">
      <c r="A25" s="192"/>
      <c r="B25" s="21" t="s">
        <v>44</v>
      </c>
      <c r="C25" s="22">
        <f>[35]NUMERIK!K45</f>
        <v>400</v>
      </c>
      <c r="D25" s="73" t="s">
        <v>33</v>
      </c>
      <c r="E25" s="79">
        <f>C25/[35]NUMERIK!K$38*100%</f>
        <v>0.3902439024390244</v>
      </c>
      <c r="F25" s="25">
        <f t="shared" si="0"/>
        <v>1</v>
      </c>
      <c r="G25" s="36" t="str">
        <f>[35]Outcome!Q331</f>
        <v xml:space="preserve">, , , , , , , , , , , , , , , , , , , </v>
      </c>
      <c r="H25" s="37">
        <f>[35]Outcome!M331</f>
        <v>0</v>
      </c>
      <c r="I25" s="38" t="s">
        <v>33</v>
      </c>
      <c r="J25" s="39">
        <f>IF(H25&gt;C25,0,C25-H25)</f>
        <v>400</v>
      </c>
      <c r="K25" s="40" t="s">
        <v>33</v>
      </c>
      <c r="L25" s="41">
        <f>J25/[35]NUMERIK!K$38*100%</f>
        <v>0.3902439024390244</v>
      </c>
      <c r="M25" s="42">
        <f t="shared" si="1"/>
        <v>1</v>
      </c>
      <c r="N25" s="33"/>
    </row>
    <row r="26" spans="1:15" s="34" customFormat="1" ht="20.100000000000001" customHeight="1" thickBot="1" x14ac:dyDescent="0.3">
      <c r="A26" s="192"/>
      <c r="B26" s="78" t="s">
        <v>45</v>
      </c>
      <c r="C26" s="22">
        <f>[35]NUMERIK!K48</f>
        <v>65</v>
      </c>
      <c r="D26" s="73" t="s">
        <v>33</v>
      </c>
      <c r="E26" s="79">
        <f>C26/[35]NUMERIK!K$38*100%</f>
        <v>6.3414634146341464E-2</v>
      </c>
      <c r="F26" s="25">
        <f t="shared" si="0"/>
        <v>0</v>
      </c>
      <c r="G26" s="36" t="str">
        <f>[35]Outcome!Q351</f>
        <v xml:space="preserve">, , , , , , , , , , , , , , , , , , , , , , , , , , , , , , , , , , , , , , , , , , , , </v>
      </c>
      <c r="H26" s="37">
        <f>[35]Outcome!M351</f>
        <v>0</v>
      </c>
      <c r="I26" s="38" t="s">
        <v>33</v>
      </c>
      <c r="J26" s="39">
        <f>IF(H26&gt;C26,0,C26-H26)</f>
        <v>65</v>
      </c>
      <c r="K26" s="40" t="s">
        <v>33</v>
      </c>
      <c r="L26" s="41">
        <f>J26/[35]NUMERIK!K$38*100%</f>
        <v>6.3414634146341464E-2</v>
      </c>
      <c r="M26" s="42">
        <f t="shared" si="1"/>
        <v>0</v>
      </c>
      <c r="N26" s="33"/>
    </row>
    <row r="27" spans="1:15" s="88" customFormat="1" ht="30" customHeight="1" thickBot="1" x14ac:dyDescent="0.3">
      <c r="A27" s="80" t="s">
        <v>46</v>
      </c>
      <c r="B27" s="81"/>
      <c r="C27" s="55"/>
      <c r="D27" s="55"/>
      <c r="E27" s="82">
        <f>IF(SUM(F22:F26)&gt;0,(SUMIF(F22:F26,"&gt;0",E22:E26)/5),0)</f>
        <v>7.8048780487804878E-2</v>
      </c>
      <c r="F27" s="83"/>
      <c r="G27" s="58"/>
      <c r="H27" s="59"/>
      <c r="I27" s="59"/>
      <c r="J27" s="84"/>
      <c r="K27" s="85"/>
      <c r="L27" s="82">
        <f>IF(SUM(M22:M26)&gt;0,(SUMIF(M22:M26,"&gt;0",L22:L26)/5),0)</f>
        <v>7.8048780487804878E-2</v>
      </c>
      <c r="M27" s="86"/>
      <c r="N27" s="87"/>
    </row>
    <row r="28" spans="1:15" s="34" customFormat="1" ht="27.75" customHeight="1" x14ac:dyDescent="0.25">
      <c r="A28" s="213" t="s">
        <v>47</v>
      </c>
      <c r="B28" s="21" t="s">
        <v>48</v>
      </c>
      <c r="C28" s="22">
        <f>[35]NUMERIK!K51</f>
        <v>0</v>
      </c>
      <c r="D28" s="73" t="s">
        <v>12</v>
      </c>
      <c r="E28" s="89">
        <f>C28/E$7*100%</f>
        <v>0</v>
      </c>
      <c r="F28" s="25">
        <f t="shared" si="0"/>
        <v>0</v>
      </c>
      <c r="G28" s="36" t="str">
        <f>[35]Outcome!Q396</f>
        <v xml:space="preserve">, , , , , , , , , , , , , , , , , , , , , , , , , , , , , , , , , , , , , , , , , , , , </v>
      </c>
      <c r="H28" s="37">
        <f>[35]Outcome!Q397</f>
        <v>0</v>
      </c>
      <c r="I28" s="38" t="s">
        <v>12</v>
      </c>
      <c r="J28" s="39">
        <f>IF(H28&gt;C28,0,C28-H28)</f>
        <v>0</v>
      </c>
      <c r="K28" s="40" t="s">
        <v>12</v>
      </c>
      <c r="L28" s="41">
        <f>J28/E$7*100%</f>
        <v>0</v>
      </c>
      <c r="M28" s="42">
        <f t="shared" si="1"/>
        <v>0</v>
      </c>
      <c r="N28" s="33"/>
    </row>
    <row r="29" spans="1:15" s="34" customFormat="1" ht="30" customHeight="1" thickBot="1" x14ac:dyDescent="0.3">
      <c r="A29" s="213"/>
      <c r="B29" s="21" t="s">
        <v>49</v>
      </c>
      <c r="C29" s="22">
        <f>[35]NUMERIK!K53</f>
        <v>8.4999999999999982</v>
      </c>
      <c r="D29" s="73" t="s">
        <v>12</v>
      </c>
      <c r="E29" s="89">
        <f>C29/E$7*100%</f>
        <v>6.2043795620437943E-2</v>
      </c>
      <c r="F29" s="25">
        <f t="shared" si="0"/>
        <v>0</v>
      </c>
      <c r="G29" s="45" t="str">
        <f>[35]Outcome!Q441</f>
        <v xml:space="preserve">, , , , , , , , , , , , , , , , , , , , , , , , , , , , , , , , , , , , , , , , , , , , , , , , , , , , , , </v>
      </c>
      <c r="H29" s="37">
        <f>[35]Outcome!Q442</f>
        <v>0</v>
      </c>
      <c r="I29" s="38" t="s">
        <v>12</v>
      </c>
      <c r="J29" s="39">
        <f>IF(H29&gt;C29,0,C29-H29)</f>
        <v>8.4999999999999982</v>
      </c>
      <c r="K29" s="40" t="s">
        <v>12</v>
      </c>
      <c r="L29" s="41">
        <f>J29/E$7*100%</f>
        <v>6.2043795620437943E-2</v>
      </c>
      <c r="M29" s="42">
        <f t="shared" si="1"/>
        <v>0</v>
      </c>
      <c r="N29" s="33"/>
    </row>
    <row r="30" spans="1:15" s="88" customFormat="1" ht="30" customHeight="1" thickBot="1" x14ac:dyDescent="0.3">
      <c r="A30" s="90" t="s">
        <v>50</v>
      </c>
      <c r="B30" s="81"/>
      <c r="C30" s="55"/>
      <c r="D30" s="55"/>
      <c r="E30" s="82">
        <f>IF(SUM(F28:F29)&gt;0,(SUMIF(F28:F29,"&gt;0",E28:E29)/2),0)</f>
        <v>0</v>
      </c>
      <c r="F30" s="83"/>
      <c r="G30" s="91"/>
      <c r="H30" s="92"/>
      <c r="I30" s="92"/>
      <c r="J30" s="84"/>
      <c r="K30" s="85"/>
      <c r="L30" s="82">
        <f>IF(SUM(M28:M29)&gt;0,(SUMIF(M28:M29,"&gt;0",L28:L29)/2),0)</f>
        <v>0</v>
      </c>
      <c r="M30" s="86"/>
      <c r="N30" s="87"/>
    </row>
    <row r="31" spans="1:15" s="34" customFormat="1" ht="31.5" customHeight="1" x14ac:dyDescent="0.25">
      <c r="A31" s="192" t="s">
        <v>51</v>
      </c>
      <c r="B31" s="21" t="s">
        <v>52</v>
      </c>
      <c r="C31" s="93">
        <f>[35]NUMERIK!K56</f>
        <v>106</v>
      </c>
      <c r="D31" s="94" t="s">
        <v>12</v>
      </c>
      <c r="E31" s="89">
        <f>C31/E$7*100%</f>
        <v>0.77372262773722633</v>
      </c>
      <c r="F31" s="25">
        <f t="shared" si="0"/>
        <v>5</v>
      </c>
      <c r="G31" s="36" t="str">
        <f>[35]Outcome!Q496</f>
        <v xml:space="preserve">Gerobak/Motor Sampah RT002-RW001, Gerobak/Motor Sampah RT025-RW006, Gerobak/Motor Sampah RT022-RW005, TPS RT002-RW001, , , , , , , , , , , , , , , , , , , , , , , , , , , , , , , , , , , , , , , , , </v>
      </c>
      <c r="H31" s="37">
        <f>[35]Outcome!Q497</f>
        <v>158</v>
      </c>
      <c r="I31" s="38" t="s">
        <v>12</v>
      </c>
      <c r="J31" s="39">
        <f>IF(H31&gt;C31,0,C31-H31)</f>
        <v>0</v>
      </c>
      <c r="K31" s="40" t="s">
        <v>12</v>
      </c>
      <c r="L31" s="41">
        <f>J31/E$7*100%</f>
        <v>0</v>
      </c>
      <c r="M31" s="42">
        <f t="shared" si="1"/>
        <v>0</v>
      </c>
      <c r="N31" s="33"/>
    </row>
    <row r="32" spans="1:15" s="34" customFormat="1" ht="32.25" customHeight="1" x14ac:dyDescent="0.25">
      <c r="A32" s="192"/>
      <c r="B32" s="21" t="s">
        <v>53</v>
      </c>
      <c r="C32" s="93">
        <f>[35]NUMERIK!K59</f>
        <v>78.63333333333334</v>
      </c>
      <c r="D32" s="94" t="s">
        <v>12</v>
      </c>
      <c r="E32" s="89">
        <f>C32/E$7*100%</f>
        <v>0.57396593673965945</v>
      </c>
      <c r="F32" s="25">
        <f t="shared" si="0"/>
        <v>3</v>
      </c>
      <c r="G32" s="36" t="str">
        <f>[35]Outcome!Q541</f>
        <v xml:space="preserve">, , , , , , , , , , , , , , , , , , , , , , , , , , , , , , , , , , , , , , , , , , , , </v>
      </c>
      <c r="H32" s="37">
        <f>[35]Outcome!Q542</f>
        <v>0</v>
      </c>
      <c r="I32" s="38" t="s">
        <v>12</v>
      </c>
      <c r="J32" s="39">
        <f>IF(H32&gt;C32,0,C32-H32)</f>
        <v>78.63333333333334</v>
      </c>
      <c r="K32" s="40" t="s">
        <v>12</v>
      </c>
      <c r="L32" s="41">
        <f>J32/E$7*100%</f>
        <v>0.57396593673965945</v>
      </c>
      <c r="M32" s="42">
        <f t="shared" si="1"/>
        <v>3</v>
      </c>
      <c r="N32" s="33"/>
    </row>
    <row r="33" spans="1:14" s="34" customFormat="1" ht="30.75" customHeight="1" thickBot="1" x14ac:dyDescent="0.3">
      <c r="A33" s="192"/>
      <c r="B33" s="21" t="s">
        <v>54</v>
      </c>
      <c r="C33" s="93">
        <f>[35]NUMERIK!K61</f>
        <v>106</v>
      </c>
      <c r="D33" s="94" t="s">
        <v>12</v>
      </c>
      <c r="E33" s="89">
        <f>C33/E$7*100%</f>
        <v>0.77372262773722633</v>
      </c>
      <c r="F33" s="25">
        <f t="shared" si="0"/>
        <v>5</v>
      </c>
      <c r="G33" s="36" t="str">
        <f>[35]Outcome!Q586</f>
        <v xml:space="preserve">, , , , , , , , , , , , , , , , , , , , , , , , , , , , , , , , , , , , , , , , , , , , </v>
      </c>
      <c r="H33" s="37">
        <f>[35]Outcome!Q587</f>
        <v>0</v>
      </c>
      <c r="I33" s="38" t="s">
        <v>12</v>
      </c>
      <c r="J33" s="39">
        <f>IF(H33&gt;C33,0,C33-H33)</f>
        <v>106</v>
      </c>
      <c r="K33" s="40" t="s">
        <v>12</v>
      </c>
      <c r="L33" s="41">
        <f>J33/E$7*100%</f>
        <v>0.77372262773722633</v>
      </c>
      <c r="M33" s="42">
        <f t="shared" si="1"/>
        <v>5</v>
      </c>
      <c r="N33" s="33"/>
    </row>
    <row r="34" spans="1:14" s="88" customFormat="1" ht="30" customHeight="1" thickBot="1" x14ac:dyDescent="0.3">
      <c r="A34" s="80" t="s">
        <v>55</v>
      </c>
      <c r="B34" s="81"/>
      <c r="C34" s="55"/>
      <c r="D34" s="55"/>
      <c r="E34" s="82">
        <f>IF(SUM(F31:F33)&gt;0,(SUMIF(F31:F33,"&gt;0",E31:E33)/3),0)</f>
        <v>0.70713706407137078</v>
      </c>
      <c r="F34" s="83"/>
      <c r="G34" s="91"/>
      <c r="H34" s="92"/>
      <c r="I34" s="92"/>
      <c r="J34" s="84"/>
      <c r="K34" s="85"/>
      <c r="L34" s="82">
        <f>IF(SUM(M31:M33)&gt;0,(SUMIF(M31:M33,"&gt;0",L31:L33)/3),0)</f>
        <v>0.44922952149229528</v>
      </c>
      <c r="M34" s="86"/>
      <c r="N34" s="87"/>
    </row>
    <row r="35" spans="1:14" s="34" customFormat="1" ht="24.95" customHeight="1" x14ac:dyDescent="0.25">
      <c r="A35" s="213" t="s">
        <v>56</v>
      </c>
      <c r="B35" s="95" t="s">
        <v>57</v>
      </c>
      <c r="C35" s="93">
        <f>[35]NUMERIK!K64</f>
        <v>0</v>
      </c>
      <c r="D35" s="94" t="s">
        <v>8</v>
      </c>
      <c r="E35" s="79">
        <f>C35/E$5*100%</f>
        <v>0</v>
      </c>
      <c r="F35" s="25">
        <f t="shared" si="0"/>
        <v>0</v>
      </c>
      <c r="G35" s="36" t="str">
        <f>[35]Outcome!Q631</f>
        <v xml:space="preserve">, , , , , , , , , , , , , , , , , , , </v>
      </c>
      <c r="H35" s="27">
        <f>[35]Outcome!Q632</f>
        <v>0</v>
      </c>
      <c r="I35" s="38" t="s">
        <v>8</v>
      </c>
      <c r="J35" s="39">
        <f>IF(H35&gt;C35,0,C35-H35)</f>
        <v>0</v>
      </c>
      <c r="K35" s="40" t="s">
        <v>8</v>
      </c>
      <c r="L35" s="41">
        <f>J35/E$5*100%</f>
        <v>0</v>
      </c>
      <c r="M35" s="42">
        <f t="shared" si="1"/>
        <v>0</v>
      </c>
      <c r="N35" s="33"/>
    </row>
    <row r="36" spans="1:14" s="34" customFormat="1" ht="24.95" customHeight="1" thickBot="1" x14ac:dyDescent="0.3">
      <c r="A36" s="213"/>
      <c r="B36" s="95" t="s">
        <v>58</v>
      </c>
      <c r="C36" s="96">
        <f>[35]NUMERIK!K66</f>
        <v>86</v>
      </c>
      <c r="D36" s="94" t="s">
        <v>8</v>
      </c>
      <c r="E36" s="79">
        <f>C36/E$5*100%</f>
        <v>0.78181818181818186</v>
      </c>
      <c r="F36" s="25">
        <f t="shared" si="0"/>
        <v>5</v>
      </c>
      <c r="G36" s="36" t="str">
        <f>[35]Outcome!Q651</f>
        <v xml:space="preserve">Cakupan Pelayanan RT002-RW001, Cakupan Pelayanan RT022-RW005, Cakupan Pelayanan RT025-RW006, , , , , , , , , , , , , , , , , </v>
      </c>
      <c r="H36" s="37">
        <f>[35]Outcome!Q652</f>
        <v>107</v>
      </c>
      <c r="I36" s="97" t="s">
        <v>8</v>
      </c>
      <c r="J36" s="98">
        <f>IF(H36&gt;C36,0,C36-H36)</f>
        <v>0</v>
      </c>
      <c r="K36" s="99" t="s">
        <v>8</v>
      </c>
      <c r="L36" s="100">
        <f>J36/E$5*100%</f>
        <v>0</v>
      </c>
      <c r="M36" s="51">
        <f t="shared" si="1"/>
        <v>0</v>
      </c>
      <c r="N36" s="33"/>
    </row>
    <row r="37" spans="1:14" s="77" customFormat="1" ht="30" customHeight="1" thickBot="1" x14ac:dyDescent="0.3">
      <c r="A37" s="80" t="s">
        <v>59</v>
      </c>
      <c r="B37" s="101"/>
      <c r="C37" s="102"/>
      <c r="D37" s="102"/>
      <c r="E37" s="82">
        <f>IF(SUM(F35:F36)&gt;0,(SUMIF(F35:F36,"&gt;0",E35:E36)/2),0)</f>
        <v>0.39090909090909093</v>
      </c>
      <c r="F37" s="103"/>
      <c r="G37" s="104"/>
      <c r="H37" s="105"/>
      <c r="I37" s="105"/>
      <c r="J37" s="106"/>
      <c r="K37" s="107"/>
      <c r="L37" s="82">
        <f>IF(SUM(M35:M36)&gt;0,(SUMIF(M35:M36,"&gt;0",L35:L36)/2),0)</f>
        <v>0</v>
      </c>
      <c r="M37" s="108"/>
      <c r="N37" s="109"/>
    </row>
    <row r="38" spans="1:14" ht="15" customHeight="1" x14ac:dyDescent="0.25">
      <c r="A38" s="110"/>
      <c r="B38" s="111" t="s">
        <v>60</v>
      </c>
      <c r="D38" s="218" t="s">
        <v>61</v>
      </c>
      <c r="E38" s="219"/>
      <c r="F38" s="222">
        <f>SUM(F12:F36)</f>
        <v>20</v>
      </c>
      <c r="G38" s="112"/>
      <c r="H38" s="112"/>
      <c r="I38" s="112"/>
      <c r="J38" s="112"/>
      <c r="K38" s="238" t="s">
        <v>61</v>
      </c>
      <c r="L38" s="239"/>
      <c r="M38" s="224">
        <f>SUM(M12:M36)</f>
        <v>10</v>
      </c>
    </row>
    <row r="39" spans="1:14" ht="15" customHeight="1" x14ac:dyDescent="0.25">
      <c r="A39" s="110"/>
      <c r="B39" s="113" t="s">
        <v>62</v>
      </c>
      <c r="D39" s="220"/>
      <c r="E39" s="221"/>
      <c r="F39" s="223"/>
      <c r="G39" s="114"/>
      <c r="H39" s="114"/>
      <c r="I39" s="114"/>
      <c r="J39" s="114"/>
      <c r="K39" s="240"/>
      <c r="L39" s="241"/>
      <c r="M39" s="225"/>
    </row>
    <row r="40" spans="1:14" ht="15" customHeight="1" x14ac:dyDescent="0.25">
      <c r="A40" s="110"/>
      <c r="B40" s="115" t="s">
        <v>63</v>
      </c>
      <c r="D40" s="226" t="s">
        <v>64</v>
      </c>
      <c r="E40" s="227"/>
      <c r="F40" s="230" t="str">
        <f>IF(F38="N/A","TIDAK KUMUH",IF(F38&gt;=71,"KUMUH BERAT",IF(AND(F38&lt;=70,F38&gt;=45),"KUMUH SEDANG",IF(AND(F38&lt;=44,F38&gt;=19),"KUMUH RINGAN","TIDAK KUMUH"))))</f>
        <v>KUMUH RINGAN</v>
      </c>
      <c r="G40" s="116"/>
      <c r="H40" s="116"/>
      <c r="I40" s="116"/>
      <c r="J40" s="116"/>
      <c r="K40" s="232" t="s">
        <v>64</v>
      </c>
      <c r="L40" s="233"/>
      <c r="M40" s="236" t="str">
        <f>IF(M38="N/A","TIDAK KUMUH",IF(M38&gt;=71,"KUMUH BERAT",IF(AND(M38&lt;=70,M38&gt;=45),"KUMUH SEDANG",IF(AND(M38&lt;=44,M38&gt;=19),"KUMUH RINGAN","TIDAK KUMUH"))))</f>
        <v>TIDAK KUMUH</v>
      </c>
    </row>
    <row r="41" spans="1:14" ht="15" customHeight="1" thickBot="1" x14ac:dyDescent="0.3">
      <c r="A41" s="110"/>
      <c r="B41" s="117" t="s">
        <v>65</v>
      </c>
      <c r="D41" s="228"/>
      <c r="E41" s="229"/>
      <c r="F41" s="231" t="str">
        <f>IF(E41&gt;71,"KB",IF(E41&gt;=47,"KS","KR"))</f>
        <v>KR</v>
      </c>
      <c r="G41" s="116"/>
      <c r="H41" s="116"/>
      <c r="I41" s="116"/>
      <c r="J41" s="116"/>
      <c r="K41" s="234"/>
      <c r="L41" s="235"/>
      <c r="M41" s="237" t="str">
        <f>IF(L41&gt;71,"KB",IF(L41&gt;=47,"KS","KR"))</f>
        <v>KR</v>
      </c>
    </row>
    <row r="42" spans="1:14" ht="21" customHeight="1" x14ac:dyDescent="0.25">
      <c r="B42" s="118" t="s">
        <v>66</v>
      </c>
      <c r="C42" s="119"/>
      <c r="D42" s="120"/>
      <c r="E42" s="121" t="s">
        <v>67</v>
      </c>
      <c r="F42" s="122">
        <f>AVERAGE(E15,E18,E21,E27,E30,E34,E37)</f>
        <v>0.18229927649546665</v>
      </c>
      <c r="J42" s="123"/>
      <c r="K42" s="124"/>
      <c r="L42" s="125" t="s">
        <v>67</v>
      </c>
      <c r="M42" s="126">
        <f>AVERAGE(L15,L18,L21,L27,L30,L34,L37)</f>
        <v>8.9611185997157158E-2</v>
      </c>
    </row>
    <row r="43" spans="1:14" ht="21" customHeight="1" x14ac:dyDescent="0.25">
      <c r="B43" s="127"/>
      <c r="C43" s="119"/>
      <c r="D43" s="120"/>
      <c r="E43" s="121" t="s">
        <v>68</v>
      </c>
      <c r="F43" s="122">
        <v>0</v>
      </c>
      <c r="J43" s="123"/>
      <c r="K43" s="124"/>
      <c r="L43" s="125" t="s">
        <v>68</v>
      </c>
      <c r="M43" s="126">
        <f>(F42-M42)/F42</f>
        <v>0.50843915719333321</v>
      </c>
      <c r="N43"/>
    </row>
    <row r="44" spans="1:14" x14ac:dyDescent="0.25">
      <c r="M44" s="128"/>
    </row>
    <row r="55" spans="12:12" x14ac:dyDescent="0.25">
      <c r="L55" s="129"/>
    </row>
  </sheetData>
  <mergeCells count="23">
    <mergeCell ref="A22:A26"/>
    <mergeCell ref="A1:F1"/>
    <mergeCell ref="A2:B2"/>
    <mergeCell ref="A9:A11"/>
    <mergeCell ref="B9:B11"/>
    <mergeCell ref="C9:F10"/>
    <mergeCell ref="J9:M10"/>
    <mergeCell ref="G10:I10"/>
    <mergeCell ref="A12:A14"/>
    <mergeCell ref="A16:A17"/>
    <mergeCell ref="A19:A20"/>
    <mergeCell ref="G9:I9"/>
    <mergeCell ref="A28:A29"/>
    <mergeCell ref="A31:A33"/>
    <mergeCell ref="A35:A36"/>
    <mergeCell ref="D38:E39"/>
    <mergeCell ref="F38:F39"/>
    <mergeCell ref="M38:M39"/>
    <mergeCell ref="D40:E41"/>
    <mergeCell ref="F40:F41"/>
    <mergeCell ref="K40:L41"/>
    <mergeCell ref="M40:M41"/>
    <mergeCell ref="K38:L39"/>
  </mergeCells>
  <conditionalFormatting sqref="F40:J41">
    <cfRule type="expression" dxfId="17" priority="6">
      <formula>F40="KUMUH SEDANG"</formula>
    </cfRule>
    <cfRule type="expression" dxfId="16" priority="7">
      <formula>F40="TIDAK KUMUH"</formula>
    </cfRule>
    <cfRule type="expression" dxfId="15" priority="8">
      <formula>F40="KUMUH BERAT"</formula>
    </cfRule>
    <cfRule type="expression" dxfId="14" priority="9">
      <formula>F40="KUMUH RINGAN"</formula>
    </cfRule>
  </conditionalFormatting>
  <conditionalFormatting sqref="G12:G14 G16:G17 G19:G20 G22:G26 G28:G29 G31:G33 G35:G36">
    <cfRule type="cellIs" dxfId="13" priority="1" operator="equal">
      <formula>", , , , , , "</formula>
    </cfRule>
  </conditionalFormatting>
  <conditionalFormatting sqref="M40:M41">
    <cfRule type="expression" dxfId="12" priority="2">
      <formula>M40="KUMUH SEDANG"</formula>
    </cfRule>
    <cfRule type="expression" dxfId="11" priority="3">
      <formula>M40="TIDAK KUMUH"</formula>
    </cfRule>
    <cfRule type="expression" dxfId="10" priority="4">
      <formula>M40="KUMUH BERAT"</formula>
    </cfRule>
    <cfRule type="expression" dxfId="9" priority="5">
      <formula>M40="KUMUH RINGAN"</formula>
    </cfRule>
  </conditionalFormatting>
  <pageMargins left="0.7" right="0.2" top="0.75" bottom="0.75" header="0.3" footer="0.3"/>
  <pageSetup paperSize="9" scale="70" orientation="portrait" horizontalDpi="4294967293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3DBBC-029E-4A5D-886E-D0F44F24D94E}">
  <sheetPr>
    <tabColor rgb="FF0070C0"/>
  </sheetPr>
  <dimension ref="A1:O55"/>
  <sheetViews>
    <sheetView showGridLines="0" zoomScale="80" zoomScaleNormal="80" zoomScaleSheetLayoutView="75" zoomScalePageLayoutView="90" workbookViewId="0">
      <selection activeCell="F38" sqref="F38:F39"/>
    </sheetView>
  </sheetViews>
  <sheetFormatPr defaultColWidth="8.85546875" defaultRowHeight="15" x14ac:dyDescent="0.25"/>
  <cols>
    <col min="1" max="1" width="24" customWidth="1"/>
    <col min="2" max="2" width="45.85546875" customWidth="1"/>
    <col min="3" max="3" width="12.42578125" customWidth="1"/>
    <col min="4" max="4" width="9.140625" customWidth="1"/>
    <col min="5" max="5" width="12.140625" customWidth="1"/>
    <col min="6" max="6" width="9.140625" customWidth="1"/>
    <col min="7" max="7" width="36.42578125" customWidth="1"/>
    <col min="8" max="9" width="9.140625" customWidth="1"/>
    <col min="10" max="10" width="10" bestFit="1" customWidth="1"/>
    <col min="11" max="12" width="9.140625" customWidth="1"/>
    <col min="13" max="13" width="11.28515625" customWidth="1"/>
    <col min="14" max="14" width="2.28515625" style="3" customWidth="1"/>
  </cols>
  <sheetData>
    <row r="1" spans="1:14" ht="18.75" customHeight="1" x14ac:dyDescent="0.3">
      <c r="A1" s="193" t="s">
        <v>0</v>
      </c>
      <c r="B1" s="193"/>
      <c r="C1" s="193"/>
      <c r="D1" s="193"/>
      <c r="E1" s="193"/>
      <c r="F1" s="193"/>
      <c r="G1" s="1"/>
      <c r="H1" s="1"/>
      <c r="I1" s="1"/>
      <c r="J1" s="1"/>
      <c r="K1" s="1"/>
      <c r="L1" s="1"/>
      <c r="M1" s="2"/>
    </row>
    <row r="2" spans="1:14" ht="3.75" customHeight="1" x14ac:dyDescent="0.25">
      <c r="A2" s="194"/>
      <c r="B2" s="194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4" ht="15.75" customHeight="1" x14ac:dyDescent="0.25">
      <c r="A3" s="6" t="s">
        <v>1</v>
      </c>
      <c r="B3" s="6" t="str">
        <f>": "&amp;[36]NUMERIK!E14</f>
        <v>: JAWA TIMUR</v>
      </c>
      <c r="C3" s="7" t="s">
        <v>2</v>
      </c>
      <c r="D3" s="8"/>
      <c r="E3" s="9">
        <f>[36]NUMERIK!K6</f>
        <v>16.02</v>
      </c>
      <c r="F3" t="s">
        <v>3</v>
      </c>
    </row>
    <row r="4" spans="1:14" ht="15.75" customHeight="1" x14ac:dyDescent="0.25">
      <c r="A4" s="6" t="s">
        <v>4</v>
      </c>
      <c r="B4" s="6" t="str">
        <f>": "&amp;[36]NUMERIK!E12</f>
        <v>: KOTA MADIUN</v>
      </c>
      <c r="C4" s="7" t="s">
        <v>5</v>
      </c>
      <c r="D4" s="8"/>
      <c r="E4" s="9">
        <f>[36]NUMERIK!K8</f>
        <v>16.02</v>
      </c>
      <c r="F4" t="s">
        <v>3</v>
      </c>
    </row>
    <row r="5" spans="1:14" ht="15.75" customHeight="1" x14ac:dyDescent="0.25">
      <c r="A5" s="10" t="s">
        <v>6</v>
      </c>
      <c r="B5" s="10" t="str">
        <f>": "&amp;[36]NUMERIK!E10</f>
        <v>: TAMAN</v>
      </c>
      <c r="C5" s="7" t="s">
        <v>7</v>
      </c>
      <c r="D5" s="8"/>
      <c r="E5" s="11">
        <f>[36]NUMERIK!K10</f>
        <v>738</v>
      </c>
      <c r="F5" t="s">
        <v>8</v>
      </c>
    </row>
    <row r="6" spans="1:14" ht="15.75" customHeight="1" x14ac:dyDescent="0.25">
      <c r="A6" s="10" t="s">
        <v>9</v>
      </c>
      <c r="B6" s="10" t="str">
        <f>": "&amp;[36]NUMERIK!E6</f>
        <v>: KEJURON</v>
      </c>
      <c r="C6" s="7" t="s">
        <v>10</v>
      </c>
      <c r="D6" s="8"/>
      <c r="E6" s="12">
        <f>[36]NUMERIK!K12</f>
        <v>2771</v>
      </c>
      <c r="F6" t="s">
        <v>11</v>
      </c>
    </row>
    <row r="7" spans="1:14" ht="15.75" customHeight="1" x14ac:dyDescent="0.25">
      <c r="A7" s="4"/>
      <c r="B7" s="13"/>
      <c r="C7" s="7" t="s">
        <v>7</v>
      </c>
      <c r="D7" s="5"/>
      <c r="E7" s="12">
        <f>[36]NUMERIK!K14</f>
        <v>1026</v>
      </c>
      <c r="F7" t="s">
        <v>12</v>
      </c>
    </row>
    <row r="8" spans="1:14" ht="5.25" customHeight="1" thickBot="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4" ht="12" customHeight="1" x14ac:dyDescent="0.25">
      <c r="A9" s="195" t="s">
        <v>13</v>
      </c>
      <c r="B9" s="197" t="s">
        <v>14</v>
      </c>
      <c r="C9" s="199" t="s">
        <v>15</v>
      </c>
      <c r="D9" s="200"/>
      <c r="E9" s="200"/>
      <c r="F9" s="201"/>
      <c r="G9" s="216" t="s">
        <v>16</v>
      </c>
      <c r="H9" s="217"/>
      <c r="I9" s="217"/>
      <c r="J9" s="205" t="s">
        <v>17</v>
      </c>
      <c r="K9" s="206"/>
      <c r="L9" s="206"/>
      <c r="M9" s="207"/>
    </row>
    <row r="10" spans="1:14" ht="9.75" customHeight="1" x14ac:dyDescent="0.25">
      <c r="A10" s="196"/>
      <c r="B10" s="198"/>
      <c r="C10" s="202"/>
      <c r="D10" s="203"/>
      <c r="E10" s="203"/>
      <c r="F10" s="204"/>
      <c r="G10" s="211" t="s">
        <v>18</v>
      </c>
      <c r="H10" s="212"/>
      <c r="I10" s="212"/>
      <c r="J10" s="208"/>
      <c r="K10" s="209"/>
      <c r="L10" s="209"/>
      <c r="M10" s="210"/>
    </row>
    <row r="11" spans="1:14" ht="15.75" thickBot="1" x14ac:dyDescent="0.3">
      <c r="A11" s="196"/>
      <c r="B11" s="198"/>
      <c r="C11" s="14" t="s">
        <v>19</v>
      </c>
      <c r="D11" s="14" t="s">
        <v>20</v>
      </c>
      <c r="E11" s="14" t="s">
        <v>21</v>
      </c>
      <c r="F11" s="15" t="s">
        <v>22</v>
      </c>
      <c r="G11" s="16" t="s">
        <v>23</v>
      </c>
      <c r="H11" s="17" t="s">
        <v>24</v>
      </c>
      <c r="I11" s="17" t="s">
        <v>20</v>
      </c>
      <c r="J11" s="18" t="s">
        <v>19</v>
      </c>
      <c r="K11" s="19" t="s">
        <v>20</v>
      </c>
      <c r="L11" s="19" t="s">
        <v>25</v>
      </c>
      <c r="M11" s="20" t="s">
        <v>22</v>
      </c>
    </row>
    <row r="12" spans="1:14" s="34" customFormat="1" ht="24.95" customHeight="1" x14ac:dyDescent="0.25">
      <c r="A12" s="213" t="s">
        <v>26</v>
      </c>
      <c r="B12" s="21" t="s">
        <v>27</v>
      </c>
      <c r="C12" s="22">
        <f>[36]NUMERIK!K18</f>
        <v>191</v>
      </c>
      <c r="D12" s="23" t="s">
        <v>8</v>
      </c>
      <c r="E12" s="24">
        <f>C12/E5*100%</f>
        <v>0.25880758807588078</v>
      </c>
      <c r="F12" s="25">
        <f t="shared" ref="F12:F36" si="0">IF(AND(E12&gt;=24.995%,E12&lt;50.995%),1,IF(AND(E12&gt;=50.995%,E12&lt;75.995%),3,IF(E12&gt;=75.995%,5,0)))</f>
        <v>1</v>
      </c>
      <c r="G12" s="26" t="str">
        <f>[36]Outcome!Q6</f>
        <v xml:space="preserve">, , , , , , , , , , , , , , , , , , , , , , , , , , , , , , , , , , , , , , , , , , , , </v>
      </c>
      <c r="H12" s="27">
        <f>[36]Outcome!M6</f>
        <v>0</v>
      </c>
      <c r="I12" s="28" t="s">
        <v>8</v>
      </c>
      <c r="J12" s="29">
        <f>IF(H12&gt;C12,0,C12-H12)</f>
        <v>191</v>
      </c>
      <c r="K12" s="30" t="s">
        <v>8</v>
      </c>
      <c r="L12" s="31">
        <f>J12/E$5*100%</f>
        <v>0.25880758807588078</v>
      </c>
      <c r="M12" s="32">
        <f t="shared" ref="M12:M36" si="1">IF(AND(L12&gt;=24.995%,L12&lt;50.995%),1,IF(AND(L12&gt;=50.995%,L12&lt;75.995%),3,IF(L12&gt;=75.995%,5,0)))</f>
        <v>1</v>
      </c>
      <c r="N12" s="33"/>
    </row>
    <row r="13" spans="1:14" s="34" customFormat="1" ht="24.95" customHeight="1" x14ac:dyDescent="0.25">
      <c r="A13" s="213"/>
      <c r="B13" s="21" t="s">
        <v>28</v>
      </c>
      <c r="C13" s="35">
        <f>[36]NUMERIK!K20</f>
        <v>0</v>
      </c>
      <c r="D13" s="23" t="s">
        <v>3</v>
      </c>
      <c r="E13" s="24">
        <f>C13/E4*100%</f>
        <v>0</v>
      </c>
      <c r="F13" s="25">
        <f t="shared" si="0"/>
        <v>0</v>
      </c>
      <c r="G13" s="36" t="str">
        <f>[36]Outcome!Q51</f>
        <v xml:space="preserve">, , , , , , , , , , , , , , , , , , , </v>
      </c>
      <c r="H13" s="37">
        <f>[36]Outcome!M51</f>
        <v>0</v>
      </c>
      <c r="I13" s="38" t="s">
        <v>3</v>
      </c>
      <c r="J13" s="39">
        <f>IF(H13&gt;C13,0,C13-H13)</f>
        <v>0</v>
      </c>
      <c r="K13" s="40" t="s">
        <v>3</v>
      </c>
      <c r="L13" s="41">
        <f>J13/E$4*100%</f>
        <v>0</v>
      </c>
      <c r="M13" s="42">
        <f t="shared" si="1"/>
        <v>0</v>
      </c>
      <c r="N13" s="33"/>
    </row>
    <row r="14" spans="1:14" s="34" customFormat="1" ht="24.95" customHeight="1" thickBot="1" x14ac:dyDescent="0.3">
      <c r="A14" s="214"/>
      <c r="B14" s="43" t="s">
        <v>29</v>
      </c>
      <c r="C14" s="35">
        <f>[36]NUMERIK!K22</f>
        <v>30</v>
      </c>
      <c r="D14" s="23" t="s">
        <v>8</v>
      </c>
      <c r="E14" s="24">
        <f>C14/E5*100%</f>
        <v>4.065040650406504E-2</v>
      </c>
      <c r="F14" s="44">
        <f t="shared" si="0"/>
        <v>0</v>
      </c>
      <c r="G14" s="45" t="str">
        <f>[36]Outcome!Q71</f>
        <v xml:space="preserve">RTLH RT049-RW015, , , , , , , , , , , , , , , , , , , , , , , , , , , , , , , , , , , , , , , , , , , , </v>
      </c>
      <c r="H14" s="46">
        <f>[36]Outcome!M71</f>
        <v>1</v>
      </c>
      <c r="I14" s="47" t="s">
        <v>8</v>
      </c>
      <c r="J14" s="48">
        <f>IF(H14&gt;C14,0,C14-H14)</f>
        <v>29</v>
      </c>
      <c r="K14" s="49" t="s">
        <v>8</v>
      </c>
      <c r="L14" s="50">
        <f>J14/E$5*100%</f>
        <v>3.9295392953929538E-2</v>
      </c>
      <c r="M14" s="51">
        <f t="shared" si="1"/>
        <v>0</v>
      </c>
      <c r="N14" s="33"/>
    </row>
    <row r="15" spans="1:14" s="34" customFormat="1" ht="30" customHeight="1" thickBot="1" x14ac:dyDescent="0.3">
      <c r="A15" s="52" t="s">
        <v>30</v>
      </c>
      <c r="B15" s="53"/>
      <c r="C15" s="54"/>
      <c r="D15" s="55"/>
      <c r="E15" s="56">
        <f>IF(SUM(F12:F14)&gt;0,(SUMIF(F12:F14,"&gt;0",E12:E14)/3),0)</f>
        <v>8.6269196025293593E-2</v>
      </c>
      <c r="F15" s="57"/>
      <c r="G15" s="58"/>
      <c r="H15" s="59"/>
      <c r="I15" s="59"/>
      <c r="J15" s="60"/>
      <c r="K15" s="61"/>
      <c r="L15" s="56">
        <f>IF(SUM(M12:M14)&gt;0,(SUMIF(M12:M14,"&gt;0",L12:L14)/3),0)</f>
        <v>8.6269196025293593E-2</v>
      </c>
      <c r="M15" s="62"/>
      <c r="N15" s="33"/>
    </row>
    <row r="16" spans="1:14" s="34" customFormat="1" ht="24.95" customHeight="1" x14ac:dyDescent="0.25">
      <c r="A16" s="215" t="s">
        <v>31</v>
      </c>
      <c r="B16" s="63" t="s">
        <v>32</v>
      </c>
      <c r="C16" s="64">
        <f>[36]NUMERIK!K25-[36]NUMERIK!K26</f>
        <v>400</v>
      </c>
      <c r="D16" s="65" t="s">
        <v>33</v>
      </c>
      <c r="E16" s="66">
        <f>C16/[36]NUMERIK!K$25*100%</f>
        <v>7.0298769771529004E-2</v>
      </c>
      <c r="F16" s="67">
        <f t="shared" si="0"/>
        <v>0</v>
      </c>
      <c r="G16" s="36" t="str">
        <f>[36]Outcome!Q116</f>
        <v xml:space="preserve">, , , , , , , , , , , , , , , , , , , </v>
      </c>
      <c r="H16" s="27">
        <f>[36]Outcome!M116</f>
        <v>0</v>
      </c>
      <c r="I16" s="68" t="s">
        <v>33</v>
      </c>
      <c r="J16" s="69">
        <f>IF(H16&gt;C16,0,C16-H16)</f>
        <v>400</v>
      </c>
      <c r="K16" s="70" t="s">
        <v>33</v>
      </c>
      <c r="L16" s="71">
        <f>J16/[36]NUMERIK!K$25*100%</f>
        <v>7.0298769771529004E-2</v>
      </c>
      <c r="M16" s="72">
        <f t="shared" si="1"/>
        <v>0</v>
      </c>
      <c r="N16" s="33"/>
    </row>
    <row r="17" spans="1:15" s="34" customFormat="1" ht="24.95" customHeight="1" thickBot="1" x14ac:dyDescent="0.3">
      <c r="A17" s="192"/>
      <c r="B17" s="21" t="s">
        <v>34</v>
      </c>
      <c r="C17" s="22">
        <f>[36]NUMERIK!K28</f>
        <v>525.70000000000005</v>
      </c>
      <c r="D17" s="73" t="s">
        <v>33</v>
      </c>
      <c r="E17" s="24">
        <f>C17/[36]NUMERIK!K$25*100%</f>
        <v>9.2390158172231993E-2</v>
      </c>
      <c r="F17" s="25">
        <f t="shared" si="0"/>
        <v>0</v>
      </c>
      <c r="G17" s="45" t="str">
        <f>[36]Outcome!Q136</f>
        <v xml:space="preserve">Jalan Paving Block RT049-RW015, Jalan Paving Block RT009-RW003, Jalan Paving Block RT009-RW003, Jalan Paving Block RT034-RW011, Jalan Paving Block RT034-RW011, Jalan Paving Block RT013-RW005, Jalan Paving Block RT038-RW012, Jalan Paving Block RT006-RW002, , , , , , , , , , , , , , , , , , , , , , , , , , , , , , , , , , , , , </v>
      </c>
      <c r="H17" s="37">
        <f>[36]Outcome!M136</f>
        <v>415.8</v>
      </c>
      <c r="I17" s="38" t="s">
        <v>33</v>
      </c>
      <c r="J17" s="39">
        <f>IF(H17&gt;C17,0,C17-H17)</f>
        <v>109.90000000000003</v>
      </c>
      <c r="K17" s="40" t="s">
        <v>33</v>
      </c>
      <c r="L17" s="41">
        <f>J17/[36]NUMERIK!K$25*100%</f>
        <v>1.9314586994727597E-2</v>
      </c>
      <c r="M17" s="42">
        <f t="shared" si="1"/>
        <v>0</v>
      </c>
      <c r="N17" s="33"/>
    </row>
    <row r="18" spans="1:15" s="34" customFormat="1" ht="30" customHeight="1" thickBot="1" x14ac:dyDescent="0.3">
      <c r="A18" s="52" t="s">
        <v>35</v>
      </c>
      <c r="B18" s="53"/>
      <c r="C18" s="54"/>
      <c r="D18" s="55"/>
      <c r="E18" s="56">
        <f>IF(SUM(F16:F17)&gt;0,(SUMIF(F16:F17,"&gt;0",E16:E17)/2),0)</f>
        <v>0</v>
      </c>
      <c r="F18" s="57"/>
      <c r="G18" s="58"/>
      <c r="H18" s="59"/>
      <c r="I18" s="59"/>
      <c r="J18" s="60"/>
      <c r="K18" s="61"/>
      <c r="L18" s="56">
        <f>IF(SUM(M16:M17)&gt;0,(SUMIF(M16:M17,"&gt;0",L16:L17)/2),0)</f>
        <v>0</v>
      </c>
      <c r="M18" s="62"/>
      <c r="N18" s="33"/>
    </row>
    <row r="19" spans="1:15" s="34" customFormat="1" ht="24.95" customHeight="1" x14ac:dyDescent="0.25">
      <c r="A19" s="213" t="s">
        <v>36</v>
      </c>
      <c r="B19" s="21" t="s">
        <v>37</v>
      </c>
      <c r="C19" s="22">
        <f>[36]NUMERIK!K31</f>
        <v>344.36774514741262</v>
      </c>
      <c r="D19" s="73" t="s">
        <v>12</v>
      </c>
      <c r="E19" s="74">
        <f>C19/E$7*100%</f>
        <v>0.3356410771417277</v>
      </c>
      <c r="F19" s="25">
        <f t="shared" si="0"/>
        <v>1</v>
      </c>
      <c r="G19" s="36" t="str">
        <f>[36]Outcome!Q181</f>
        <v xml:space="preserve">, , , , , , , , , , , , , , , , , , , </v>
      </c>
      <c r="H19" s="27">
        <f>[36]Outcome!Q182</f>
        <v>0</v>
      </c>
      <c r="I19" s="38" t="s">
        <v>12</v>
      </c>
      <c r="J19" s="39">
        <f>IF(H19&gt;C19,0,C19-H19)</f>
        <v>344.36774514741262</v>
      </c>
      <c r="K19" s="75" t="s">
        <v>12</v>
      </c>
      <c r="L19" s="76">
        <f>J19/E$7*100%</f>
        <v>0.3356410771417277</v>
      </c>
      <c r="M19" s="42">
        <f t="shared" si="1"/>
        <v>1</v>
      </c>
      <c r="N19" s="33"/>
    </row>
    <row r="20" spans="1:15" s="34" customFormat="1" ht="24.95" customHeight="1" thickBot="1" x14ac:dyDescent="0.3">
      <c r="A20" s="213"/>
      <c r="B20" s="21" t="s">
        <v>38</v>
      </c>
      <c r="C20" s="22">
        <f>[36]NUMERIK!K33</f>
        <v>0</v>
      </c>
      <c r="D20" s="73" t="s">
        <v>12</v>
      </c>
      <c r="E20" s="74">
        <f>C20/E$7*100%</f>
        <v>0</v>
      </c>
      <c r="F20" s="25">
        <f t="shared" si="0"/>
        <v>0</v>
      </c>
      <c r="G20" s="45" t="str">
        <f>[36]Outcome!Q201</f>
        <v xml:space="preserve">, , , , , , , , , , , , , , , , , , , , , , , , , , , , , , , , , , , , , , , , , , , , </v>
      </c>
      <c r="H20" s="37">
        <f>[36]Outcome!Q202</f>
        <v>0</v>
      </c>
      <c r="I20" s="38" t="s">
        <v>12</v>
      </c>
      <c r="J20" s="39">
        <f>IF(H20&gt;C20,0,C20-H20)</f>
        <v>0</v>
      </c>
      <c r="K20" s="75" t="s">
        <v>12</v>
      </c>
      <c r="L20" s="76">
        <f>J20/E$7*100%</f>
        <v>0</v>
      </c>
      <c r="M20" s="42">
        <f t="shared" si="1"/>
        <v>0</v>
      </c>
      <c r="N20" s="33"/>
    </row>
    <row r="21" spans="1:15" s="77" customFormat="1" ht="30" customHeight="1" thickBot="1" x14ac:dyDescent="0.3">
      <c r="A21" s="52" t="s">
        <v>39</v>
      </c>
      <c r="B21" s="53"/>
      <c r="C21" s="54"/>
      <c r="D21" s="55"/>
      <c r="E21" s="56">
        <f>IF(SUM(F19:F20)&gt;0,(SUMIF(F19:F20,"&gt;0",E19:E20)/2),0)</f>
        <v>0.16782053857086385</v>
      </c>
      <c r="F21" s="57"/>
      <c r="G21" s="58"/>
      <c r="H21" s="59"/>
      <c r="I21" s="59"/>
      <c r="J21" s="60"/>
      <c r="K21" s="61"/>
      <c r="L21" s="56">
        <f>IF(SUM(M19:M20)&gt;0,(SUMIF(M19:M20,"&gt;0",L19:L20)/2),0)</f>
        <v>0.16782053857086385</v>
      </c>
      <c r="M21" s="62"/>
      <c r="N21" s="33"/>
      <c r="O21" s="34"/>
    </row>
    <row r="22" spans="1:15" s="34" customFormat="1" ht="20.100000000000001" customHeight="1" x14ac:dyDescent="0.25">
      <c r="A22" s="192" t="s">
        <v>40</v>
      </c>
      <c r="B22" s="78" t="s">
        <v>41</v>
      </c>
      <c r="C22" s="22">
        <f>[36]NUMERIK!K36</f>
        <v>0</v>
      </c>
      <c r="D22" s="73" t="s">
        <v>3</v>
      </c>
      <c r="E22" s="79">
        <f>C22/E$4*100%</f>
        <v>0</v>
      </c>
      <c r="F22" s="25">
        <f t="shared" si="0"/>
        <v>0</v>
      </c>
      <c r="G22" s="36" t="str">
        <f>[36]Outcome!Q246</f>
        <v xml:space="preserve">, , , , , , , , , , , , , , , , , , , </v>
      </c>
      <c r="H22" s="27">
        <f>[36]Outcome!M246</f>
        <v>0</v>
      </c>
      <c r="I22" s="38" t="s">
        <v>3</v>
      </c>
      <c r="J22" s="39">
        <f>IF(H22&gt;C22,0,C22-H22)</f>
        <v>0</v>
      </c>
      <c r="K22" s="40" t="s">
        <v>3</v>
      </c>
      <c r="L22" s="41">
        <f>J22/E$4*100%</f>
        <v>0</v>
      </c>
      <c r="M22" s="42">
        <f t="shared" si="1"/>
        <v>0</v>
      </c>
      <c r="N22" s="33"/>
    </row>
    <row r="23" spans="1:15" s="34" customFormat="1" ht="25.5" customHeight="1" x14ac:dyDescent="0.25">
      <c r="A23" s="192"/>
      <c r="B23" s="21" t="s">
        <v>42</v>
      </c>
      <c r="C23" s="22">
        <f>([36]NUMERIK!K38-[36]NUMERIK!K40)</f>
        <v>1500</v>
      </c>
      <c r="D23" s="73" t="s">
        <v>33</v>
      </c>
      <c r="E23" s="79">
        <f>C23/[36]NUMERIK!K$38*100%</f>
        <v>0.28355387523629488</v>
      </c>
      <c r="F23" s="25">
        <f t="shared" si="0"/>
        <v>1</v>
      </c>
      <c r="G23" s="36" t="str">
        <f>[36]Outcome!Q266</f>
        <v xml:space="preserve">Drainase Lingkungan RT009-RW003, Drainase Lingkungan RT034-RW011, Drainase Lingkungan RT009-RW003, , , , , , , , , , , , , , , , , , , , , , , , , , , , , , , , , , , , , , , , , , </v>
      </c>
      <c r="H23" s="37">
        <f>[36]Outcome!M266</f>
        <v>225</v>
      </c>
      <c r="I23" s="38" t="s">
        <v>33</v>
      </c>
      <c r="J23" s="39">
        <f>IF(H23&gt;C23,0,C23-H23)</f>
        <v>1275</v>
      </c>
      <c r="K23" s="40" t="s">
        <v>33</v>
      </c>
      <c r="L23" s="41">
        <f>J23/[36]NUMERIK!K$38*100%</f>
        <v>0.24102079395085066</v>
      </c>
      <c r="M23" s="42">
        <f t="shared" si="1"/>
        <v>0</v>
      </c>
      <c r="N23" s="33"/>
    </row>
    <row r="24" spans="1:15" s="34" customFormat="1" ht="20.100000000000001" customHeight="1" x14ac:dyDescent="0.25">
      <c r="A24" s="192"/>
      <c r="B24" s="21" t="s">
        <v>43</v>
      </c>
      <c r="C24" s="22">
        <f>[36]NUMERIK!K42</f>
        <v>595</v>
      </c>
      <c r="D24" s="73" t="s">
        <v>33</v>
      </c>
      <c r="E24" s="79">
        <f>C24/[36]NUMERIK!K$38*100%</f>
        <v>0.11247637051039698</v>
      </c>
      <c r="F24" s="25">
        <f t="shared" si="0"/>
        <v>0</v>
      </c>
      <c r="G24" s="36" t="str">
        <f>[36]Outcome!Q311</f>
        <v xml:space="preserve">, , , , , , , , , , , , , , , , , , , </v>
      </c>
      <c r="H24" s="37">
        <f>[36]Outcome!M311</f>
        <v>0</v>
      </c>
      <c r="I24" s="38" t="s">
        <v>33</v>
      </c>
      <c r="J24" s="39">
        <f>IF(H24&gt;C24,0,C24-H24)</f>
        <v>595</v>
      </c>
      <c r="K24" s="40" t="s">
        <v>33</v>
      </c>
      <c r="L24" s="41">
        <f>J24/[36]NUMERIK!K$38*100%</f>
        <v>0.11247637051039698</v>
      </c>
      <c r="M24" s="42">
        <f t="shared" si="1"/>
        <v>0</v>
      </c>
      <c r="N24" s="33"/>
    </row>
    <row r="25" spans="1:15" s="34" customFormat="1" ht="20.100000000000001" customHeight="1" x14ac:dyDescent="0.25">
      <c r="A25" s="192"/>
      <c r="B25" s="21" t="s">
        <v>44</v>
      </c>
      <c r="C25" s="22">
        <f>[36]NUMERIK!K45</f>
        <v>2650</v>
      </c>
      <c r="D25" s="73" t="s">
        <v>33</v>
      </c>
      <c r="E25" s="79">
        <f>C25/[36]NUMERIK!K$38*100%</f>
        <v>0.50094517958412099</v>
      </c>
      <c r="F25" s="25">
        <f t="shared" si="0"/>
        <v>1</v>
      </c>
      <c r="G25" s="36" t="str">
        <f>[36]Outcome!Q331</f>
        <v xml:space="preserve">, , , , , , , , , , , , , , , , , , , </v>
      </c>
      <c r="H25" s="37">
        <f>[36]Outcome!M331</f>
        <v>0</v>
      </c>
      <c r="I25" s="38" t="s">
        <v>33</v>
      </c>
      <c r="J25" s="39">
        <f>IF(H25&gt;C25,0,C25-H25)</f>
        <v>2650</v>
      </c>
      <c r="K25" s="40" t="s">
        <v>33</v>
      </c>
      <c r="L25" s="41">
        <f>J25/[36]NUMERIK!K$38*100%</f>
        <v>0.50094517958412099</v>
      </c>
      <c r="M25" s="42">
        <f t="shared" si="1"/>
        <v>1</v>
      </c>
      <c r="N25" s="33"/>
    </row>
    <row r="26" spans="1:15" s="34" customFormat="1" ht="20.100000000000001" customHeight="1" thickBot="1" x14ac:dyDescent="0.3">
      <c r="A26" s="192"/>
      <c r="B26" s="78" t="s">
        <v>45</v>
      </c>
      <c r="C26" s="22">
        <f>[36]NUMERIK!K48</f>
        <v>550</v>
      </c>
      <c r="D26" s="73" t="s">
        <v>33</v>
      </c>
      <c r="E26" s="79">
        <f>C26/[36]NUMERIK!K$38*100%</f>
        <v>0.10396975425330812</v>
      </c>
      <c r="F26" s="25">
        <f t="shared" si="0"/>
        <v>0</v>
      </c>
      <c r="G26" s="36" t="str">
        <f>[36]Outcome!Q351</f>
        <v xml:space="preserve">Perbaikan Drainase RT030-RW010, Perbaikan Drainase RT032-RW011, Perbaikan Drainase RT036-RW011, Perbaikan Drainase RT038-RW012, Perbaikan Drainase RT048-RW015, Drainase Lingkungan RT009-RW003, Drainase Lingkungan RT034-RW011, Drainase Lingkungan RT013-RW005, Drainase Lingkungan RT038-RW012, , , , , , , , , , , , , , , , , , , , , , , , , , , , , , , , , , , , </v>
      </c>
      <c r="H26" s="37">
        <f>[36]Outcome!M351</f>
        <v>719.5</v>
      </c>
      <c r="I26" s="38" t="s">
        <v>33</v>
      </c>
      <c r="J26" s="39">
        <f>IF(H26&gt;C26,0,C26-H26)</f>
        <v>0</v>
      </c>
      <c r="K26" s="40" t="s">
        <v>33</v>
      </c>
      <c r="L26" s="41">
        <f>J26/[36]NUMERIK!K$38*100%</f>
        <v>0</v>
      </c>
      <c r="M26" s="42">
        <f t="shared" si="1"/>
        <v>0</v>
      </c>
      <c r="N26" s="33"/>
    </row>
    <row r="27" spans="1:15" s="88" customFormat="1" ht="30" customHeight="1" thickBot="1" x14ac:dyDescent="0.3">
      <c r="A27" s="80" t="s">
        <v>46</v>
      </c>
      <c r="B27" s="81"/>
      <c r="C27" s="55"/>
      <c r="D27" s="55"/>
      <c r="E27" s="82">
        <f>IF(SUM(F22:F26)&gt;0,(SUMIF(F22:F26,"&gt;0",E22:E26)/5),0)</f>
        <v>0.15689981096408318</v>
      </c>
      <c r="F27" s="83"/>
      <c r="G27" s="58"/>
      <c r="H27" s="59"/>
      <c r="I27" s="59"/>
      <c r="J27" s="84"/>
      <c r="K27" s="85"/>
      <c r="L27" s="82">
        <f>IF(SUM(M22:M26)&gt;0,(SUMIF(M22:M26,"&gt;0",L22:L26)/5),0)</f>
        <v>0.1001890359168242</v>
      </c>
      <c r="M27" s="86"/>
      <c r="N27" s="87"/>
    </row>
    <row r="28" spans="1:15" s="34" customFormat="1" ht="27.75" customHeight="1" x14ac:dyDescent="0.25">
      <c r="A28" s="213" t="s">
        <v>47</v>
      </c>
      <c r="B28" s="21" t="s">
        <v>48</v>
      </c>
      <c r="C28" s="22">
        <f>[36]NUMERIK!K51</f>
        <v>42.282349839160482</v>
      </c>
      <c r="D28" s="73" t="s">
        <v>12</v>
      </c>
      <c r="E28" s="89">
        <f>C28/E$7*100%</f>
        <v>4.1210867289630096E-2</v>
      </c>
      <c r="F28" s="25">
        <f t="shared" si="0"/>
        <v>0</v>
      </c>
      <c r="G28" s="36" t="str">
        <f>[36]Outcome!Q396</f>
        <v xml:space="preserve">, , , , , , , , , , , , , , , , , , , , , , , , , , , , , , , , , , , , , , , , , , , , </v>
      </c>
      <c r="H28" s="37">
        <f>[36]Outcome!Q397</f>
        <v>0</v>
      </c>
      <c r="I28" s="38" t="s">
        <v>12</v>
      </c>
      <c r="J28" s="39">
        <f>IF(H28&gt;C28,0,C28-H28)</f>
        <v>42.282349839160482</v>
      </c>
      <c r="K28" s="40" t="s">
        <v>12</v>
      </c>
      <c r="L28" s="41">
        <f>J28/E$7*100%</f>
        <v>4.1210867289630096E-2</v>
      </c>
      <c r="M28" s="42">
        <f t="shared" si="1"/>
        <v>0</v>
      </c>
      <c r="N28" s="33"/>
    </row>
    <row r="29" spans="1:15" s="34" customFormat="1" ht="30" customHeight="1" thickBot="1" x14ac:dyDescent="0.3">
      <c r="A29" s="213"/>
      <c r="B29" s="21" t="s">
        <v>49</v>
      </c>
      <c r="C29" s="22">
        <f>[36]NUMERIK!K53</f>
        <v>24.879855508094717</v>
      </c>
      <c r="D29" s="73" t="s">
        <v>12</v>
      </c>
      <c r="E29" s="89">
        <f>C29/E$7*100%</f>
        <v>2.4249371840248262E-2</v>
      </c>
      <c r="F29" s="25">
        <f t="shared" si="0"/>
        <v>0</v>
      </c>
      <c r="G29" s="45" t="str">
        <f>[36]Outcome!Q441</f>
        <v xml:space="preserve">Septictank Komunal RT005-RW002, Septictank Komunal RT035-RW011, Septictank Komunal RT048-RW015, Septictank Komunal RT049-RW015, , , , , , , , , , , , , , , , , , , , , , , , , , , , , , , , , , , , , , , , , , , , , , , , , , , </v>
      </c>
      <c r="H29" s="37">
        <f>[36]Outcome!Q442</f>
        <v>30</v>
      </c>
      <c r="I29" s="38" t="s">
        <v>12</v>
      </c>
      <c r="J29" s="39">
        <f>IF(H29&gt;C29,0,C29-H29)</f>
        <v>0</v>
      </c>
      <c r="K29" s="40" t="s">
        <v>12</v>
      </c>
      <c r="L29" s="41">
        <f>J29/E$7*100%</f>
        <v>0</v>
      </c>
      <c r="M29" s="42">
        <f t="shared" si="1"/>
        <v>0</v>
      </c>
      <c r="N29" s="33"/>
    </row>
    <row r="30" spans="1:15" s="88" customFormat="1" ht="30" customHeight="1" thickBot="1" x14ac:dyDescent="0.3">
      <c r="A30" s="90" t="s">
        <v>50</v>
      </c>
      <c r="B30" s="81"/>
      <c r="C30" s="55"/>
      <c r="D30" s="55"/>
      <c r="E30" s="82">
        <f>IF(SUM(F28:F29)&gt;0,(SUMIF(F28:F29,"&gt;0",E28:E29)/2),0)</f>
        <v>0</v>
      </c>
      <c r="F30" s="83"/>
      <c r="G30" s="91"/>
      <c r="H30" s="92"/>
      <c r="I30" s="92"/>
      <c r="J30" s="84"/>
      <c r="K30" s="85"/>
      <c r="L30" s="82">
        <f>IF(SUM(M28:M29)&gt;0,(SUMIF(M28:M29,"&gt;0",L28:L29)/2),0)</f>
        <v>0</v>
      </c>
      <c r="M30" s="86"/>
      <c r="N30" s="87"/>
    </row>
    <row r="31" spans="1:15" s="34" customFormat="1" ht="31.5" customHeight="1" x14ac:dyDescent="0.25">
      <c r="A31" s="192" t="s">
        <v>51</v>
      </c>
      <c r="B31" s="21" t="s">
        <v>52</v>
      </c>
      <c r="C31" s="93">
        <f>[36]NUMERIK!K56</f>
        <v>492</v>
      </c>
      <c r="D31" s="94" t="s">
        <v>12</v>
      </c>
      <c r="E31" s="89">
        <f>C31/E$7*100%</f>
        <v>0.47953216374269003</v>
      </c>
      <c r="F31" s="25">
        <f t="shared" si="0"/>
        <v>1</v>
      </c>
      <c r="G31" s="36" t="str">
        <f>[36]Outcome!Q496</f>
        <v xml:space="preserve">, , , , , , , , , , , , , , , , , , , , , , , , , , , , , , , , , , , , , , , , , , , , </v>
      </c>
      <c r="H31" s="37">
        <f>[36]Outcome!Q497</f>
        <v>0</v>
      </c>
      <c r="I31" s="38" t="s">
        <v>12</v>
      </c>
      <c r="J31" s="39">
        <f>IF(H31&gt;C31,0,C31-H31)</f>
        <v>492</v>
      </c>
      <c r="K31" s="40" t="s">
        <v>12</v>
      </c>
      <c r="L31" s="41">
        <f>J31/E$7*100%</f>
        <v>0.47953216374269003</v>
      </c>
      <c r="M31" s="42">
        <f t="shared" si="1"/>
        <v>1</v>
      </c>
      <c r="N31" s="33"/>
    </row>
    <row r="32" spans="1:15" s="34" customFormat="1" ht="32.25" customHeight="1" x14ac:dyDescent="0.25">
      <c r="A32" s="192"/>
      <c r="B32" s="21" t="s">
        <v>53</v>
      </c>
      <c r="C32" s="93">
        <f>[36]NUMERIK!K59</f>
        <v>0</v>
      </c>
      <c r="D32" s="94" t="s">
        <v>12</v>
      </c>
      <c r="E32" s="89">
        <f>C32/E$7*100%</f>
        <v>0</v>
      </c>
      <c r="F32" s="25">
        <f t="shared" si="0"/>
        <v>0</v>
      </c>
      <c r="G32" s="36" t="str">
        <f>[36]Outcome!Q541</f>
        <v xml:space="preserve">, , , , , , , , , , , , , , , , , , , , , , , , , , , , , , , , , , , , , , , , , , , , </v>
      </c>
      <c r="H32" s="37">
        <f>[36]Outcome!Q542</f>
        <v>0</v>
      </c>
      <c r="I32" s="38" t="s">
        <v>12</v>
      </c>
      <c r="J32" s="39">
        <f>IF(H32&gt;C32,0,C32-H32)</f>
        <v>0</v>
      </c>
      <c r="K32" s="40" t="s">
        <v>12</v>
      </c>
      <c r="L32" s="41">
        <f>J32/E$7*100%</f>
        <v>0</v>
      </c>
      <c r="M32" s="42">
        <f t="shared" si="1"/>
        <v>0</v>
      </c>
      <c r="N32" s="33"/>
    </row>
    <row r="33" spans="1:14" s="34" customFormat="1" ht="30.75" customHeight="1" thickBot="1" x14ac:dyDescent="0.3">
      <c r="A33" s="192"/>
      <c r="B33" s="21" t="s">
        <v>54</v>
      </c>
      <c r="C33" s="93">
        <f>[36]NUMERIK!K61</f>
        <v>808</v>
      </c>
      <c r="D33" s="94" t="s">
        <v>12</v>
      </c>
      <c r="E33" s="89">
        <f>C33/E$7*100%</f>
        <v>0.78752436647173485</v>
      </c>
      <c r="F33" s="25">
        <f t="shared" si="0"/>
        <v>5</v>
      </c>
      <c r="G33" s="36" t="str">
        <f>[36]Outcome!Q586</f>
        <v xml:space="preserve">, , , , , , , , , , , , , , , , , , , , , , , , , , , , , , , , , , , , , , , , , , , , </v>
      </c>
      <c r="H33" s="37">
        <f>[36]Outcome!Q587</f>
        <v>0</v>
      </c>
      <c r="I33" s="38" t="s">
        <v>12</v>
      </c>
      <c r="J33" s="39">
        <f>IF(H33&gt;C33,0,C33-H33)</f>
        <v>808</v>
      </c>
      <c r="K33" s="40" t="s">
        <v>12</v>
      </c>
      <c r="L33" s="41">
        <f>J33/E$7*100%</f>
        <v>0.78752436647173485</v>
      </c>
      <c r="M33" s="42">
        <f t="shared" si="1"/>
        <v>5</v>
      </c>
      <c r="N33" s="33"/>
    </row>
    <row r="34" spans="1:14" s="88" customFormat="1" ht="30" customHeight="1" thickBot="1" x14ac:dyDescent="0.3">
      <c r="A34" s="80" t="s">
        <v>55</v>
      </c>
      <c r="B34" s="81"/>
      <c r="C34" s="55"/>
      <c r="D34" s="55"/>
      <c r="E34" s="82">
        <f>IF(SUM(F31:F33)&gt;0,(SUMIF(F31:F33,"&gt;0",E31:E33)/3),0)</f>
        <v>0.42235217673814168</v>
      </c>
      <c r="F34" s="83"/>
      <c r="G34" s="91"/>
      <c r="H34" s="92"/>
      <c r="I34" s="92"/>
      <c r="J34" s="84"/>
      <c r="K34" s="85"/>
      <c r="L34" s="82">
        <f>IF(SUM(M31:M33)&gt;0,(SUMIF(M31:M33,"&gt;0",L31:L33)/3),0)</f>
        <v>0.42235217673814168</v>
      </c>
      <c r="M34" s="86"/>
      <c r="N34" s="87"/>
    </row>
    <row r="35" spans="1:14" s="34" customFormat="1" ht="24.95" customHeight="1" x14ac:dyDescent="0.25">
      <c r="A35" s="213" t="s">
        <v>56</v>
      </c>
      <c r="B35" s="95" t="s">
        <v>57</v>
      </c>
      <c r="C35" s="93">
        <f>[36]NUMERIK!K64</f>
        <v>0</v>
      </c>
      <c r="D35" s="94" t="s">
        <v>8</v>
      </c>
      <c r="E35" s="79">
        <f>C35/E$5*100%</f>
        <v>0</v>
      </c>
      <c r="F35" s="25">
        <f t="shared" si="0"/>
        <v>0</v>
      </c>
      <c r="G35" s="36" t="str">
        <f>[36]Outcome!Q631</f>
        <v xml:space="preserve">, , , , , , , , , , , , , , , , , , , </v>
      </c>
      <c r="H35" s="27">
        <f>[36]Outcome!Q632</f>
        <v>0</v>
      </c>
      <c r="I35" s="38" t="s">
        <v>8</v>
      </c>
      <c r="J35" s="39">
        <f>IF(H35&gt;C35,0,C35-H35)</f>
        <v>0</v>
      </c>
      <c r="K35" s="40" t="s">
        <v>8</v>
      </c>
      <c r="L35" s="41">
        <f>J35/E$5*100%</f>
        <v>0</v>
      </c>
      <c r="M35" s="42">
        <f t="shared" si="1"/>
        <v>0</v>
      </c>
      <c r="N35" s="33"/>
    </row>
    <row r="36" spans="1:14" s="34" customFormat="1" ht="24.95" customHeight="1" thickBot="1" x14ac:dyDescent="0.3">
      <c r="A36" s="213"/>
      <c r="B36" s="95" t="s">
        <v>58</v>
      </c>
      <c r="C36" s="96">
        <f>[36]NUMERIK!K66</f>
        <v>510</v>
      </c>
      <c r="D36" s="94" t="s">
        <v>8</v>
      </c>
      <c r="E36" s="79">
        <f>C36/E$5*100%</f>
        <v>0.69105691056910568</v>
      </c>
      <c r="F36" s="25">
        <f t="shared" si="0"/>
        <v>3</v>
      </c>
      <c r="G36" s="36" t="str">
        <f>[36]Outcome!Q651</f>
        <v xml:space="preserve">Cakupan terlayani Damkar RT005-RW002, Cakupan terlayani Damkar RT006-RW002, Cakupan terlayani Damkar RT009-RW003, Cakupan terlayani Damkar RT030-RW010, Cakupan terlayani Damkar RT031-RW010, Cakupan terlayani Damkar RT032-RW011, Cakupan terlayani Damkar RT033-RW011, Cakupan terlayani Damkar RT034-RW011, Cakupan terlayani Damkar RT035-RW011, Cakupan terlayani Damkar RT036-RW011, Cakupan terlayani Damkar RT038-RW012, Cakupan terlayani Damkar RT048-RW015, , , , , , , , </v>
      </c>
      <c r="H36" s="37">
        <f>[36]Outcome!Q652</f>
        <v>714</v>
      </c>
      <c r="I36" s="97" t="s">
        <v>8</v>
      </c>
      <c r="J36" s="98">
        <f>IF(H36&gt;C36,0,C36-H36)</f>
        <v>0</v>
      </c>
      <c r="K36" s="99" t="s">
        <v>8</v>
      </c>
      <c r="L36" s="100">
        <f>J36/E$5*100%</f>
        <v>0</v>
      </c>
      <c r="M36" s="51">
        <f t="shared" si="1"/>
        <v>0</v>
      </c>
      <c r="N36" s="33"/>
    </row>
    <row r="37" spans="1:14" s="77" customFormat="1" ht="30" customHeight="1" thickBot="1" x14ac:dyDescent="0.3">
      <c r="A37" s="80" t="s">
        <v>59</v>
      </c>
      <c r="B37" s="101"/>
      <c r="C37" s="102"/>
      <c r="D37" s="102"/>
      <c r="E37" s="82">
        <f>IF(SUM(F35:F36)&gt;0,(SUMIF(F35:F36,"&gt;0",E35:E36)/2),0)</f>
        <v>0.34552845528455284</v>
      </c>
      <c r="F37" s="103"/>
      <c r="G37" s="104"/>
      <c r="H37" s="105"/>
      <c r="I37" s="105"/>
      <c r="J37" s="106"/>
      <c r="K37" s="107"/>
      <c r="L37" s="82">
        <f>IF(SUM(M35:M36)&gt;0,(SUMIF(M35:M36,"&gt;0",L35:L36)/2),0)</f>
        <v>0</v>
      </c>
      <c r="M37" s="108"/>
      <c r="N37" s="109"/>
    </row>
    <row r="38" spans="1:14" ht="15" customHeight="1" x14ac:dyDescent="0.25">
      <c r="A38" s="110"/>
      <c r="B38" s="111" t="s">
        <v>60</v>
      </c>
      <c r="D38" s="218" t="s">
        <v>61</v>
      </c>
      <c r="E38" s="219"/>
      <c r="F38" s="222" t="s">
        <v>289</v>
      </c>
      <c r="G38" s="112"/>
      <c r="H38" s="112"/>
      <c r="I38" s="112"/>
      <c r="J38" s="112"/>
      <c r="K38" s="238" t="s">
        <v>61</v>
      </c>
      <c r="L38" s="239"/>
      <c r="M38" s="224">
        <f>SUM(M12:M36)</f>
        <v>9</v>
      </c>
    </row>
    <row r="39" spans="1:14" ht="15" customHeight="1" x14ac:dyDescent="0.25">
      <c r="A39" s="110"/>
      <c r="B39" s="113" t="s">
        <v>62</v>
      </c>
      <c r="D39" s="220"/>
      <c r="E39" s="221"/>
      <c r="F39" s="223"/>
      <c r="G39" s="114"/>
      <c r="H39" s="114"/>
      <c r="I39" s="114"/>
      <c r="J39" s="114"/>
      <c r="K39" s="240"/>
      <c r="L39" s="241"/>
      <c r="M39" s="225"/>
    </row>
    <row r="40" spans="1:14" ht="15" customHeight="1" x14ac:dyDescent="0.25">
      <c r="A40" s="110"/>
      <c r="B40" s="115" t="s">
        <v>63</v>
      </c>
      <c r="D40" s="226" t="s">
        <v>64</v>
      </c>
      <c r="E40" s="227"/>
      <c r="F40" s="230" t="str">
        <f>IF(F38="N/A","TIDAK KUMUH",IF(F38&gt;=71,"KUMUH BERAT",IF(AND(F38&lt;=70,F38&gt;=45),"KUMUH SEDANG",IF(AND(F38&lt;=44,F38&gt;=19),"KUMUH RINGAN","TIDAK KUMUH"))))</f>
        <v>KUMUH BERAT</v>
      </c>
      <c r="G40" s="116"/>
      <c r="H40" s="116"/>
      <c r="I40" s="116"/>
      <c r="J40" s="116"/>
      <c r="K40" s="232" t="s">
        <v>64</v>
      </c>
      <c r="L40" s="233"/>
      <c r="M40" s="236" t="str">
        <f>IF(M38="N/A","TIDAK KUMUH",IF(M38&gt;=71,"KUMUH BERAT",IF(AND(M38&lt;=70,M38&gt;=45),"KUMUH SEDANG",IF(AND(M38&lt;=44,M38&gt;=19),"KUMUH RINGAN","TIDAK KUMUH"))))</f>
        <v>TIDAK KUMUH</v>
      </c>
    </row>
    <row r="41" spans="1:14" ht="15" customHeight="1" thickBot="1" x14ac:dyDescent="0.3">
      <c r="A41" s="110"/>
      <c r="B41" s="117" t="s">
        <v>65</v>
      </c>
      <c r="D41" s="228"/>
      <c r="E41" s="229"/>
      <c r="F41" s="231" t="str">
        <f>IF(E41&gt;71,"KB",IF(E41&gt;=47,"KS","KR"))</f>
        <v>KR</v>
      </c>
      <c r="G41" s="116"/>
      <c r="H41" s="116"/>
      <c r="I41" s="116"/>
      <c r="J41" s="116"/>
      <c r="K41" s="234"/>
      <c r="L41" s="235"/>
      <c r="M41" s="237" t="str">
        <f>IF(L41&gt;71,"KB",IF(L41&gt;=47,"KS","KR"))</f>
        <v>KR</v>
      </c>
    </row>
    <row r="42" spans="1:14" ht="21" customHeight="1" x14ac:dyDescent="0.25">
      <c r="B42" s="118" t="s">
        <v>66</v>
      </c>
      <c r="C42" s="119"/>
      <c r="D42" s="120"/>
      <c r="E42" s="121" t="s">
        <v>67</v>
      </c>
      <c r="F42" s="122">
        <f>AVERAGE(E15,E18,E21,E27,E30,E34,E37)</f>
        <v>0.16841002536899072</v>
      </c>
      <c r="J42" s="123"/>
      <c r="K42" s="124"/>
      <c r="L42" s="125" t="s">
        <v>67</v>
      </c>
      <c r="M42" s="126">
        <f>AVERAGE(L15,L18,L21,L27,L30,L34,L37)</f>
        <v>0.11094727817873191</v>
      </c>
    </row>
    <row r="43" spans="1:14" ht="21" customHeight="1" x14ac:dyDescent="0.25">
      <c r="B43" s="127"/>
      <c r="C43" s="119"/>
      <c r="D43" s="120"/>
      <c r="E43" s="121" t="s">
        <v>68</v>
      </c>
      <c r="F43" s="122">
        <v>0</v>
      </c>
      <c r="J43" s="123"/>
      <c r="K43" s="124"/>
      <c r="L43" s="125" t="s">
        <v>68</v>
      </c>
      <c r="M43" s="126">
        <f>(F42-M42)/F42</f>
        <v>0.34120740178238462</v>
      </c>
      <c r="N43"/>
    </row>
    <row r="44" spans="1:14" x14ac:dyDescent="0.25">
      <c r="M44" s="128"/>
    </row>
    <row r="55" spans="12:12" x14ac:dyDescent="0.25">
      <c r="L55" s="129"/>
    </row>
  </sheetData>
  <mergeCells count="23">
    <mergeCell ref="A22:A26"/>
    <mergeCell ref="A1:F1"/>
    <mergeCell ref="A2:B2"/>
    <mergeCell ref="A9:A11"/>
    <mergeCell ref="B9:B11"/>
    <mergeCell ref="C9:F10"/>
    <mergeCell ref="J9:M10"/>
    <mergeCell ref="G10:I10"/>
    <mergeCell ref="A12:A14"/>
    <mergeCell ref="A16:A17"/>
    <mergeCell ref="A19:A20"/>
    <mergeCell ref="G9:I9"/>
    <mergeCell ref="A28:A29"/>
    <mergeCell ref="A31:A33"/>
    <mergeCell ref="A35:A36"/>
    <mergeCell ref="D38:E39"/>
    <mergeCell ref="F38:F39"/>
    <mergeCell ref="M38:M39"/>
    <mergeCell ref="D40:E41"/>
    <mergeCell ref="F40:F41"/>
    <mergeCell ref="K40:L41"/>
    <mergeCell ref="M40:M41"/>
    <mergeCell ref="K38:L39"/>
  </mergeCells>
  <conditionalFormatting sqref="F40:J41">
    <cfRule type="expression" dxfId="8" priority="6">
      <formula>F40="KUMUH SEDANG"</formula>
    </cfRule>
    <cfRule type="expression" dxfId="7" priority="7">
      <formula>F40="TIDAK KUMUH"</formula>
    </cfRule>
    <cfRule type="expression" dxfId="6" priority="8">
      <formula>F40="KUMUH BERAT"</formula>
    </cfRule>
    <cfRule type="expression" dxfId="5" priority="9">
      <formula>F40="KUMUH RINGAN"</formula>
    </cfRule>
  </conditionalFormatting>
  <conditionalFormatting sqref="G12:G14 G16:G17 G19:G20 G22:G26 G28:G29 G31:G33 G35:G36">
    <cfRule type="cellIs" dxfId="4" priority="1" operator="equal">
      <formula>", , , , , , "</formula>
    </cfRule>
  </conditionalFormatting>
  <conditionalFormatting sqref="M40:M41">
    <cfRule type="expression" dxfId="3" priority="2">
      <formula>M40="KUMUH SEDANG"</formula>
    </cfRule>
    <cfRule type="expression" dxfId="2" priority="3">
      <formula>M40="TIDAK KUMUH"</formula>
    </cfRule>
    <cfRule type="expression" dxfId="1" priority="4">
      <formula>M40="KUMUH BERAT"</formula>
    </cfRule>
    <cfRule type="expression" dxfId="0" priority="5">
      <formula>M40="KUMUH RINGAN"</formula>
    </cfRule>
  </conditionalFormatting>
  <pageMargins left="0.7" right="0.2" top="0.75" bottom="0.75" header="0.3" footer="0.3"/>
  <pageSetup paperSize="9" scale="7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18</vt:i4>
      </vt:variant>
    </vt:vector>
  </HeadingPairs>
  <TitlesOfParts>
    <vt:vector size="44" baseType="lpstr">
      <vt:lpstr>M1Bj_MjB1</vt:lpstr>
      <vt:lpstr>mjb1</vt:lpstr>
      <vt:lpstr>m1bj</vt:lpstr>
      <vt:lpstr>rekap MG</vt:lpstr>
      <vt:lpstr>rekap B</vt:lpstr>
      <vt:lpstr>rekap M</vt:lpstr>
      <vt:lpstr>rekap</vt:lpstr>
      <vt:lpstr>linguis</vt:lpstr>
      <vt:lpstr>MG6</vt:lpstr>
      <vt:lpstr>MG5</vt:lpstr>
      <vt:lpstr>MG4</vt:lpstr>
      <vt:lpstr>MG3</vt:lpstr>
      <vt:lpstr>MG2</vt:lpstr>
      <vt:lpstr>MG1</vt:lpstr>
      <vt:lpstr>B6</vt:lpstr>
      <vt:lpstr>B5</vt:lpstr>
      <vt:lpstr>B4</vt:lpstr>
      <vt:lpstr>B3</vt:lpstr>
      <vt:lpstr>B2</vt:lpstr>
      <vt:lpstr>B1</vt:lpstr>
      <vt:lpstr>M6</vt:lpstr>
      <vt:lpstr>M5</vt:lpstr>
      <vt:lpstr>M4</vt:lpstr>
      <vt:lpstr>M3</vt:lpstr>
      <vt:lpstr>M2</vt:lpstr>
      <vt:lpstr>M1</vt:lpstr>
      <vt:lpstr>'B1'!Print_Area</vt:lpstr>
      <vt:lpstr>'B2'!Print_Area</vt:lpstr>
      <vt:lpstr>'B3'!Print_Area</vt:lpstr>
      <vt:lpstr>'B4'!Print_Area</vt:lpstr>
      <vt:lpstr>'B5'!Print_Area</vt:lpstr>
      <vt:lpstr>'B6'!Print_Area</vt:lpstr>
      <vt:lpstr>'M1'!Print_Area</vt:lpstr>
      <vt:lpstr>'M2'!Print_Area</vt:lpstr>
      <vt:lpstr>'M3'!Print_Area</vt:lpstr>
      <vt:lpstr>'M4'!Print_Area</vt:lpstr>
      <vt:lpstr>'M5'!Print_Area</vt:lpstr>
      <vt:lpstr>'M6'!Print_Area</vt:lpstr>
      <vt:lpstr>'MG1'!Print_Area</vt:lpstr>
      <vt:lpstr>'MG2'!Print_Area</vt:lpstr>
      <vt:lpstr>'MG3'!Print_Area</vt:lpstr>
      <vt:lpstr>'MG4'!Print_Area</vt:lpstr>
      <vt:lpstr>'MG5'!Print_Area</vt:lpstr>
      <vt:lpstr>'MG6'!Print_Area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dwi  nur yunianti</dc:creator>
  <cp:lastModifiedBy>dwi  nur yunianti</cp:lastModifiedBy>
  <dcterms:created xsi:type="dcterms:W3CDTF">2025-10-07T03:05:16Z</dcterms:created>
  <dcterms:modified xsi:type="dcterms:W3CDTF">2025-11-09T22:05:10Z</dcterms:modified>
</cp:coreProperties>
</file>